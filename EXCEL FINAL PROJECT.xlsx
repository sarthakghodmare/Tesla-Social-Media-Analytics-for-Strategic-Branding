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3.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pivotTables/pivotTable7.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drawings/drawing10.xml" ContentType="application/vnd.openxmlformats-officedocument.drawing+xml"/>
  <Override PartName="/xl/tables/table9.xml" ContentType="application/vnd.openxmlformats-officedocument.spreadsheetml.table+xml"/>
  <Override PartName="/xl/queryTables/queryTable5.xml" ContentType="application/vnd.openxmlformats-officedocument.spreadsheetml.queryTable+xml"/>
  <Override PartName="/xl/pivotTables/pivotTable9.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10.xml" ContentType="application/vnd.openxmlformats-officedocument.spreadsheetml.pivotTable+xml"/>
  <Override PartName="/xl/drawings/drawing1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1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HP\Desktop\Intenshala excel project\"/>
    </mc:Choice>
  </mc:AlternateContent>
  <xr:revisionPtr revIDLastSave="0" documentId="13_ncr:1_{BA1604F1-7B53-4887-A6BC-4B7DB473116A}" xr6:coauthVersionLast="47" xr6:coauthVersionMax="47" xr10:uidLastSave="{00000000-0000-0000-0000-000000000000}"/>
  <bookViews>
    <workbookView xWindow="-108" yWindow="-108" windowWidth="23256" windowHeight="12456" tabRatio="975" activeTab="2" xr2:uid="{8AABA9A6-585A-482A-8E79-99170EAFF148}"/>
  </bookViews>
  <sheets>
    <sheet name="PROJECT INFO vedio link" sheetId="64" r:id="rId1"/>
    <sheet name="TASK 1" sheetId="53" r:id="rId2"/>
    <sheet name="TASK 1.1" sheetId="1" r:id="rId3"/>
    <sheet name="TASK 2" sheetId="54" r:id="rId4"/>
    <sheet name="TASK 2.1" sheetId="3" r:id="rId5"/>
    <sheet name="TASK 2.2" sheetId="5" r:id="rId6"/>
    <sheet name="TASK 2.3" sheetId="6" r:id="rId7"/>
    <sheet name="TASK 3" sheetId="55" r:id="rId8"/>
    <sheet name="TASK 3.1" sheetId="7" r:id="rId9"/>
    <sheet name="TASK 3.2" sheetId="11" r:id="rId10"/>
    <sheet name="TASK 3.3" sheetId="12" r:id="rId11"/>
    <sheet name="TASK 3.4" sheetId="26" r:id="rId12"/>
    <sheet name="TASK 4" sheetId="56" r:id="rId13"/>
    <sheet name="TASK 4.1" sheetId="15" r:id="rId14"/>
    <sheet name="TASK 4.2" sheetId="21" r:id="rId15"/>
    <sheet name="TASK 4.3" sheetId="23" r:id="rId16"/>
    <sheet name="TASK 4.4" sheetId="24" r:id="rId17"/>
    <sheet name=" TASK 5" sheetId="66" r:id="rId18"/>
    <sheet name="Campaign" sheetId="81" r:id="rId19"/>
    <sheet name="post" sheetId="82" r:id="rId20"/>
    <sheet name="Merge1" sheetId="83" r:id="rId21"/>
    <sheet name="week" sheetId="84" r:id="rId22"/>
    <sheet name="Merge2" sheetId="85" r:id="rId23"/>
    <sheet name="TASK 5.2" sheetId="58" r:id="rId24"/>
    <sheet name="TASK 6" sheetId="57" r:id="rId25"/>
    <sheet name="TASK 6.1" sheetId="30" r:id="rId26"/>
    <sheet name="TASK 6.2" sheetId="28" r:id="rId27"/>
    <sheet name="TASK 6.3" sheetId="33" r:id="rId28"/>
    <sheet name="TASK 6.4" sheetId="35" r:id="rId29"/>
    <sheet name="TASK 6.5" sheetId="65" r:id="rId30"/>
  </sheets>
  <definedNames>
    <definedName name="ExternalData_1" localSheetId="18" hidden="1">'Campaign'!$A$1:$H$5</definedName>
    <definedName name="ExternalData_1" localSheetId="19" hidden="1">post!$A$1:$O$340</definedName>
    <definedName name="ExternalData_1" localSheetId="13" hidden="1">'TASK 4.1'!$A$1:$M$340</definedName>
    <definedName name="ExternalData_1" localSheetId="21" hidden="1">week!$A$1:$I$201</definedName>
    <definedName name="ExternalData_2" localSheetId="20" hidden="1">Merge1!$A$1:$L$279</definedName>
    <definedName name="ExternalData_3" localSheetId="22" hidden="1">Merge2!$A$1:$S$5</definedName>
    <definedName name="Slicer_Platform">#N/A</definedName>
    <definedName name="Slicer_Platform1">#N/A</definedName>
    <definedName name="Slicer_Platform2">#N/A</definedName>
    <definedName name="Slicer_Platform3">#N/A</definedName>
  </definedNames>
  <calcPr calcId="191029"/>
  <pivotCaches>
    <pivotCache cacheId="0" r:id="rId31"/>
    <pivotCache cacheId="1" r:id="rId32"/>
    <pivotCache cacheId="2" r:id="rId33"/>
    <pivotCache cacheId="3" r:id="rId34"/>
    <pivotCache cacheId="4" r:id="rId35"/>
  </pivotCaches>
  <extLs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 i="85" l="1"/>
  <c r="Z2" i="85"/>
  <c r="Z3" i="85"/>
  <c r="Z4" i="85"/>
  <c r="Z5" i="85"/>
  <c r="Y2" i="85"/>
  <c r="Y3" i="85"/>
  <c r="Y4" i="85"/>
  <c r="Y5" i="85"/>
  <c r="X2" i="85"/>
  <c r="X3" i="85"/>
  <c r="X4" i="85"/>
  <c r="X5" i="85"/>
  <c r="W2" i="85"/>
  <c r="W3" i="85"/>
  <c r="W4" i="85"/>
  <c r="W5" i="85"/>
  <c r="T3" i="85"/>
  <c r="T4" i="85"/>
  <c r="T5" i="85"/>
  <c r="O2" i="15" l="1"/>
  <c r="O3" i="15"/>
  <c r="H7" i="7" l="1"/>
  <c r="H74" i="30"/>
  <c r="I74" i="30" s="1"/>
  <c r="H201" i="30"/>
  <c r="I201" i="30" s="1"/>
  <c r="H157" i="30"/>
  <c r="I157" i="30" s="1"/>
  <c r="H138" i="30"/>
  <c r="I138" i="30" s="1"/>
  <c r="H21" i="30"/>
  <c r="I21" i="30" s="1"/>
  <c r="H101" i="30"/>
  <c r="I101" i="30" s="1"/>
  <c r="H32" i="30"/>
  <c r="I32" i="30" s="1"/>
  <c r="H145" i="30"/>
  <c r="I145" i="30" s="1"/>
  <c r="H2" i="30"/>
  <c r="I2" i="30" s="1"/>
  <c r="H114" i="30"/>
  <c r="I114" i="30" s="1"/>
  <c r="H88" i="30"/>
  <c r="I88" i="30" s="1"/>
  <c r="H132" i="30"/>
  <c r="I132" i="30" s="1"/>
  <c r="H30" i="30"/>
  <c r="I30" i="30" s="1"/>
  <c r="H22" i="30"/>
  <c r="I22" i="30" s="1"/>
  <c r="H105" i="30"/>
  <c r="I105" i="30" s="1"/>
  <c r="H76" i="30"/>
  <c r="I76" i="30" s="1"/>
  <c r="H118" i="30"/>
  <c r="I118" i="30" s="1"/>
  <c r="H168" i="30"/>
  <c r="I168" i="30" s="1"/>
  <c r="H178" i="30"/>
  <c r="I178" i="30" s="1"/>
  <c r="H195" i="30"/>
  <c r="I195" i="30" s="1"/>
  <c r="H192" i="30"/>
  <c r="I192" i="30" s="1"/>
  <c r="H161" i="30"/>
  <c r="I161" i="30" s="1"/>
  <c r="H82" i="30"/>
  <c r="I82" i="30" s="1"/>
  <c r="H79" i="30"/>
  <c r="I79" i="30" s="1"/>
  <c r="H165" i="30"/>
  <c r="I165" i="30" s="1"/>
  <c r="H35" i="30"/>
  <c r="I35" i="30" s="1"/>
  <c r="H15" i="30"/>
  <c r="I15" i="30" s="1"/>
  <c r="H128" i="30"/>
  <c r="I128" i="30" s="1"/>
  <c r="H113" i="30"/>
  <c r="I113" i="30" s="1"/>
  <c r="H139" i="30"/>
  <c r="I139" i="30" s="1"/>
  <c r="H154" i="30"/>
  <c r="I154" i="30" s="1"/>
  <c r="H130" i="30"/>
  <c r="I130" i="30" s="1"/>
  <c r="H131" i="30"/>
  <c r="I131" i="30" s="1"/>
  <c r="H42" i="30"/>
  <c r="I42" i="30" s="1"/>
  <c r="H102" i="30"/>
  <c r="I102" i="30" s="1"/>
  <c r="H69" i="30"/>
  <c r="I69" i="30" s="1"/>
  <c r="H111" i="30"/>
  <c r="I111" i="30" s="1"/>
  <c r="H58" i="30"/>
  <c r="I58" i="30" s="1"/>
  <c r="H49" i="30"/>
  <c r="I49" i="30" s="1"/>
  <c r="H91" i="30"/>
  <c r="I91" i="30" s="1"/>
  <c r="H160" i="30"/>
  <c r="I160" i="30" s="1"/>
  <c r="H151" i="30"/>
  <c r="I151" i="30" s="1"/>
  <c r="H95" i="30"/>
  <c r="I95" i="30" s="1"/>
  <c r="H189" i="30"/>
  <c r="I189" i="30" s="1"/>
  <c r="H54" i="30"/>
  <c r="I54" i="30" s="1"/>
  <c r="H81" i="30"/>
  <c r="I81" i="30" s="1"/>
  <c r="H109" i="30"/>
  <c r="I109" i="30" s="1"/>
  <c r="H10" i="30"/>
  <c r="I10" i="30" s="1"/>
  <c r="H45" i="30"/>
  <c r="I45" i="30" s="1"/>
  <c r="H64" i="30"/>
  <c r="I64" i="30" s="1"/>
  <c r="H186" i="30"/>
  <c r="I186" i="30" s="1"/>
  <c r="H26" i="30"/>
  <c r="I26" i="30" s="1"/>
  <c r="H86" i="30"/>
  <c r="I86" i="30" s="1"/>
  <c r="H37" i="30"/>
  <c r="I37" i="30" s="1"/>
  <c r="H62" i="30"/>
  <c r="I62" i="30" s="1"/>
  <c r="H89" i="30"/>
  <c r="I89" i="30" s="1"/>
  <c r="H8" i="30"/>
  <c r="I8" i="30" s="1"/>
  <c r="H198" i="30"/>
  <c r="I198" i="30" s="1"/>
  <c r="H122" i="30"/>
  <c r="I122" i="30" s="1"/>
  <c r="H106" i="30"/>
  <c r="I106" i="30" s="1"/>
  <c r="H72" i="30"/>
  <c r="I72" i="30" s="1"/>
  <c r="H60" i="30"/>
  <c r="I60" i="30" s="1"/>
  <c r="H40" i="30"/>
  <c r="I40" i="30" s="1"/>
  <c r="H96" i="30"/>
  <c r="I96" i="30" s="1"/>
  <c r="H194" i="30"/>
  <c r="I194" i="30" s="1"/>
  <c r="H108" i="30"/>
  <c r="I108" i="30" s="1"/>
  <c r="H98" i="30"/>
  <c r="I98" i="30" s="1"/>
  <c r="H136" i="30"/>
  <c r="I136" i="30" s="1"/>
  <c r="H29" i="30"/>
  <c r="I29" i="30" s="1"/>
  <c r="H94" i="30"/>
  <c r="I94" i="30" s="1"/>
  <c r="H191" i="30"/>
  <c r="I191" i="30" s="1"/>
  <c r="H153" i="30"/>
  <c r="I153" i="30" s="1"/>
  <c r="H9" i="30"/>
  <c r="I9" i="30" s="1"/>
  <c r="H103" i="30"/>
  <c r="I103" i="30" s="1"/>
  <c r="H63" i="30"/>
  <c r="I63" i="30" s="1"/>
  <c r="H117" i="30"/>
  <c r="I117" i="30" s="1"/>
  <c r="H92" i="30"/>
  <c r="I92" i="30" s="1"/>
  <c r="H36" i="30"/>
  <c r="I36" i="30" s="1"/>
  <c r="H31" i="30"/>
  <c r="I31" i="30" s="1"/>
  <c r="H5" i="30"/>
  <c r="I5" i="30" s="1"/>
  <c r="H6" i="30"/>
  <c r="I6" i="30" s="1"/>
  <c r="H27" i="30"/>
  <c r="I27" i="30" s="1"/>
  <c r="H90" i="30"/>
  <c r="I90" i="30" s="1"/>
  <c r="H107" i="30"/>
  <c r="I107" i="30" s="1"/>
  <c r="H110" i="30"/>
  <c r="I110" i="30" s="1"/>
  <c r="H100" i="30"/>
  <c r="I100" i="30" s="1"/>
  <c r="H47" i="30"/>
  <c r="I47" i="30" s="1"/>
  <c r="H44" i="30"/>
  <c r="I44" i="30" s="1"/>
  <c r="H38" i="30"/>
  <c r="I38" i="30" s="1"/>
  <c r="H121" i="30"/>
  <c r="I121" i="30" s="1"/>
  <c r="H7" i="30"/>
  <c r="I7" i="30" s="1"/>
  <c r="H46" i="30"/>
  <c r="I46" i="30" s="1"/>
  <c r="H68" i="30"/>
  <c r="I68" i="30" s="1"/>
  <c r="H155" i="30"/>
  <c r="I155" i="30" s="1"/>
  <c r="H65" i="30"/>
  <c r="I65" i="30" s="1"/>
  <c r="H12" i="30"/>
  <c r="I12" i="30" s="1"/>
  <c r="H23" i="30"/>
  <c r="I23" i="30" s="1"/>
  <c r="H99" i="30"/>
  <c r="I99" i="30" s="1"/>
  <c r="H172" i="30"/>
  <c r="I172" i="30" s="1"/>
  <c r="H51" i="30"/>
  <c r="I51" i="30" s="1"/>
  <c r="H13" i="30"/>
  <c r="I13" i="30" s="1"/>
  <c r="H177" i="30"/>
  <c r="I177" i="30" s="1"/>
  <c r="H133" i="30"/>
  <c r="I133" i="30" s="1"/>
  <c r="H175" i="30"/>
  <c r="I175" i="30" s="1"/>
  <c r="H187" i="30"/>
  <c r="I187" i="30" s="1"/>
  <c r="H144" i="30"/>
  <c r="I144" i="30" s="1"/>
  <c r="H66" i="30"/>
  <c r="I66" i="30" s="1"/>
  <c r="H188" i="30"/>
  <c r="I188" i="30" s="1"/>
  <c r="H93" i="30"/>
  <c r="I93" i="30" s="1"/>
  <c r="H77" i="30"/>
  <c r="I77" i="30" s="1"/>
  <c r="H25" i="30"/>
  <c r="I25" i="30" s="1"/>
  <c r="H125" i="30"/>
  <c r="I125" i="30" s="1"/>
  <c r="H41" i="30"/>
  <c r="I41" i="30" s="1"/>
  <c r="H20" i="30"/>
  <c r="I20" i="30" s="1"/>
  <c r="H181" i="30"/>
  <c r="I181" i="30" s="1"/>
  <c r="H140" i="30"/>
  <c r="I140" i="30" s="1"/>
  <c r="H120" i="30"/>
  <c r="I120" i="30" s="1"/>
  <c r="H34" i="30"/>
  <c r="I34" i="30" s="1"/>
  <c r="H115" i="30"/>
  <c r="I115" i="30" s="1"/>
  <c r="H134" i="30"/>
  <c r="I134" i="30" s="1"/>
  <c r="H158" i="30"/>
  <c r="I158" i="30" s="1"/>
  <c r="H142" i="30"/>
  <c r="I142" i="30" s="1"/>
  <c r="H184" i="30"/>
  <c r="I184" i="30" s="1"/>
  <c r="H156" i="30"/>
  <c r="I156" i="30" s="1"/>
  <c r="H61" i="30"/>
  <c r="I61" i="30" s="1"/>
  <c r="H169" i="30"/>
  <c r="I169" i="30" s="1"/>
  <c r="H170" i="30"/>
  <c r="I170" i="30" s="1"/>
  <c r="H19" i="30"/>
  <c r="I19" i="30" s="1"/>
  <c r="H3" i="30"/>
  <c r="I3" i="30" s="1"/>
  <c r="H11" i="30"/>
  <c r="I11" i="30" s="1"/>
  <c r="H119" i="30"/>
  <c r="I119" i="30" s="1"/>
  <c r="H196" i="30"/>
  <c r="I196" i="30" s="1"/>
  <c r="H80" i="30"/>
  <c r="I80" i="30" s="1"/>
  <c r="H83" i="30"/>
  <c r="I83" i="30" s="1"/>
  <c r="H14" i="30"/>
  <c r="I14" i="30" s="1"/>
  <c r="H183" i="30"/>
  <c r="I183" i="30" s="1"/>
  <c r="H112" i="30"/>
  <c r="I112" i="30" s="1"/>
  <c r="H185" i="30"/>
  <c r="I185" i="30" s="1"/>
  <c r="H67" i="30"/>
  <c r="I67" i="30" s="1"/>
  <c r="H171" i="30"/>
  <c r="I171" i="30" s="1"/>
  <c r="H141" i="30"/>
  <c r="I141" i="30" s="1"/>
  <c r="H70" i="30"/>
  <c r="I70" i="30" s="1"/>
  <c r="H159" i="30"/>
  <c r="I159" i="30" s="1"/>
  <c r="H39" i="30"/>
  <c r="I39" i="30" s="1"/>
  <c r="H28" i="30"/>
  <c r="I28" i="30" s="1"/>
  <c r="H147" i="30"/>
  <c r="I147" i="30" s="1"/>
  <c r="H162" i="30"/>
  <c r="I162" i="30" s="1"/>
  <c r="H75" i="30"/>
  <c r="I75" i="30" s="1"/>
  <c r="H57" i="30"/>
  <c r="I57" i="30" s="1"/>
  <c r="H182" i="30"/>
  <c r="I182" i="30" s="1"/>
  <c r="H59" i="30"/>
  <c r="I59" i="30" s="1"/>
  <c r="H180" i="30"/>
  <c r="I180" i="30" s="1"/>
  <c r="H24" i="30"/>
  <c r="I24" i="30" s="1"/>
  <c r="H163" i="30"/>
  <c r="I163" i="30" s="1"/>
  <c r="H18" i="30"/>
  <c r="I18" i="30" s="1"/>
  <c r="H73" i="30"/>
  <c r="I73" i="30" s="1"/>
  <c r="H174" i="30"/>
  <c r="I174" i="30" s="1"/>
  <c r="H78" i="30"/>
  <c r="I78" i="30" s="1"/>
  <c r="H179" i="30"/>
  <c r="I179" i="30" s="1"/>
  <c r="H50" i="30"/>
  <c r="I50" i="30" s="1"/>
  <c r="H52" i="30"/>
  <c r="I52" i="30" s="1"/>
  <c r="H149" i="30"/>
  <c r="I149" i="30" s="1"/>
  <c r="H148" i="30"/>
  <c r="I148" i="30" s="1"/>
  <c r="H197" i="30"/>
  <c r="I197" i="30" s="1"/>
  <c r="H143" i="30"/>
  <c r="I143" i="30" s="1"/>
  <c r="H129" i="30"/>
  <c r="I129" i="30" s="1"/>
  <c r="H33" i="30"/>
  <c r="I33" i="30" s="1"/>
  <c r="H200" i="30"/>
  <c r="I200" i="30" s="1"/>
  <c r="H124" i="30"/>
  <c r="I124" i="30" s="1"/>
  <c r="H150" i="30"/>
  <c r="I150" i="30" s="1"/>
  <c r="H53" i="30"/>
  <c r="I53" i="30" s="1"/>
  <c r="H87" i="30"/>
  <c r="I87" i="30" s="1"/>
  <c r="H167" i="30"/>
  <c r="I167" i="30" s="1"/>
  <c r="H166" i="30"/>
  <c r="I166" i="30" s="1"/>
  <c r="H135" i="30"/>
  <c r="I135" i="30" s="1"/>
  <c r="H193" i="30"/>
  <c r="I193" i="30" s="1"/>
  <c r="H4" i="30"/>
  <c r="I4" i="30" s="1"/>
  <c r="H127" i="30"/>
  <c r="I127" i="30" s="1"/>
  <c r="H123" i="30"/>
  <c r="I123" i="30" s="1"/>
  <c r="H152" i="30"/>
  <c r="I152" i="30" s="1"/>
  <c r="H16" i="30"/>
  <c r="I16" i="30" s="1"/>
  <c r="H173" i="30"/>
  <c r="I173" i="30" s="1"/>
  <c r="H48" i="30"/>
  <c r="I48" i="30" s="1"/>
  <c r="H176" i="30"/>
  <c r="I176" i="30" s="1"/>
  <c r="H199" i="30"/>
  <c r="I199" i="30" s="1"/>
  <c r="H190" i="30"/>
  <c r="I190" i="30" s="1"/>
  <c r="H104" i="30"/>
  <c r="I104" i="30" s="1"/>
  <c r="H17" i="30"/>
  <c r="I17" i="30" s="1"/>
  <c r="H116" i="30"/>
  <c r="I116" i="30" s="1"/>
  <c r="H146" i="30"/>
  <c r="I146" i="30" s="1"/>
  <c r="H55" i="30"/>
  <c r="I55" i="30" s="1"/>
  <c r="H43" i="30"/>
  <c r="I43" i="30" s="1"/>
  <c r="H97" i="30"/>
  <c r="I97" i="30" s="1"/>
  <c r="H85" i="30"/>
  <c r="I85" i="30" s="1"/>
  <c r="H164" i="30"/>
  <c r="I164" i="30" s="1"/>
  <c r="H56" i="30"/>
  <c r="I56" i="30" s="1"/>
  <c r="H126" i="30"/>
  <c r="I126" i="30" s="1"/>
  <c r="H71" i="30"/>
  <c r="I71" i="30" s="1"/>
  <c r="H137" i="30"/>
  <c r="I137" i="30" s="1"/>
  <c r="H84" i="30"/>
  <c r="I84" i="30" s="1"/>
  <c r="O9" i="15" l="1"/>
  <c r="O7" i="15"/>
  <c r="O4" i="15"/>
  <c r="O5" i="15"/>
  <c r="O6" i="15"/>
  <c r="O8"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M4" i="3"/>
  <c r="N2" i="15"/>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H2" i="7" l="1"/>
  <c r="I2" i="7" s="1"/>
  <c r="H3" i="7"/>
  <c r="I3" i="7" s="1"/>
  <c r="H4" i="7"/>
  <c r="I4" i="7" s="1"/>
  <c r="H5" i="7"/>
  <c r="I5" i="7" s="1"/>
  <c r="H6" i="7"/>
  <c r="I6" i="7" s="1"/>
  <c r="I7" i="7"/>
  <c r="H8" i="7"/>
  <c r="I8" i="7" s="1"/>
  <c r="H9" i="7"/>
  <c r="I9" i="7" s="1"/>
  <c r="H10" i="7"/>
  <c r="I10" i="7" s="1"/>
  <c r="H11" i="7"/>
  <c r="I11" i="7" s="1"/>
  <c r="H12" i="7"/>
  <c r="I12" i="7" s="1"/>
  <c r="H13" i="7"/>
  <c r="I13" i="7" s="1"/>
  <c r="H14" i="7"/>
  <c r="I14" i="7" s="1"/>
  <c r="H15" i="7"/>
  <c r="I15" i="7" s="1"/>
  <c r="H16" i="7"/>
  <c r="I16" i="7" s="1"/>
  <c r="H17" i="7"/>
  <c r="I17" i="7" s="1"/>
  <c r="H18" i="7"/>
  <c r="I18" i="7" s="1"/>
  <c r="H19" i="7"/>
  <c r="I19" i="7" s="1"/>
  <c r="H20" i="7"/>
  <c r="I20" i="7" s="1"/>
  <c r="H21" i="7"/>
  <c r="I21" i="7" s="1"/>
  <c r="H22" i="7"/>
  <c r="I22" i="7" s="1"/>
  <c r="H23" i="7"/>
  <c r="I23" i="7" s="1"/>
  <c r="H24" i="7"/>
  <c r="I24" i="7" s="1"/>
  <c r="H25" i="7"/>
  <c r="I25" i="7" s="1"/>
  <c r="H26" i="7"/>
  <c r="I26" i="7" s="1"/>
  <c r="H27" i="7"/>
  <c r="I27" i="7" s="1"/>
  <c r="H28" i="7"/>
  <c r="I28" i="7" s="1"/>
  <c r="H29" i="7"/>
  <c r="I29" i="7" s="1"/>
  <c r="H30" i="7"/>
  <c r="I30" i="7" s="1"/>
  <c r="H31" i="7"/>
  <c r="I31" i="7" s="1"/>
  <c r="H32" i="7"/>
  <c r="I32" i="7" s="1"/>
  <c r="H33" i="7"/>
  <c r="I33" i="7" s="1"/>
  <c r="H34" i="7"/>
  <c r="I34" i="7" s="1"/>
  <c r="H35" i="7"/>
  <c r="I35" i="7" s="1"/>
  <c r="H36" i="7"/>
  <c r="I36" i="7" s="1"/>
  <c r="H37" i="7"/>
  <c r="I37" i="7" s="1"/>
  <c r="H38" i="7"/>
  <c r="I38" i="7" s="1"/>
  <c r="H39" i="7"/>
  <c r="I39" i="7" s="1"/>
  <c r="H40" i="7"/>
  <c r="I40" i="7" s="1"/>
  <c r="H41" i="7"/>
  <c r="I41" i="7" s="1"/>
  <c r="H42" i="7"/>
  <c r="I42" i="7" s="1"/>
  <c r="H43" i="7"/>
  <c r="I43" i="7" s="1"/>
  <c r="H44" i="7"/>
  <c r="I44" i="7" s="1"/>
  <c r="H45" i="7"/>
  <c r="I45" i="7" s="1"/>
  <c r="H46" i="7"/>
  <c r="I46" i="7" s="1"/>
  <c r="H47" i="7"/>
  <c r="I47" i="7" s="1"/>
  <c r="H48" i="7"/>
  <c r="I48" i="7" s="1"/>
  <c r="H49" i="7"/>
  <c r="I49" i="7" s="1"/>
  <c r="H50" i="7"/>
  <c r="I50" i="7" s="1"/>
  <c r="H51" i="7"/>
  <c r="I51" i="7" s="1"/>
  <c r="H52" i="7"/>
  <c r="I52" i="7" s="1"/>
  <c r="H53" i="7"/>
  <c r="I53" i="7" s="1"/>
  <c r="H54" i="7"/>
  <c r="I54" i="7" s="1"/>
  <c r="H55" i="7"/>
  <c r="I55" i="7" s="1"/>
  <c r="H56" i="7"/>
  <c r="I56" i="7" s="1"/>
  <c r="H57" i="7"/>
  <c r="I57" i="7" s="1"/>
  <c r="H58" i="7"/>
  <c r="I58" i="7" s="1"/>
  <c r="H59" i="7"/>
  <c r="I59" i="7" s="1"/>
  <c r="H60" i="7"/>
  <c r="I60" i="7" s="1"/>
  <c r="H61" i="7"/>
  <c r="I61" i="7" s="1"/>
  <c r="H62" i="7"/>
  <c r="I62" i="7" s="1"/>
  <c r="H63" i="7"/>
  <c r="I63" i="7" s="1"/>
  <c r="H64" i="7"/>
  <c r="I64" i="7" s="1"/>
  <c r="H65" i="7"/>
  <c r="I65" i="7" s="1"/>
  <c r="H66" i="7"/>
  <c r="I66" i="7" s="1"/>
  <c r="H67" i="7"/>
  <c r="I67" i="7" s="1"/>
  <c r="H68" i="7"/>
  <c r="I68" i="7" s="1"/>
  <c r="H69" i="7"/>
  <c r="I69" i="7" s="1"/>
  <c r="H70" i="7"/>
  <c r="I70" i="7" s="1"/>
  <c r="H71" i="7"/>
  <c r="I71" i="7" s="1"/>
  <c r="H72" i="7"/>
  <c r="I72" i="7" s="1"/>
  <c r="H73" i="7"/>
  <c r="I73" i="7" s="1"/>
  <c r="H74" i="7"/>
  <c r="I74" i="7" s="1"/>
  <c r="H75" i="7"/>
  <c r="I75" i="7" s="1"/>
  <c r="H76" i="7"/>
  <c r="I76" i="7" s="1"/>
  <c r="H77" i="7"/>
  <c r="I77" i="7" s="1"/>
  <c r="H78" i="7"/>
  <c r="I78" i="7" s="1"/>
  <c r="H79" i="7"/>
  <c r="I79" i="7" s="1"/>
  <c r="H80" i="7"/>
  <c r="I80" i="7" s="1"/>
  <c r="H81" i="7"/>
  <c r="I81" i="7" s="1"/>
  <c r="H82" i="7"/>
  <c r="I82" i="7" s="1"/>
  <c r="H83" i="7"/>
  <c r="I83" i="7" s="1"/>
  <c r="H84" i="7"/>
  <c r="I84" i="7" s="1"/>
  <c r="H85" i="7"/>
  <c r="I85" i="7" s="1"/>
  <c r="H86" i="7"/>
  <c r="I86" i="7" s="1"/>
  <c r="H87" i="7"/>
  <c r="I87" i="7" s="1"/>
  <c r="H88" i="7"/>
  <c r="I88" i="7" s="1"/>
  <c r="H89" i="7"/>
  <c r="I89" i="7" s="1"/>
  <c r="H90" i="7"/>
  <c r="I90" i="7" s="1"/>
  <c r="H91" i="7"/>
  <c r="I91" i="7" s="1"/>
  <c r="H92" i="7"/>
  <c r="I92" i="7" s="1"/>
  <c r="H93" i="7"/>
  <c r="I93" i="7" s="1"/>
  <c r="H94" i="7"/>
  <c r="I94" i="7" s="1"/>
  <c r="H95" i="7"/>
  <c r="I95" i="7" s="1"/>
  <c r="H96" i="7"/>
  <c r="I96" i="7" s="1"/>
  <c r="H97" i="7"/>
  <c r="I97" i="7" s="1"/>
  <c r="H98" i="7"/>
  <c r="I98" i="7" s="1"/>
  <c r="H99" i="7"/>
  <c r="I99" i="7" s="1"/>
  <c r="H100" i="7"/>
  <c r="I100" i="7" s="1"/>
  <c r="H101" i="7"/>
  <c r="I101" i="7" s="1"/>
  <c r="H102" i="7"/>
  <c r="I102" i="7" s="1"/>
  <c r="H103" i="7"/>
  <c r="I103" i="7" s="1"/>
  <c r="H104" i="7"/>
  <c r="I104" i="7" s="1"/>
  <c r="H105" i="7"/>
  <c r="I105" i="7" s="1"/>
  <c r="H106" i="7"/>
  <c r="I106" i="7" s="1"/>
  <c r="H107" i="7"/>
  <c r="I107" i="7" s="1"/>
  <c r="H108" i="7"/>
  <c r="I108" i="7" s="1"/>
  <c r="H109" i="7"/>
  <c r="I109" i="7" s="1"/>
  <c r="H110" i="7"/>
  <c r="I110" i="7" s="1"/>
  <c r="H111" i="7"/>
  <c r="I111" i="7" s="1"/>
  <c r="H112" i="7"/>
  <c r="I112" i="7" s="1"/>
  <c r="H113" i="7"/>
  <c r="I113" i="7" s="1"/>
  <c r="H114" i="7"/>
  <c r="I114" i="7" s="1"/>
  <c r="H115" i="7"/>
  <c r="I115" i="7" s="1"/>
  <c r="H116" i="7"/>
  <c r="I116" i="7" s="1"/>
  <c r="H117" i="7"/>
  <c r="I117" i="7" s="1"/>
  <c r="H118" i="7"/>
  <c r="I118" i="7" s="1"/>
  <c r="H119" i="7"/>
  <c r="I119" i="7" s="1"/>
  <c r="H120" i="7"/>
  <c r="I120" i="7" s="1"/>
  <c r="H121" i="7"/>
  <c r="I121" i="7" s="1"/>
  <c r="H122" i="7"/>
  <c r="I122" i="7" s="1"/>
  <c r="H123" i="7"/>
  <c r="I123" i="7" s="1"/>
  <c r="H124" i="7"/>
  <c r="I124" i="7" s="1"/>
  <c r="H125" i="7"/>
  <c r="I125" i="7" s="1"/>
  <c r="H126" i="7"/>
  <c r="I126" i="7" s="1"/>
  <c r="H127" i="7"/>
  <c r="I127" i="7" s="1"/>
  <c r="H128" i="7"/>
  <c r="I128" i="7" s="1"/>
  <c r="H129" i="7"/>
  <c r="I129" i="7" s="1"/>
  <c r="H130" i="7"/>
  <c r="I130" i="7" s="1"/>
  <c r="H131" i="7"/>
  <c r="I131" i="7" s="1"/>
  <c r="H132" i="7"/>
  <c r="I132" i="7" s="1"/>
  <c r="H133" i="7"/>
  <c r="I133" i="7" s="1"/>
  <c r="H134" i="7"/>
  <c r="I134" i="7" s="1"/>
  <c r="H135" i="7"/>
  <c r="I135" i="7" s="1"/>
  <c r="H136" i="7"/>
  <c r="I136" i="7" s="1"/>
  <c r="H137" i="7"/>
  <c r="I137" i="7" s="1"/>
  <c r="H138" i="7"/>
  <c r="I138" i="7" s="1"/>
  <c r="H139" i="7"/>
  <c r="I139" i="7" s="1"/>
  <c r="H140" i="7"/>
  <c r="I140" i="7" s="1"/>
  <c r="H141" i="7"/>
  <c r="I141" i="7" s="1"/>
  <c r="H142" i="7"/>
  <c r="I142" i="7" s="1"/>
  <c r="H143" i="7"/>
  <c r="I143" i="7" s="1"/>
  <c r="H144" i="7"/>
  <c r="I144" i="7" s="1"/>
  <c r="H145" i="7"/>
  <c r="I145" i="7" s="1"/>
  <c r="H146" i="7"/>
  <c r="I146" i="7" s="1"/>
  <c r="H147" i="7"/>
  <c r="I147" i="7" s="1"/>
  <c r="H148" i="7"/>
  <c r="I148" i="7" s="1"/>
  <c r="H149" i="7"/>
  <c r="I149" i="7" s="1"/>
  <c r="H150" i="7"/>
  <c r="I150" i="7" s="1"/>
  <c r="H151" i="7"/>
  <c r="I151" i="7" s="1"/>
  <c r="H152" i="7"/>
  <c r="I152" i="7" s="1"/>
  <c r="H153" i="7"/>
  <c r="I153" i="7" s="1"/>
  <c r="H154" i="7"/>
  <c r="I154" i="7" s="1"/>
  <c r="H155" i="7"/>
  <c r="I155" i="7" s="1"/>
  <c r="H156" i="7"/>
  <c r="I156" i="7" s="1"/>
  <c r="H157" i="7"/>
  <c r="I157" i="7" s="1"/>
  <c r="H158" i="7"/>
  <c r="I158" i="7" s="1"/>
  <c r="H159" i="7"/>
  <c r="I159" i="7" s="1"/>
  <c r="H160" i="7"/>
  <c r="I160" i="7" s="1"/>
  <c r="H161" i="7"/>
  <c r="I161" i="7" s="1"/>
  <c r="H162" i="7"/>
  <c r="I162" i="7" s="1"/>
  <c r="H163" i="7"/>
  <c r="I163" i="7" s="1"/>
  <c r="H164" i="7"/>
  <c r="I164" i="7" s="1"/>
  <c r="H165" i="7"/>
  <c r="I165" i="7" s="1"/>
  <c r="H166" i="7"/>
  <c r="I166" i="7" s="1"/>
  <c r="H167" i="7"/>
  <c r="I167" i="7" s="1"/>
  <c r="H168" i="7"/>
  <c r="I168" i="7" s="1"/>
  <c r="H169" i="7"/>
  <c r="I169" i="7" s="1"/>
  <c r="H170" i="7"/>
  <c r="I170" i="7" s="1"/>
  <c r="H171" i="7"/>
  <c r="I171" i="7" s="1"/>
  <c r="H172" i="7"/>
  <c r="I172" i="7" s="1"/>
  <c r="H173" i="7"/>
  <c r="I173" i="7" s="1"/>
  <c r="H174" i="7"/>
  <c r="I174" i="7" s="1"/>
  <c r="H175" i="7"/>
  <c r="I175" i="7" s="1"/>
  <c r="H176" i="7"/>
  <c r="I176" i="7" s="1"/>
  <c r="H177" i="7"/>
  <c r="I177" i="7" s="1"/>
  <c r="H178" i="7"/>
  <c r="I178" i="7" s="1"/>
  <c r="H179" i="7"/>
  <c r="I179" i="7" s="1"/>
  <c r="H180" i="7"/>
  <c r="I180" i="7" s="1"/>
  <c r="H181" i="7"/>
  <c r="I181" i="7" s="1"/>
  <c r="H182" i="7"/>
  <c r="I182" i="7" s="1"/>
  <c r="H183" i="7"/>
  <c r="I183" i="7" s="1"/>
  <c r="H184" i="7"/>
  <c r="I184" i="7" s="1"/>
  <c r="H185" i="7"/>
  <c r="I185" i="7" s="1"/>
  <c r="H186" i="7"/>
  <c r="I186" i="7" s="1"/>
  <c r="H187" i="7"/>
  <c r="I187" i="7" s="1"/>
  <c r="H188" i="7"/>
  <c r="I188" i="7" s="1"/>
  <c r="H189" i="7"/>
  <c r="I189" i="7" s="1"/>
  <c r="H190" i="7"/>
  <c r="I190" i="7" s="1"/>
  <c r="H191" i="7"/>
  <c r="I191" i="7" s="1"/>
  <c r="H192" i="7"/>
  <c r="I192" i="7" s="1"/>
  <c r="H193" i="7"/>
  <c r="I193" i="7" s="1"/>
  <c r="H194" i="7"/>
  <c r="I194" i="7" s="1"/>
  <c r="H195" i="7"/>
  <c r="I195" i="7" s="1"/>
  <c r="H196" i="7"/>
  <c r="I196" i="7" s="1"/>
  <c r="H197" i="7"/>
  <c r="I197" i="7" s="1"/>
  <c r="H198" i="7"/>
  <c r="I198" i="7" s="1"/>
  <c r="H199" i="7"/>
  <c r="I199" i="7" s="1"/>
  <c r="H200" i="7"/>
  <c r="I200" i="7" s="1"/>
  <c r="H201" i="7"/>
  <c r="I201" i="7" s="1"/>
  <c r="L109" i="3" l="1"/>
  <c r="M109" i="3"/>
  <c r="M3" i="3"/>
  <c r="M5" i="3"/>
  <c r="M6" i="3"/>
  <c r="M8" i="3"/>
  <c r="M7" i="3"/>
  <c r="M9" i="3"/>
  <c r="M11" i="3"/>
  <c r="M10" i="3"/>
  <c r="M13" i="3"/>
  <c r="M12" i="3"/>
  <c r="M14" i="3"/>
  <c r="M16" i="3"/>
  <c r="M15" i="3"/>
  <c r="M17" i="3"/>
  <c r="M18" i="3"/>
  <c r="M19" i="3"/>
  <c r="M20" i="3"/>
  <c r="M21" i="3"/>
  <c r="M22" i="3"/>
  <c r="M23" i="3"/>
  <c r="M24" i="3"/>
  <c r="M25" i="3"/>
  <c r="M27" i="3"/>
  <c r="M28" i="3"/>
  <c r="M26" i="3"/>
  <c r="M29" i="3"/>
  <c r="M32" i="3"/>
  <c r="M31" i="3"/>
  <c r="M30" i="3"/>
  <c r="M33" i="3"/>
  <c r="M34" i="3"/>
  <c r="M35" i="3"/>
  <c r="M37" i="3"/>
  <c r="M36" i="3"/>
  <c r="M38" i="3"/>
  <c r="M39" i="3"/>
  <c r="M40" i="3"/>
  <c r="M41" i="3"/>
  <c r="M42" i="3"/>
  <c r="M45" i="3"/>
  <c r="M44" i="3"/>
  <c r="M43" i="3"/>
  <c r="M46" i="3"/>
  <c r="M47" i="3"/>
  <c r="M49" i="3"/>
  <c r="M48" i="3"/>
  <c r="M51" i="3"/>
  <c r="M50" i="3"/>
  <c r="M52" i="3"/>
  <c r="M53" i="3"/>
  <c r="M55" i="3"/>
  <c r="M54" i="3"/>
  <c r="M56" i="3"/>
  <c r="M59" i="3"/>
  <c r="M57" i="3"/>
  <c r="M58" i="3"/>
  <c r="M62" i="3"/>
  <c r="M63" i="3"/>
  <c r="M60" i="3"/>
  <c r="M61" i="3"/>
  <c r="M64" i="3"/>
  <c r="M65" i="3"/>
  <c r="M66" i="3"/>
  <c r="M67" i="3"/>
  <c r="M68" i="3"/>
  <c r="M69" i="3"/>
  <c r="M70" i="3"/>
  <c r="M71" i="3"/>
  <c r="M72" i="3"/>
  <c r="M73" i="3"/>
  <c r="M74" i="3"/>
  <c r="M75" i="3"/>
  <c r="M76" i="3"/>
  <c r="M77" i="3"/>
  <c r="M79" i="3"/>
  <c r="M78" i="3"/>
  <c r="M80" i="3"/>
  <c r="M81" i="3"/>
  <c r="M82" i="3"/>
  <c r="M84" i="3"/>
  <c r="M83" i="3"/>
  <c r="M86" i="3"/>
  <c r="M87" i="3"/>
  <c r="M85" i="3"/>
  <c r="M88" i="3"/>
  <c r="M89" i="3"/>
  <c r="M91" i="3"/>
  <c r="M90" i="3"/>
  <c r="M93" i="3"/>
  <c r="M92" i="3"/>
  <c r="M94" i="3"/>
  <c r="M95" i="3"/>
  <c r="M96" i="3"/>
  <c r="M97" i="3"/>
  <c r="M98" i="3"/>
  <c r="M99" i="3"/>
  <c r="M101" i="3"/>
  <c r="M100" i="3"/>
  <c r="M103" i="3"/>
  <c r="M102" i="3"/>
  <c r="M104" i="3"/>
  <c r="M105" i="3"/>
  <c r="M106" i="3"/>
  <c r="M108" i="3"/>
  <c r="M107" i="3"/>
  <c r="M110" i="3"/>
  <c r="M111" i="3"/>
  <c r="M112" i="3"/>
  <c r="M113" i="3"/>
  <c r="M114" i="3"/>
  <c r="M116" i="3"/>
  <c r="M115" i="3"/>
  <c r="M117" i="3"/>
  <c r="M118" i="3"/>
  <c r="M119" i="3"/>
  <c r="M120" i="3"/>
  <c r="M121" i="3"/>
  <c r="M122" i="3"/>
  <c r="M123" i="3"/>
  <c r="M129" i="3"/>
  <c r="M124" i="3"/>
  <c r="M128" i="3"/>
  <c r="M127" i="3"/>
  <c r="M125" i="3"/>
  <c r="M126" i="3"/>
  <c r="M132" i="3"/>
  <c r="M131" i="3"/>
  <c r="M130" i="3"/>
  <c r="M134" i="3"/>
  <c r="M133" i="3"/>
  <c r="M135" i="3"/>
  <c r="M136" i="3"/>
  <c r="M138" i="3"/>
  <c r="M137" i="3"/>
  <c r="M139" i="3"/>
  <c r="M140" i="3"/>
  <c r="M141" i="3"/>
  <c r="M143" i="3"/>
  <c r="M142" i="3"/>
  <c r="M144" i="3"/>
  <c r="M146" i="3"/>
  <c r="M145" i="3"/>
  <c r="M149" i="3"/>
  <c r="M147" i="3"/>
  <c r="M148" i="3"/>
  <c r="M150" i="3"/>
  <c r="M152" i="3"/>
  <c r="M151" i="3"/>
  <c r="M153" i="3"/>
  <c r="M154" i="3"/>
  <c r="M155" i="3"/>
  <c r="M156" i="3"/>
  <c r="M157" i="3"/>
  <c r="M158" i="3"/>
  <c r="M161" i="3"/>
  <c r="M159" i="3"/>
  <c r="M160" i="3"/>
  <c r="M162" i="3"/>
  <c r="M164" i="3"/>
  <c r="M163" i="3"/>
  <c r="M165" i="3"/>
  <c r="M166" i="3"/>
  <c r="M167" i="3"/>
  <c r="M168" i="3"/>
  <c r="M170" i="3"/>
  <c r="M172" i="3"/>
  <c r="M171" i="3"/>
  <c r="M169" i="3"/>
  <c r="M173" i="3"/>
  <c r="M174" i="3"/>
  <c r="M175" i="3"/>
  <c r="M177" i="3"/>
  <c r="M176" i="3"/>
  <c r="M178" i="3"/>
  <c r="M179" i="3"/>
  <c r="M180" i="3"/>
  <c r="M181" i="3"/>
  <c r="M182" i="3"/>
  <c r="M183" i="3"/>
  <c r="M184" i="3"/>
  <c r="M185" i="3"/>
  <c r="M186" i="3"/>
  <c r="M188" i="3"/>
  <c r="M187" i="3"/>
  <c r="M189" i="3"/>
  <c r="M190" i="3"/>
  <c r="M191" i="3"/>
  <c r="M193" i="3"/>
  <c r="M194" i="3"/>
  <c r="M192" i="3"/>
  <c r="M195" i="3"/>
  <c r="M196" i="3"/>
  <c r="M197" i="3"/>
  <c r="M199" i="3"/>
  <c r="M198" i="3"/>
  <c r="M200" i="3"/>
  <c r="M201" i="3"/>
  <c r="M202" i="3"/>
  <c r="M204" i="3"/>
  <c r="M203" i="3"/>
  <c r="M205" i="3"/>
  <c r="M206" i="3"/>
  <c r="M207" i="3"/>
  <c r="M208" i="3"/>
  <c r="M209" i="3"/>
  <c r="M210" i="3"/>
  <c r="M212" i="3"/>
  <c r="M211" i="3"/>
  <c r="M213" i="3"/>
  <c r="M214" i="3"/>
  <c r="M216" i="3"/>
  <c r="M215" i="3"/>
  <c r="M217" i="3"/>
  <c r="M218" i="3"/>
  <c r="M219" i="3"/>
  <c r="M221" i="3"/>
  <c r="M220" i="3"/>
  <c r="M222" i="3"/>
  <c r="M223" i="3"/>
  <c r="M224" i="3"/>
  <c r="M225" i="3"/>
  <c r="M226" i="3"/>
  <c r="M228" i="3"/>
  <c r="M227" i="3"/>
  <c r="M229" i="3"/>
  <c r="M232" i="3"/>
  <c r="M230" i="3"/>
  <c r="M231" i="3"/>
  <c r="M233" i="3"/>
  <c r="M234" i="3"/>
  <c r="M235" i="3"/>
  <c r="M236" i="3"/>
  <c r="M237" i="3"/>
  <c r="M238" i="3"/>
  <c r="M240" i="3"/>
  <c r="M241" i="3"/>
  <c r="M239" i="3"/>
  <c r="M242" i="3"/>
  <c r="M243" i="3"/>
  <c r="M244" i="3"/>
  <c r="M247" i="3"/>
  <c r="M246" i="3"/>
  <c r="M245" i="3"/>
  <c r="M249" i="3"/>
  <c r="M248" i="3"/>
  <c r="M250" i="3"/>
  <c r="M251" i="3"/>
  <c r="M252" i="3"/>
  <c r="M253" i="3"/>
  <c r="M254" i="3"/>
  <c r="M255" i="3"/>
  <c r="M256" i="3"/>
  <c r="M258" i="3"/>
  <c r="M257" i="3"/>
  <c r="M259" i="3"/>
  <c r="M260" i="3"/>
  <c r="M261" i="3"/>
  <c r="M262" i="3"/>
  <c r="M263" i="3"/>
  <c r="M265" i="3"/>
  <c r="M264" i="3"/>
  <c r="M267" i="3"/>
  <c r="M266" i="3"/>
  <c r="M268" i="3"/>
  <c r="M269" i="3"/>
  <c r="M271" i="3"/>
  <c r="M270" i="3"/>
  <c r="M272" i="3"/>
  <c r="M275" i="3"/>
  <c r="M273" i="3"/>
  <c r="M274" i="3"/>
  <c r="M276" i="3"/>
  <c r="M277" i="3"/>
  <c r="M278" i="3"/>
  <c r="M279" i="3"/>
  <c r="M281" i="3"/>
  <c r="M280" i="3"/>
  <c r="M282" i="3"/>
  <c r="M284" i="3"/>
  <c r="M283" i="3"/>
  <c r="M285" i="3"/>
  <c r="M286" i="3"/>
  <c r="M287" i="3"/>
  <c r="M289" i="3"/>
  <c r="M288" i="3"/>
  <c r="M290" i="3"/>
  <c r="M292" i="3"/>
  <c r="M291" i="3"/>
  <c r="M293" i="3"/>
  <c r="M294" i="3"/>
  <c r="M296" i="3"/>
  <c r="M295" i="3"/>
  <c r="M297" i="3"/>
  <c r="M298" i="3"/>
  <c r="M299" i="3"/>
  <c r="M300" i="3"/>
  <c r="M301" i="3"/>
  <c r="M2" i="3"/>
  <c r="L4" i="3"/>
  <c r="L3" i="3"/>
  <c r="L5" i="3"/>
  <c r="L6" i="3"/>
  <c r="L8" i="3"/>
  <c r="L7" i="3"/>
  <c r="L9" i="3"/>
  <c r="L11" i="3"/>
  <c r="L10" i="3"/>
  <c r="L13" i="3"/>
  <c r="L12" i="3"/>
  <c r="L14" i="3"/>
  <c r="L16" i="3"/>
  <c r="L15" i="3"/>
  <c r="L17" i="3"/>
  <c r="L18" i="3"/>
  <c r="L19" i="3"/>
  <c r="L20" i="3"/>
  <c r="L21" i="3"/>
  <c r="L22" i="3"/>
  <c r="L23" i="3"/>
  <c r="L24" i="3"/>
  <c r="L25" i="3"/>
  <c r="L27" i="3"/>
  <c r="L28" i="3"/>
  <c r="L26" i="3"/>
  <c r="L29" i="3"/>
  <c r="L32" i="3"/>
  <c r="L31" i="3"/>
  <c r="L30" i="3"/>
  <c r="L33" i="3"/>
  <c r="L34" i="3"/>
  <c r="L35" i="3"/>
  <c r="L37" i="3"/>
  <c r="L36" i="3"/>
  <c r="L38" i="3"/>
  <c r="L39" i="3"/>
  <c r="L40" i="3"/>
  <c r="L41" i="3"/>
  <c r="L42" i="3"/>
  <c r="L45" i="3"/>
  <c r="L44" i="3"/>
  <c r="L43" i="3"/>
  <c r="L46" i="3"/>
  <c r="L47" i="3"/>
  <c r="L49" i="3"/>
  <c r="L48" i="3"/>
  <c r="L51" i="3"/>
  <c r="L50" i="3"/>
  <c r="L52" i="3"/>
  <c r="L53" i="3"/>
  <c r="L55" i="3"/>
  <c r="L54" i="3"/>
  <c r="L56" i="3"/>
  <c r="L59" i="3"/>
  <c r="L57" i="3"/>
  <c r="L58" i="3"/>
  <c r="L62" i="3"/>
  <c r="L63" i="3"/>
  <c r="L60" i="3"/>
  <c r="L61" i="3"/>
  <c r="L64" i="3"/>
  <c r="L65" i="3"/>
  <c r="L66" i="3"/>
  <c r="L67" i="3"/>
  <c r="L68" i="3"/>
  <c r="L69" i="3"/>
  <c r="L70" i="3"/>
  <c r="L71" i="3"/>
  <c r="L72" i="3"/>
  <c r="L73" i="3"/>
  <c r="L74" i="3"/>
  <c r="L75" i="3"/>
  <c r="L76" i="3"/>
  <c r="L77" i="3"/>
  <c r="L79" i="3"/>
  <c r="L78" i="3"/>
  <c r="L80" i="3"/>
  <c r="L81" i="3"/>
  <c r="L82" i="3"/>
  <c r="L84" i="3"/>
  <c r="L83" i="3"/>
  <c r="L86" i="3"/>
  <c r="L87" i="3"/>
  <c r="L85" i="3"/>
  <c r="L88" i="3"/>
  <c r="L89" i="3"/>
  <c r="L91" i="3"/>
  <c r="L90" i="3"/>
  <c r="L93" i="3"/>
  <c r="L92" i="3"/>
  <c r="L94" i="3"/>
  <c r="L95" i="3"/>
  <c r="L96" i="3"/>
  <c r="L97" i="3"/>
  <c r="L98" i="3"/>
  <c r="L99" i="3"/>
  <c r="L101" i="3"/>
  <c r="L100" i="3"/>
  <c r="L103" i="3"/>
  <c r="L102" i="3"/>
  <c r="L104" i="3"/>
  <c r="L105" i="3"/>
  <c r="L106" i="3"/>
  <c r="L108" i="3"/>
  <c r="L107" i="3"/>
  <c r="L110" i="3"/>
  <c r="L111" i="3"/>
  <c r="L112" i="3"/>
  <c r="L113" i="3"/>
  <c r="L114" i="3"/>
  <c r="L116" i="3"/>
  <c r="L115" i="3"/>
  <c r="L117" i="3"/>
  <c r="L118" i="3"/>
  <c r="L119" i="3"/>
  <c r="L120" i="3"/>
  <c r="L121" i="3"/>
  <c r="L122" i="3"/>
  <c r="L123" i="3"/>
  <c r="L129" i="3"/>
  <c r="L124" i="3"/>
  <c r="L128" i="3"/>
  <c r="L127" i="3"/>
  <c r="L125" i="3"/>
  <c r="L126" i="3"/>
  <c r="L132" i="3"/>
  <c r="L131" i="3"/>
  <c r="L130" i="3"/>
  <c r="L134" i="3"/>
  <c r="L133" i="3"/>
  <c r="L135" i="3"/>
  <c r="L136" i="3"/>
  <c r="L138" i="3"/>
  <c r="L137" i="3"/>
  <c r="L139" i="3"/>
  <c r="L140" i="3"/>
  <c r="L141" i="3"/>
  <c r="L143" i="3"/>
  <c r="L142" i="3"/>
  <c r="L144" i="3"/>
  <c r="L146" i="3"/>
  <c r="L145" i="3"/>
  <c r="L149" i="3"/>
  <c r="L147" i="3"/>
  <c r="L148" i="3"/>
  <c r="L150" i="3"/>
  <c r="L152" i="3"/>
  <c r="L151" i="3"/>
  <c r="L153" i="3"/>
  <c r="L154" i="3"/>
  <c r="L155" i="3"/>
  <c r="L156" i="3"/>
  <c r="L157" i="3"/>
  <c r="L158" i="3"/>
  <c r="L161" i="3"/>
  <c r="L159" i="3"/>
  <c r="L160" i="3"/>
  <c r="L162" i="3"/>
  <c r="L164" i="3"/>
  <c r="L163" i="3"/>
  <c r="L165" i="3"/>
  <c r="L166" i="3"/>
  <c r="L167" i="3"/>
  <c r="L168" i="3"/>
  <c r="L170" i="3"/>
  <c r="L172" i="3"/>
  <c r="L171" i="3"/>
  <c r="L169" i="3"/>
  <c r="L173" i="3"/>
  <c r="L174" i="3"/>
  <c r="L175" i="3"/>
  <c r="L177" i="3"/>
  <c r="L176" i="3"/>
  <c r="L178" i="3"/>
  <c r="L179" i="3"/>
  <c r="L180" i="3"/>
  <c r="L181" i="3"/>
  <c r="L182" i="3"/>
  <c r="L183" i="3"/>
  <c r="L184" i="3"/>
  <c r="L185" i="3"/>
  <c r="L186" i="3"/>
  <c r="L188" i="3"/>
  <c r="L187" i="3"/>
  <c r="L189" i="3"/>
  <c r="L190" i="3"/>
  <c r="L191" i="3"/>
  <c r="L193" i="3"/>
  <c r="L194" i="3"/>
  <c r="L192" i="3"/>
  <c r="L195" i="3"/>
  <c r="L196" i="3"/>
  <c r="L197" i="3"/>
  <c r="L199" i="3"/>
  <c r="L198" i="3"/>
  <c r="L200" i="3"/>
  <c r="L201" i="3"/>
  <c r="L202" i="3"/>
  <c r="L204" i="3"/>
  <c r="L203" i="3"/>
  <c r="L205" i="3"/>
  <c r="L206" i="3"/>
  <c r="L207" i="3"/>
  <c r="L208" i="3"/>
  <c r="L209" i="3"/>
  <c r="L210" i="3"/>
  <c r="L212" i="3"/>
  <c r="L211" i="3"/>
  <c r="L213" i="3"/>
  <c r="L214" i="3"/>
  <c r="L216" i="3"/>
  <c r="L215" i="3"/>
  <c r="L217" i="3"/>
  <c r="L218" i="3"/>
  <c r="L219" i="3"/>
  <c r="L221" i="3"/>
  <c r="L220" i="3"/>
  <c r="L222" i="3"/>
  <c r="L223" i="3"/>
  <c r="L224" i="3"/>
  <c r="L225" i="3"/>
  <c r="L226" i="3"/>
  <c r="L228" i="3"/>
  <c r="L227" i="3"/>
  <c r="L229" i="3"/>
  <c r="L232" i="3"/>
  <c r="L230" i="3"/>
  <c r="L231" i="3"/>
  <c r="L233" i="3"/>
  <c r="L234" i="3"/>
  <c r="L235" i="3"/>
  <c r="L236" i="3"/>
  <c r="L237" i="3"/>
  <c r="L238" i="3"/>
  <c r="L240" i="3"/>
  <c r="L241" i="3"/>
  <c r="L239" i="3"/>
  <c r="L242" i="3"/>
  <c r="L243" i="3"/>
  <c r="L244" i="3"/>
  <c r="L247" i="3"/>
  <c r="L246" i="3"/>
  <c r="L245" i="3"/>
  <c r="L249" i="3"/>
  <c r="L248" i="3"/>
  <c r="L250" i="3"/>
  <c r="L251" i="3"/>
  <c r="L252" i="3"/>
  <c r="L253" i="3"/>
  <c r="L254" i="3"/>
  <c r="L255" i="3"/>
  <c r="L256" i="3"/>
  <c r="L258" i="3"/>
  <c r="L257" i="3"/>
  <c r="L259" i="3"/>
  <c r="L260" i="3"/>
  <c r="L261" i="3"/>
  <c r="L262" i="3"/>
  <c r="L263" i="3"/>
  <c r="L265" i="3"/>
  <c r="L264" i="3"/>
  <c r="L267" i="3"/>
  <c r="L266" i="3"/>
  <c r="L268" i="3"/>
  <c r="L269" i="3"/>
  <c r="L271" i="3"/>
  <c r="L270" i="3"/>
  <c r="L272" i="3"/>
  <c r="L275" i="3"/>
  <c r="L273" i="3"/>
  <c r="L274" i="3"/>
  <c r="L276" i="3"/>
  <c r="L277" i="3"/>
  <c r="L278" i="3"/>
  <c r="L279" i="3"/>
  <c r="L281" i="3"/>
  <c r="L280" i="3"/>
  <c r="L282" i="3"/>
  <c r="L284" i="3"/>
  <c r="L283" i="3"/>
  <c r="L285" i="3"/>
  <c r="L286" i="3"/>
  <c r="L287" i="3"/>
  <c r="L289" i="3"/>
  <c r="L288" i="3"/>
  <c r="L290" i="3"/>
  <c r="L292" i="3"/>
  <c r="L291" i="3"/>
  <c r="L293" i="3"/>
  <c r="L294" i="3"/>
  <c r="L296" i="3"/>
  <c r="L295" i="3"/>
  <c r="L297" i="3"/>
  <c r="L298" i="3"/>
  <c r="L299" i="3"/>
  <c r="L300" i="3"/>
  <c r="L301" i="3"/>
  <c r="L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100CC7-0708-46B0-B3B2-0A8F8A3C9048}" keepAlive="1" name="Query - Campaign(1)" description="Connection to the 'Campaign' query in the workbook." type="5" refreshedVersion="8" background="1" saveData="1">
    <dbPr connection="Provider=Microsoft.Mashup.OleDb.1;Data Source=$Workbook$;Location=Campaign;Extended Properties=&quot;&quot;" command="SELECT * FROM [Campaign]"/>
  </connection>
  <connection id="2" xr16:uid="{7DB143EE-E1C2-4BE9-976B-3ED4C35231DF}"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E48D04F2-D31A-428B-BD69-3A7C3231777E}"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4" xr16:uid="{F7E53F3E-99EF-4543-8C18-393D44DFDF50}" keepAlive="1" name="Query - post" description="Connection to the 'post' query in the workbook." type="5" refreshedVersion="8" background="1" saveData="1">
    <dbPr connection="Provider=Microsoft.Mashup.OleDb.1;Data Source=$Workbook$;Location=post;Extended Properties=&quot;&quot;" command="SELECT * FROM [post]"/>
  </connection>
  <connection id="5" xr16:uid="{3E35BEA1-FA6C-442E-8F83-33E07E09994F}" keepAlive="1" name="Query - week" description="Connection to the 'week' query in the workbook." type="5" refreshedVersion="8" background="1" saveData="1">
    <dbPr connection="Provider=Microsoft.Mashup.OleDb.1;Data Source=$Workbook$;Location=week;Extended Properties=&quot;&quot;" command="SELECT * FROM [week]"/>
  </connection>
</connections>
</file>

<file path=xl/sharedStrings.xml><?xml version="1.0" encoding="utf-8"?>
<sst xmlns="http://schemas.openxmlformats.org/spreadsheetml/2006/main" count="11621" uniqueCount="725">
  <si>
    <t>Post ID</t>
  </si>
  <si>
    <t>Platform</t>
  </si>
  <si>
    <t>Date</t>
  </si>
  <si>
    <t>Content Type</t>
  </si>
  <si>
    <t>Post Text</t>
  </si>
  <si>
    <t>Likes</t>
  </si>
  <si>
    <t>Shares</t>
  </si>
  <si>
    <t>Comments</t>
  </si>
  <si>
    <t>Impressions</t>
  </si>
  <si>
    <t>Reach</t>
  </si>
  <si>
    <t>Clicks</t>
  </si>
  <si>
    <t>Campaign_Name</t>
  </si>
  <si>
    <t>P001</t>
  </si>
  <si>
    <t>Twitter</t>
  </si>
  <si>
    <t>2024-12-23</t>
  </si>
  <si>
    <t>Reel</t>
  </si>
  <si>
    <t>Check out our latest reel on twitter!</t>
  </si>
  <si>
    <t>CybertruckLaunch</t>
  </si>
  <si>
    <t>P002</t>
  </si>
  <si>
    <t>2025-04-03</t>
  </si>
  <si>
    <t>Text</t>
  </si>
  <si>
    <t>Check out our latest text on twitter!</t>
  </si>
  <si>
    <t>ModelYCampaign</t>
  </si>
  <si>
    <t>P003</t>
  </si>
  <si>
    <t>YouTube</t>
  </si>
  <si>
    <t>2025-05-12</t>
  </si>
  <si>
    <t>Check out our latest reel on youtube!</t>
  </si>
  <si>
    <t>#TeslaCoInnovation</t>
  </si>
  <si>
    <t>FSDUpdate</t>
  </si>
  <si>
    <t>P004</t>
  </si>
  <si>
    <t>Instagram</t>
  </si>
  <si>
    <t>2024-08-12</t>
  </si>
  <si>
    <t>Story</t>
  </si>
  <si>
    <t>Check out our latest story on instagram!</t>
  </si>
  <si>
    <t>#EVRevolution</t>
  </si>
  <si>
    <t>SustainabilityDrive</t>
  </si>
  <si>
    <t>P005</t>
  </si>
  <si>
    <t>2024-06-26</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</si>
  <si>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</si>
  <si>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</si>
  <si>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</si>
  <si>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</si>
  <si>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</si>
  <si>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</si>
  <si>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</si>
  <si>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</si>
  <si>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</si>
  <si>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</si>
  <si>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</si>
  <si>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</si>
  <si>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</si>
  <si>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</si>
  <si>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</si>
  <si>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</si>
  <si>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</si>
  <si>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</si>
  <si>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</si>
  <si>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</si>
  <si>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#FutureOfDriving</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</si>
  <si>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</si>
  <si>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</si>
  <si>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</si>
  <si>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</si>
  <si>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</si>
  <si>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</si>
  <si>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</si>
  <si>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</si>
  <si>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</si>
  <si>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</si>
  <si>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</si>
  <si>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</si>
  <si>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</si>
  <si>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</si>
  <si>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</si>
  <si>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</si>
  <si>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</si>
  <si>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</si>
  <si>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</si>
  <si>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</si>
  <si>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</si>
  <si>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</si>
  <si>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</si>
  <si>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</si>
  <si>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</si>
  <si>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</si>
  <si>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</si>
  <si>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</si>
  <si>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</si>
  <si>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</si>
  <si>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</si>
  <si>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</si>
  <si>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</si>
  <si>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</si>
  <si>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</si>
  <si>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</si>
  <si>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</si>
  <si>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</si>
  <si>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</si>
  <si>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</si>
  <si>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</si>
  <si>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</si>
  <si>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</si>
  <si>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</si>
  <si>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</si>
  <si>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</si>
  <si>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</si>
  <si>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</si>
  <si>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</si>
  <si>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</si>
  <si>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</si>
  <si>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</si>
  <si>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</si>
  <si>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</si>
  <si>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</si>
  <si>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</si>
  <si>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</si>
  <si>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</si>
  <si>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</si>
  <si>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</si>
  <si>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</si>
  <si>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</si>
  <si>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</si>
  <si>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</si>
  <si>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</si>
  <si>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</si>
  <si>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</si>
  <si>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</si>
  <si>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</si>
  <si>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</si>
  <si>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</si>
  <si>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</si>
  <si>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</si>
  <si>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</si>
  <si>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</si>
  <si>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</si>
  <si>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</si>
  <si>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</si>
  <si>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</si>
  <si>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</si>
  <si>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</si>
  <si>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</si>
  <si>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</si>
  <si>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</si>
  <si>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</si>
  <si>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</si>
  <si>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</si>
  <si>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</si>
  <si>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</si>
  <si>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</si>
  <si>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</si>
  <si>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</si>
  <si>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</si>
  <si>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</si>
  <si>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</si>
  <si>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</si>
  <si>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P054</t>
  </si>
  <si>
    <t>2025-03-13</t>
  </si>
  <si>
    <t>P055</t>
  </si>
  <si>
    <t>2024-06-17</t>
  </si>
  <si>
    <t>P056</t>
  </si>
  <si>
    <t>2024-12-18</t>
  </si>
  <si>
    <t>P057</t>
  </si>
  <si>
    <t>2024-10-21</t>
  </si>
  <si>
    <t>P058</t>
  </si>
  <si>
    <t>2025-04-15</t>
  </si>
  <si>
    <t>P059</t>
  </si>
  <si>
    <t>2024-06-22</t>
  </si>
  <si>
    <t>P060</t>
  </si>
  <si>
    <t>2025-01-28</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</si>
  <si>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</si>
  <si>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</si>
  <si>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</si>
  <si>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</si>
  <si>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</si>
  <si>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</si>
  <si>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</si>
  <si>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</si>
  <si>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</si>
  <si>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</si>
  <si>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</si>
  <si>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</si>
  <si>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</si>
  <si>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</si>
  <si>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</si>
  <si>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</si>
  <si>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</si>
  <si>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</si>
  <si>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</si>
  <si>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</si>
  <si>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</si>
  <si>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</si>
  <si>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</si>
  <si>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</si>
  <si>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</si>
  <si>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</si>
  <si>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</si>
  <si>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</si>
  <si>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</si>
  <si>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</si>
  <si>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</si>
  <si>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</si>
  <si>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</si>
  <si>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</si>
  <si>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</si>
  <si>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</si>
  <si>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</si>
  <si>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</si>
  <si>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</si>
  <si>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</si>
  <si>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</si>
  <si>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</si>
  <si>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</si>
  <si>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</si>
  <si>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</si>
  <si>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</si>
  <si>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</si>
  <si>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</si>
  <si>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</si>
  <si>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</si>
  <si>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</si>
  <si>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</si>
  <si>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</si>
  <si>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</si>
  <si>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</si>
  <si>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</si>
  <si>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</si>
  <si>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</si>
  <si>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</si>
  <si>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</si>
  <si>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</si>
  <si>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</si>
  <si>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</si>
  <si>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</si>
  <si>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</si>
  <si>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</si>
  <si>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</si>
  <si>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</si>
  <si>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</si>
  <si>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</si>
  <si>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</si>
  <si>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</si>
  <si>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</si>
  <si>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</si>
  <si>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</si>
  <si>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</si>
  <si>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</si>
  <si>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</si>
  <si>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</si>
  <si>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</si>
  <si>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</si>
  <si>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</si>
  <si>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</si>
  <si>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</si>
  <si>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</si>
  <si>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</si>
  <si>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</si>
  <si>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</si>
  <si>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</si>
  <si>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</si>
  <si>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</si>
  <si>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</si>
  <si>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</si>
  <si>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</si>
  <si>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</si>
  <si>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</si>
  <si>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</si>
  <si>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</si>
  <si>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</si>
  <si>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</si>
  <si>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</si>
  <si>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</si>
  <si>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</si>
  <si>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</si>
  <si>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</si>
  <si>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</si>
  <si>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</si>
  <si>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</si>
  <si>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</si>
  <si>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</si>
  <si>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</si>
  <si>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</si>
  <si>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</si>
  <si>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</si>
  <si>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</si>
  <si>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</si>
  <si>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</si>
  <si>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</si>
  <si>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</si>
  <si>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</si>
  <si>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</si>
  <si>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</si>
  <si>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</si>
  <si>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</si>
  <si>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</si>
  <si>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</si>
  <si>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</si>
  <si>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</si>
  <si>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</si>
  <si>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</si>
  <si>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</si>
  <si>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</si>
  <si>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</si>
  <si>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</si>
  <si>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</si>
  <si>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</si>
  <si>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</si>
  <si>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</si>
  <si>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</si>
  <si>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P141</t>
  </si>
  <si>
    <t>2024-08-31</t>
  </si>
  <si>
    <t>P142</t>
  </si>
  <si>
    <t>P143</t>
  </si>
  <si>
    <t>P144</t>
  </si>
  <si>
    <t>P145</t>
  </si>
  <si>
    <t>P146</t>
  </si>
  <si>
    <t>2024-06-05</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</si>
  <si>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</si>
  <si>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</si>
  <si>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</si>
  <si>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</si>
  <si>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</si>
  <si>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</si>
  <si>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</si>
  <si>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</si>
  <si>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</si>
  <si>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</si>
  <si>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</si>
  <si>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</si>
  <si>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</si>
  <si>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</si>
  <si>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</si>
  <si>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</si>
  <si>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</si>
  <si>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</si>
  <si>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</si>
  <si>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</si>
  <si>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</si>
  <si>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</si>
  <si>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</si>
  <si>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</si>
  <si>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</si>
  <si>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</si>
  <si>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</si>
  <si>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</si>
  <si>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</si>
  <si>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</si>
  <si>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</si>
  <si>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</si>
  <si>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</si>
  <si>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</si>
  <si>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</si>
  <si>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</si>
  <si>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</si>
  <si>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</si>
  <si>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</si>
  <si>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</si>
  <si>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</si>
  <si>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</si>
  <si>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</si>
  <si>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</si>
  <si>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</si>
  <si>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</si>
  <si>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</si>
  <si>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</si>
  <si>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</si>
  <si>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</si>
  <si>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</si>
  <si>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</si>
  <si>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</si>
  <si>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</si>
  <si>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</si>
  <si>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</si>
  <si>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</si>
  <si>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</si>
  <si>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</si>
  <si>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</si>
  <si>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</si>
  <si>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</si>
  <si>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</si>
  <si>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</si>
  <si>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</si>
  <si>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</si>
  <si>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</si>
  <si>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</si>
  <si>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</si>
  <si>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</si>
  <si>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</si>
  <si>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</si>
  <si>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</si>
  <si>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</si>
  <si>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</si>
  <si>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</si>
  <si>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</si>
  <si>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</si>
  <si>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</si>
  <si>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</si>
  <si>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</si>
  <si>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</si>
  <si>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</si>
  <si>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</si>
  <si>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</si>
  <si>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</si>
  <si>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</si>
  <si>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</si>
  <si>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</si>
  <si>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</si>
  <si>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</si>
  <si>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</si>
  <si>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</si>
  <si>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</si>
  <si>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</si>
  <si>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</si>
  <si>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</si>
  <si>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</si>
  <si>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</si>
  <si>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</si>
  <si>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</si>
  <si>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</si>
  <si>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</si>
  <si>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</si>
  <si>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</si>
  <si>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</si>
  <si>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</si>
  <si>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</si>
  <si>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</si>
  <si>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</si>
  <si>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</si>
  <si>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</si>
  <si>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</si>
  <si>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</si>
  <si>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</si>
  <si>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</si>
  <si>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</si>
  <si>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</si>
  <si>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</si>
  <si>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</si>
  <si>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</si>
  <si>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</si>
  <si>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</si>
  <si>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</si>
  <si>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</si>
  <si>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</si>
  <si>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</si>
  <si>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</si>
  <si>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</si>
  <si>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</si>
  <si>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</si>
  <si>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</si>
  <si>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</si>
  <si>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</si>
  <si>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</si>
  <si>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</si>
  <si>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</si>
  <si>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</si>
  <si>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P237</t>
  </si>
  <si>
    <t>P238</t>
  </si>
  <si>
    <t>2024-07-16</t>
  </si>
  <si>
    <t>P239</t>
  </si>
  <si>
    <t>P240</t>
  </si>
  <si>
    <t>P241</t>
  </si>
  <si>
    <t>2025-01-18</t>
  </si>
  <si>
    <t>P242</t>
  </si>
  <si>
    <t>P243</t>
  </si>
  <si>
    <t>2025-03-06</t>
  </si>
  <si>
    <t>P244</t>
  </si>
  <si>
    <t>2024-10-25</t>
  </si>
  <si>
    <t>P245</t>
  </si>
  <si>
    <t>2025-01-12</t>
  </si>
  <si>
    <t>P246</t>
  </si>
  <si>
    <t>2024-10-11</t>
  </si>
  <si>
    <t>P247</t>
  </si>
  <si>
    <t>2024-08-27</t>
  </si>
  <si>
    <t>P248</t>
  </si>
  <si>
    <t>P249</t>
  </si>
  <si>
    <t>P250</t>
  </si>
  <si>
    <t>P251</t>
  </si>
  <si>
    <t>2025-03-27</t>
  </si>
  <si>
    <t>P252</t>
  </si>
  <si>
    <t>P253</t>
  </si>
  <si>
    <t>2024-08-03</t>
  </si>
  <si>
    <t>P254</t>
  </si>
  <si>
    <t>2025-01-14</t>
  </si>
  <si>
    <t>P255</t>
  </si>
  <si>
    <t>P256</t>
  </si>
  <si>
    <t>P257</t>
  </si>
  <si>
    <t>P258</t>
  </si>
  <si>
    <t>2024-08-05</t>
  </si>
  <si>
    <t>P259</t>
  </si>
  <si>
    <t>P260</t>
  </si>
  <si>
    <t>2025-02-12</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</si>
  <si>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</si>
  <si>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</si>
  <si>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</si>
  <si>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</si>
  <si>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</si>
  <si>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</si>
  <si>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</si>
  <si>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</si>
  <si>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</si>
  <si>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</si>
  <si>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</si>
  <si>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</si>
  <si>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</si>
  <si>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</si>
  <si>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</si>
  <si>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</si>
  <si>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</si>
  <si>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</si>
  <si>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</si>
  <si>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</si>
  <si>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</si>
  <si>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</si>
  <si>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</si>
  <si>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</si>
  <si>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</si>
  <si>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</si>
  <si>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</si>
  <si>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</si>
  <si>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</si>
  <si>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</si>
  <si>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</si>
  <si>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</si>
  <si>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</si>
  <si>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</si>
  <si>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</si>
  <si>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</si>
  <si>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</si>
  <si>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</si>
  <si>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</si>
  <si>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</si>
  <si>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</si>
  <si>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</si>
  <si>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</si>
  <si>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</si>
  <si>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</si>
  <si>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</si>
  <si>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</si>
  <si>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</si>
  <si>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</si>
  <si>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</si>
  <si>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</si>
  <si>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</si>
  <si>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</si>
  <si>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</si>
  <si>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</si>
  <si>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</si>
  <si>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</si>
  <si>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</si>
  <si>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</si>
  <si>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</si>
  <si>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</si>
  <si>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#AnytimeIsTeslaTime</t>
  </si>
  <si>
    <t>#SmoothLikeNitroTesla</t>
  </si>
  <si>
    <t>#BetterWithTesla</t>
  </si>
  <si>
    <t>TASK 1</t>
  </si>
  <si>
    <t>1.Remove duplicate Tesla posts.</t>
  </si>
  <si>
    <t>2.Standardize date</t>
  </si>
  <si>
    <t>3.Platform names</t>
  </si>
  <si>
    <t>4. Format numeric columns (Likes  Reach  Impressions  Ad Spend).</t>
  </si>
  <si>
    <t>5.Split hashtags (e.g., #Cybertruck, #EVRevolution, #TeslaEnergy) into individual tags.</t>
  </si>
  <si>
    <t>Steps</t>
  </si>
  <si>
    <t>1.Data -&gt; Remove duplicate ,2.Power query editor</t>
  </si>
  <si>
    <t>1..Home -&gt; Number-&gt;date,2.Power query editor</t>
  </si>
  <si>
    <t>1.Find -&gt;Replace ,2.power query editor</t>
  </si>
  <si>
    <t>1.Home-&gt; Number-&gt;Number</t>
  </si>
  <si>
    <t>1.Data -&gt;Text to column -&gt;deliminter ,2.Power query editor</t>
  </si>
  <si>
    <r>
      <t xml:space="preserve"> </t>
    </r>
    <r>
      <rPr>
        <b/>
        <sz val="14"/>
        <color theme="1"/>
        <rFont val="Calibri"/>
        <family val="2"/>
        <scheme val="minor"/>
      </rPr>
      <t>Methods</t>
    </r>
    <r>
      <rPr>
        <sz val="14"/>
        <color theme="1"/>
        <rFont val="Calibri"/>
        <family val="2"/>
        <scheme val="minor"/>
      </rPr>
      <t xml:space="preserve"> </t>
    </r>
  </si>
  <si>
    <t>1.Calculate average engagement rate per platform:</t>
  </si>
  <si>
    <t>1.Engagement Rate = (Likes + Shares + Comments) / Impressions ,create 2 column Engagement rate, Total Enagaement</t>
  </si>
  <si>
    <t>Hashtags 1</t>
  </si>
  <si>
    <t>Hashtags 2</t>
  </si>
  <si>
    <t>Hashtags 3</t>
  </si>
  <si>
    <t>Total Engagement</t>
  </si>
  <si>
    <t>Engagement Rate</t>
  </si>
  <si>
    <t>2Identify Top 10 Tesla posts with highest engagement.</t>
  </si>
  <si>
    <t>TASK 2</t>
  </si>
  <si>
    <t>3.Create a pivot table showing:
○ Total Likes, Shares, Comments by Content Type &amp; Platform
○ Average Clicks per post by Hashtag</t>
  </si>
  <si>
    <t>4. Highlight top-performing hashtags (#Cybertruck, #ModelY, #EVAdoption, etc.).</t>
  </si>
  <si>
    <t>1..Sort and filter top 10 data on ER % column</t>
  </si>
  <si>
    <t>Row Labels</t>
  </si>
  <si>
    <t>Grand Total</t>
  </si>
  <si>
    <t>Sum of Likes</t>
  </si>
  <si>
    <t>Sum of Shares</t>
  </si>
  <si>
    <t>Sum of Comments</t>
  </si>
  <si>
    <t>Average of Clicks</t>
  </si>
  <si>
    <t>1.Create pivot table,show sum of likes ,shares,comment in values and drag content type and hashtag in rows 2.Show average click in values and hashtag  column.</t>
  </si>
  <si>
    <t>1. create pivot table and show sum of total enagaement in values and hashtags in  column</t>
  </si>
  <si>
    <t xml:space="preserve"> Top 10 Tesla posts with highest engagement.</t>
  </si>
  <si>
    <t>Total Likes, Shares, Comments by Content Type &amp; Platform</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</si>
  <si>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</si>
  <si>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</si>
  <si>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</si>
  <si>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</si>
  <si>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</si>
  <si>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</si>
  <si>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</si>
  <si>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</si>
  <si>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</si>
  <si>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</si>
  <si>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</si>
  <si>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</si>
  <si>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</si>
  <si>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</si>
  <si>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</si>
  <si>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</si>
  <si>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</si>
  <si>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</si>
  <si>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</si>
  <si>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</si>
  <si>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</si>
  <si>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</si>
  <si>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</si>
  <si>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</si>
  <si>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Followers gained</t>
  </si>
  <si>
    <t>Growth Rate</t>
  </si>
  <si>
    <t>1.Identify the platform with highest engagement (e.g., Twitter for announcements vs.
YouTube for product demos).</t>
  </si>
  <si>
    <t>2.Compare follower growth rates across platforms.</t>
  </si>
  <si>
    <t>3.Visualize Engagement vs. Ad Spend per platform.</t>
  </si>
  <si>
    <t>TASK 3</t>
  </si>
  <si>
    <t>4.Advise: Should Tesla focus on Twitter + YouTube (product announcements + demos) or
maintain a multi-platform strategy?</t>
  </si>
  <si>
    <t xml:space="preserve"> Methods </t>
  </si>
  <si>
    <t>Average of Engagement_Rate</t>
  </si>
  <si>
    <t>Platform with highest engagement</t>
  </si>
  <si>
    <t>Average of Growth Rate</t>
  </si>
  <si>
    <t>Follower growth rates across platforms.</t>
  </si>
  <si>
    <t>1.USE scatter plot to show numerical value,Visualize engagement vs ad spend.</t>
  </si>
  <si>
    <t>TASK 4</t>
  </si>
  <si>
    <t>1.Identify most frequently used Tesla hashtags.</t>
  </si>
  <si>
    <t>2.Compare average performance of posts containing each hashtag.</t>
  </si>
  <si>
    <t>3.Compare content performance:
○ Videos (product demos, Elon talks)
○ Images (car designs, interiors)
○ Carousels (features, comparisons)</t>
  </si>
  <si>
    <t>4.Recommend content type priorities per platform (e.g., videos on YouTube, car images on
Instagram).</t>
  </si>
  <si>
    <t>Hashtags Used</t>
  </si>
  <si>
    <t>#EVRevolution,#TeslaCoInnovation</t>
  </si>
  <si>
    <t xml:space="preserve"> Total Engagement</t>
  </si>
  <si>
    <t>Engagement rate</t>
  </si>
  <si>
    <t>Count of Hashtags Used</t>
  </si>
  <si>
    <t>Most frequently used Tesla hashtags.</t>
  </si>
  <si>
    <t>Compare average performance of posts containing each hashtag.</t>
  </si>
  <si>
    <t>Average of Engagement rate</t>
  </si>
  <si>
    <t>Average of Reach</t>
  </si>
  <si>
    <t>Average of Impressions</t>
  </si>
  <si>
    <t>Average of Comments</t>
  </si>
  <si>
    <t>Average of Shares</t>
  </si>
  <si>
    <t>Average of Likes</t>
  </si>
  <si>
    <t>Compare content performance</t>
  </si>
  <si>
    <t>Start_Date</t>
  </si>
  <si>
    <t>End_Date</t>
  </si>
  <si>
    <t>Objective</t>
  </si>
  <si>
    <t>Total_Budget</t>
  </si>
  <si>
    <t>Target_Platforms</t>
  </si>
  <si>
    <t>Primary_Hashtags</t>
  </si>
  <si>
    <t>Product Awareness</t>
  </si>
  <si>
    <t>Customer Engagement</t>
  </si>
  <si>
    <t>#AnytimeIsTeslaTime,</t>
  </si>
  <si>
    <t>Vehicle Launch</t>
  </si>
  <si>
    <t>Community Growth</t>
  </si>
  <si>
    <t>#BetterWithTesla,#FutureOfDriving</t>
  </si>
  <si>
    <t>1.Calculate average engagement rate per platform:
Engagement Rate = (Likes + Shares + Comments) / Impressions</t>
  </si>
  <si>
    <t>1.Create new column Engagement rate =(Likes + Shares + Comments) / Impressions and .Create Pivot table, and ER in values and platform in rows</t>
  </si>
  <si>
    <t>2.Identify Top 10 Tesla posts with highest engagement.</t>
  </si>
  <si>
    <t>4.Highlight top-performing hashtags (#Cybertruck, #ModelY, #EVAdoption, etc.).</t>
  </si>
  <si>
    <t>2.sort ER column from largest to smallest apply top 10 rows</t>
  </si>
  <si>
    <t>1.Create Pivot table, and sum of likes ,shares ,comment in values and in rows content type and platform,2.split the hashtag column and create pivot table average clicks in values and rows in post using slicer(hashtags)</t>
  </si>
  <si>
    <t>1.Create pivot table,and use conditional formatting and apply top bottom rule and top1 .</t>
  </si>
  <si>
    <t>Visualize Engagement vs. Ad Spend per platform.</t>
  </si>
  <si>
    <t>Column Labels</t>
  </si>
  <si>
    <t>Sum of Followers gained</t>
  </si>
  <si>
    <t>Visualize weekly follower growth per platform (line chart).</t>
  </si>
  <si>
    <t>Identify the peak week of follower gain.</t>
  </si>
  <si>
    <t>Moving averages to smooth growth trends</t>
  </si>
  <si>
    <t>Ad spend vs. follower growth using scatter plots.</t>
  </si>
  <si>
    <t>TASK 6</t>
  </si>
  <si>
    <t>1.Visualize weekly follower growth per platform (line chart).</t>
  </si>
  <si>
    <t>2.Identify the peak week of follower gain.</t>
  </si>
  <si>
    <t>3.Use moving averages to smooth growth trends.</t>
  </si>
  <si>
    <t>4.Correlate ad spend vs. follower growth using scatter plots.</t>
  </si>
  <si>
    <t>1.Create Pivot table, and pivot chart(line chart ) in column platform and in rows weekday value as  total followers</t>
  </si>
  <si>
    <t>1.Create Pivot table, and pivot chart(line chart ) in rows weekday value as  folllowers gained.</t>
  </si>
  <si>
    <t>1.Create pivot table , and pivot chart( line chart) in rows weekday and value as average of growth rate.</t>
  </si>
  <si>
    <t xml:space="preserve">1.Using scatter plot show the ad spend vs follwer growth </t>
  </si>
  <si>
    <t>1.Create Pivot table, to show most frequent hashtags.</t>
  </si>
  <si>
    <t>1.Create Pivot table, and to show average performance of each content type</t>
  </si>
  <si>
    <t>1.Create Pivot table, and use (pivot chart )pie  chart to show average performance of each posts.</t>
  </si>
  <si>
    <t>1.Create Pivot table, and use (pivot chart )column  chart to show follwer growth rate across platfrom</t>
  </si>
  <si>
    <t>1.Create Pivot table, and use (pivot chart )bar chart to show average engagement rate</t>
  </si>
  <si>
    <t>.</t>
  </si>
  <si>
    <t>Sum of Impressions</t>
  </si>
  <si>
    <t>Sum of Clicks</t>
  </si>
  <si>
    <t>Average of Clicks2</t>
  </si>
  <si>
    <t>Average of Likes2</t>
  </si>
  <si>
    <t>Average of Impressions2</t>
  </si>
  <si>
    <t>Total &amp; Average Impressions, Likes, Clicks per Campaign.</t>
  </si>
  <si>
    <t>Average of Ad_Spend</t>
  </si>
  <si>
    <t xml:space="preserve">Average Clicks per post by Hashtag and  Top-performing hashtags </t>
  </si>
  <si>
    <r>
      <t xml:space="preserve">1.Recommendation available in Sheet </t>
    </r>
    <r>
      <rPr>
        <b/>
        <sz val="14"/>
        <color theme="1"/>
        <rFont val="Calibri"/>
        <family val="2"/>
        <scheme val="minor"/>
      </rPr>
      <t>TASK 4.4.</t>
    </r>
  </si>
  <si>
    <r>
      <t xml:space="preserve">1.Recommendation available in Sheet </t>
    </r>
    <r>
      <rPr>
        <b/>
        <sz val="14"/>
        <color theme="1"/>
        <rFont val="Calibri"/>
        <family val="2"/>
        <scheme val="minor"/>
      </rPr>
      <t>TASK 3.5.</t>
    </r>
  </si>
  <si>
    <t>Average of Followers gained</t>
  </si>
  <si>
    <t>TASK 5</t>
  </si>
  <si>
    <t>1.Calculate:
 Total &amp; Average Impressions, Likes, Clicks per Campaign.</t>
  </si>
  <si>
    <t>2.Calculate:Engagement uplift during vs. before campaigns (e.g., Cybertruck launch spike).</t>
  </si>
  <si>
    <t>3.Which campaign had the highest ROI (engagement vs. spend)?</t>
  </si>
  <si>
    <t>4. Which campaign drove the strongest follower growth?</t>
  </si>
  <si>
    <t>1.Create Pivot table,  in column platform and in rows weekday value as  total followers</t>
  </si>
  <si>
    <t>post. Total Engagement</t>
  </si>
  <si>
    <t>post.Engagement rate</t>
  </si>
  <si>
    <t>post.Content Type</t>
  </si>
  <si>
    <t>post.Post Text</t>
  </si>
  <si>
    <t>week.New_Followers</t>
  </si>
  <si>
    <t>week.Unfollows</t>
  </si>
  <si>
    <t>week.Total_Followers</t>
  </si>
  <si>
    <t>week.Ad_Spend</t>
  </si>
  <si>
    <t>week.Followers gained</t>
  </si>
  <si>
    <t>week.Growth Rate</t>
  </si>
  <si>
    <t>Hashtags</t>
  </si>
  <si>
    <t>ROI</t>
  </si>
  <si>
    <t>current engagement rate</t>
  </si>
  <si>
    <t>previous engagement rate</t>
  </si>
  <si>
    <t>N/A(first campaign)</t>
  </si>
  <si>
    <t>uplit</t>
  </si>
  <si>
    <t>Follower before</t>
  </si>
  <si>
    <t>Follower after</t>
  </si>
  <si>
    <t>follwer growth</t>
  </si>
  <si>
    <r>
      <t xml:space="preserve">1.Uplift available in </t>
    </r>
    <r>
      <rPr>
        <b/>
        <sz val="14"/>
        <color theme="1"/>
        <rFont val="Calibri"/>
        <family val="2"/>
        <scheme val="minor"/>
      </rPr>
      <t>Merge 2.</t>
    </r>
  </si>
  <si>
    <r>
      <t xml:space="preserve">1.ROI available in </t>
    </r>
    <r>
      <rPr>
        <b/>
        <sz val="14"/>
        <color theme="1"/>
        <rFont val="Calibri"/>
        <family val="2"/>
        <scheme val="minor"/>
      </rPr>
      <t>Merge 2.</t>
    </r>
  </si>
  <si>
    <r>
      <t xml:space="preserve">1.Highest follwer growth available in </t>
    </r>
    <r>
      <rPr>
        <b/>
        <sz val="14"/>
        <color theme="1"/>
        <rFont val="Calibri"/>
        <family val="2"/>
        <scheme val="minor"/>
      </rPr>
      <t>Merge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</si>
</sst>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14009]dd/mm/yyyy;@"/>
    <numFmt numFmtId="165" formatCode="0.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theme="0"/>
        <bgColor indexed="64"/>
      </patternFill>
    </fill>
  </fills>
  <borders count="5">
    <border>
      <left/>
      <right/>
      <top/>
      <bottom/>
      <diagonal/>
    </border>
    <border>
      <left style="thin">
        <color rgb="FF000000"/>
      </left>
      <right style="thin">
        <color rgb="FF000000"/>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43" fontId="1" fillId="0" borderId="0" applyFont="0" applyFill="0" applyBorder="0" applyAlignment="0" applyProtection="0"/>
  </cellStyleXfs>
  <cellXfs count="58">
    <xf numFmtId="0" fontId="0" fillId="0" borderId="0" xfId="0"/>
    <xf numFmtId="0" fontId="4" fillId="0" borderId="0" xfId="0" applyFont="1"/>
    <xf numFmtId="1" fontId="4" fillId="0" borderId="0" xfId="0" applyNumberFormat="1" applyFont="1"/>
    <xf numFmtId="0" fontId="3" fillId="0" borderId="1" xfId="0" applyFont="1" applyBorder="1" applyAlignment="1">
      <alignment horizontal="center" vertical="top"/>
    </xf>
    <xf numFmtId="1" fontId="3" fillId="0" borderId="1" xfId="0" applyNumberFormat="1" applyFont="1" applyBorder="1" applyAlignment="1">
      <alignment horizontal="center" vertical="top"/>
    </xf>
    <xf numFmtId="164" fontId="4" fillId="0" borderId="0" xfId="0" applyNumberFormat="1" applyFont="1"/>
    <xf numFmtId="2" fontId="4" fillId="0" borderId="0" xfId="0" applyNumberFormat="1" applyFont="1"/>
    <xf numFmtId="0" fontId="2" fillId="0" borderId="1" xfId="0" applyFont="1" applyBorder="1" applyAlignment="1">
      <alignment horizontal="center" vertical="top"/>
    </xf>
    <xf numFmtId="0" fontId="0" fillId="0" borderId="3" xfId="0" applyBorder="1"/>
    <xf numFmtId="49" fontId="4" fillId="0" borderId="0" xfId="0" applyNumberFormat="1" applyFont="1"/>
    <xf numFmtId="0" fontId="7" fillId="2" borderId="3" xfId="0" applyFont="1" applyFill="1" applyBorder="1"/>
    <xf numFmtId="9" fontId="4" fillId="0" borderId="0" xfId="1" applyNumberFormat="1" applyFont="1"/>
    <xf numFmtId="0" fontId="6" fillId="3" borderId="3" xfId="0" applyFont="1" applyFill="1" applyBorder="1" applyAlignment="1">
      <alignment horizontal="center"/>
    </xf>
    <xf numFmtId="0" fontId="7" fillId="3" borderId="3" xfId="0" applyFont="1" applyFill="1" applyBorder="1" applyAlignment="1">
      <alignment horizontal="center"/>
    </xf>
    <xf numFmtId="0" fontId="0" fillId="2" borderId="3" xfId="0" applyFill="1"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2" fontId="0" fillId="0" borderId="0" xfId="0" applyNumberFormat="1"/>
    <xf numFmtId="0" fontId="7" fillId="2" borderId="3" xfId="0" applyFont="1" applyFill="1" applyBorder="1" applyAlignment="1">
      <alignment wrapText="1"/>
    </xf>
    <xf numFmtId="0" fontId="4" fillId="0" borderId="3" xfId="0" applyFont="1" applyBorder="1"/>
    <xf numFmtId="49" fontId="4" fillId="0" borderId="3" xfId="0" applyNumberFormat="1" applyFont="1" applyBorder="1"/>
    <xf numFmtId="164" fontId="4" fillId="0" borderId="3" xfId="0" applyNumberFormat="1" applyFont="1" applyBorder="1"/>
    <xf numFmtId="1" fontId="4" fillId="0" borderId="3" xfId="0" applyNumberFormat="1" applyFont="1" applyBorder="1"/>
    <xf numFmtId="2" fontId="4" fillId="0" borderId="3" xfId="0" applyNumberFormat="1" applyFont="1" applyBorder="1"/>
    <xf numFmtId="9" fontId="4" fillId="0" borderId="3" xfId="1" applyNumberFormat="1" applyFont="1" applyBorder="1"/>
    <xf numFmtId="0" fontId="3" fillId="0" borderId="4" xfId="0" applyFont="1" applyBorder="1" applyAlignment="1">
      <alignment horizontal="center" vertical="top"/>
    </xf>
    <xf numFmtId="1" fontId="3" fillId="0" borderId="4" xfId="0" applyNumberFormat="1" applyFont="1" applyBorder="1" applyAlignment="1">
      <alignment horizontal="center" vertical="top"/>
    </xf>
    <xf numFmtId="0" fontId="2" fillId="0" borderId="4" xfId="0" applyFont="1" applyBorder="1" applyAlignment="1">
      <alignment horizontal="center" vertical="top"/>
    </xf>
    <xf numFmtId="0" fontId="6" fillId="2" borderId="0" xfId="0" applyFont="1" applyFill="1" applyAlignment="1">
      <alignment horizontal="center" vertical="center"/>
    </xf>
    <xf numFmtId="0" fontId="0" fillId="2" borderId="0" xfId="0" applyFill="1"/>
    <xf numFmtId="0" fontId="1" fillId="0" borderId="0" xfId="0" applyFont="1"/>
    <xf numFmtId="164" fontId="1" fillId="0" borderId="0" xfId="0" applyNumberFormat="1" applyFont="1"/>
    <xf numFmtId="49" fontId="1" fillId="0" borderId="0" xfId="0" applyNumberFormat="1" applyFont="1"/>
    <xf numFmtId="1" fontId="1" fillId="0" borderId="0" xfId="0" applyNumberFormat="1" applyFont="1"/>
    <xf numFmtId="9" fontId="0" fillId="0" borderId="0" xfId="0" applyNumberFormat="1"/>
    <xf numFmtId="0" fontId="6" fillId="2" borderId="3" xfId="0" applyFont="1" applyFill="1" applyBorder="1"/>
    <xf numFmtId="0" fontId="6" fillId="2" borderId="3" xfId="0" applyFont="1" applyFill="1" applyBorder="1" applyAlignment="1">
      <alignment wrapText="1"/>
    </xf>
    <xf numFmtId="165" fontId="0" fillId="0" borderId="0" xfId="0" applyNumberFormat="1"/>
    <xf numFmtId="9" fontId="4" fillId="0" borderId="0" xfId="1" applyNumberFormat="1" applyFont="1" applyBorder="1"/>
    <xf numFmtId="49" fontId="0" fillId="0" borderId="0" xfId="0" applyNumberFormat="1"/>
    <xf numFmtId="164" fontId="0" fillId="0" borderId="0" xfId="0" applyNumberFormat="1"/>
    <xf numFmtId="0" fontId="7" fillId="2" borderId="3" xfId="0" quotePrefix="1" applyFont="1" applyFill="1" applyBorder="1"/>
    <xf numFmtId="0" fontId="6" fillId="3" borderId="3" xfId="0" applyFont="1" applyFill="1" applyBorder="1" applyAlignment="1">
      <alignment horizontal="left" vertical="center"/>
    </xf>
    <xf numFmtId="0" fontId="7" fillId="3" borderId="3" xfId="0" applyFont="1" applyFill="1" applyBorder="1" applyAlignment="1">
      <alignment horizontal="left" vertical="center"/>
    </xf>
    <xf numFmtId="0" fontId="7" fillId="2" borderId="3" xfId="0" applyFont="1" applyFill="1" applyBorder="1" applyAlignment="1">
      <alignment horizontal="left" vertical="center" wrapText="1"/>
    </xf>
    <xf numFmtId="0" fontId="7" fillId="2" borderId="3" xfId="0" applyFont="1" applyFill="1" applyBorder="1" applyAlignment="1">
      <alignment horizontal="left" vertical="center"/>
    </xf>
    <xf numFmtId="0" fontId="6" fillId="0" borderId="2" xfId="0" applyFont="1" applyBorder="1" applyAlignment="1">
      <alignment vertical="center"/>
    </xf>
    <xf numFmtId="14" fontId="0" fillId="0" borderId="0" xfId="0" applyNumberFormat="1"/>
    <xf numFmtId="49" fontId="3" fillId="0" borderId="4" xfId="0" applyNumberFormat="1" applyFont="1" applyBorder="1" applyAlignment="1">
      <alignment horizontal="center" vertical="top"/>
    </xf>
    <xf numFmtId="22" fontId="0" fillId="0" borderId="0" xfId="0" applyNumberFormat="1"/>
    <xf numFmtId="10" fontId="0" fillId="0" borderId="0" xfId="0" applyNumberFormat="1"/>
    <xf numFmtId="0" fontId="6" fillId="0" borderId="2" xfId="0" applyFont="1" applyBorder="1" applyAlignment="1">
      <alignment horizontal="center"/>
    </xf>
    <xf numFmtId="0" fontId="6" fillId="2" borderId="3" xfId="0" applyFont="1" applyFill="1" applyBorder="1" applyAlignment="1">
      <alignment horizontal="center" vertical="center"/>
    </xf>
    <xf numFmtId="0" fontId="0" fillId="2" borderId="3" xfId="0" applyFill="1" applyBorder="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xf>
  </cellXfs>
  <cellStyles count="2">
    <cellStyle name="Comma" xfId="1" builtinId="3"/>
    <cellStyle name="Normal" xfId="0" builtinId="0"/>
  </cellStyles>
  <dxfs count="1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164" formatCode="[$-14009]dd/mm/yyyy;@"/>
    </dxf>
    <dxf>
      <border outline="0">
        <top style="thin">
          <color rgb="FF000000"/>
        </top>
      </border>
    </dxf>
    <dxf>
      <font>
        <b val="0"/>
        <i val="0"/>
        <strike val="0"/>
        <condense val="0"/>
        <extend val="0"/>
        <outline val="0"/>
        <shadow val="0"/>
        <u val="none"/>
        <vertAlign val="baseline"/>
        <sz val="11"/>
        <color theme="1"/>
        <name val="Calibri"/>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3" formatCode="0%"/>
    </dxf>
    <dxf>
      <numFmt numFmtId="1" formatCode="0"/>
    </dxf>
    <dxf>
      <numFmt numFmtId="30" formatCode="@"/>
    </dxf>
    <dxf>
      <numFmt numFmtId="30" formatCode="@"/>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30" formatCode="@"/>
    </dxf>
    <dxf>
      <numFmt numFmtId="164" formatCode="[$-14009]dd/mm/yyyy;@"/>
    </dxf>
    <dxf>
      <numFmt numFmtId="30" formatCode="@"/>
    </dxf>
    <dxf>
      <numFmt numFmtId="0" formatCode="General"/>
    </dxf>
    <dxf>
      <numFmt numFmtId="165" formatCode="0.000%"/>
    </dxf>
    <dxf>
      <numFmt numFmtId="165" formatCode="0.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164" formatCode="[$-14009]dd/mm/yyyy;@"/>
    </dxf>
    <dxf>
      <border outline="0">
        <top style="thin">
          <color rgb="FF000000"/>
        </top>
      </border>
    </dxf>
    <dxf>
      <font>
        <b val="0"/>
        <i val="0"/>
        <strike val="0"/>
        <condense val="0"/>
        <extend val="0"/>
        <outline val="0"/>
        <shadow val="0"/>
        <u val="none"/>
        <vertAlign val="baseline"/>
        <sz val="11"/>
        <color theme="1"/>
        <name val="Calibri"/>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13"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164" formatCode="[$-14009]dd/mm/yyyy;@"/>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14009]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6A6A00"/>
      <color rgb="FF227800"/>
      <color rgb="FFCCCC00"/>
      <color rgb="FFFFFF66"/>
      <color rgb="FF888800"/>
      <color rgb="FF00FF00"/>
      <color rgb="FFAEAA16"/>
      <color rgb="FFB2AA0E"/>
      <color rgb="FF9A8C26"/>
      <color rgb="FFF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4.xml"/><Relationship Id="rId21" Type="http://schemas.openxmlformats.org/officeDocument/2006/relationships/worksheet" Target="worksheets/sheet21.xml"/><Relationship Id="rId34" Type="http://schemas.openxmlformats.org/officeDocument/2006/relationships/pivotCacheDefinition" Target="pivotCache/pivotCacheDefinition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microsoft.com/office/2007/relationships/slicerCache" Target="slicerCaches/slicerCache2.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microsoft.com/office/2007/relationships/slicerCache" Target="slicerCaches/slicerCache3.xml"/><Relationship Id="rId20" Type="http://schemas.openxmlformats.org/officeDocument/2006/relationships/worksheet" Target="worksheets/sheet20.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3.2!PivotTable3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Platform with highest engagement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3.2'!$A$4:$A$8</c:f>
              <c:strCache>
                <c:ptCount val="4"/>
                <c:pt idx="0">
                  <c:v>Facebook</c:v>
                </c:pt>
                <c:pt idx="1">
                  <c:v>Instagram</c:v>
                </c:pt>
                <c:pt idx="2">
                  <c:v>Twitter</c:v>
                </c:pt>
                <c:pt idx="3">
                  <c:v>YouTube</c:v>
                </c:pt>
              </c:strCache>
            </c:strRef>
          </c:cat>
          <c:val>
            <c:numRef>
              <c:f>'TASK 3.2'!$B$4:$B$8</c:f>
              <c:numCache>
                <c:formatCode>General</c:formatCode>
                <c:ptCount val="4"/>
                <c:pt idx="0">
                  <c:v>5.6486000000000001</c:v>
                </c:pt>
                <c:pt idx="1">
                  <c:v>5.7156000000000002</c:v>
                </c:pt>
                <c:pt idx="2">
                  <c:v>5.6558000000000002</c:v>
                </c:pt>
                <c:pt idx="3">
                  <c:v>5.5587999999999997</c:v>
                </c:pt>
              </c:numCache>
            </c:numRef>
          </c:val>
          <c:extLst>
            <c:ext xmlns:c16="http://schemas.microsoft.com/office/drawing/2014/chart" uri="{C3380CC4-5D6E-409C-BE32-E72D297353CC}">
              <c16:uniqueId val="{00000000-CCC0-408B-BF32-891B2E45D209}"/>
            </c:ext>
          </c:extLst>
        </c:ser>
        <c:dLbls>
          <c:dLblPos val="inEnd"/>
          <c:showLegendKey val="0"/>
          <c:showVal val="1"/>
          <c:showCatName val="0"/>
          <c:showSerName val="0"/>
          <c:showPercent val="0"/>
          <c:showBubbleSize val="0"/>
        </c:dLbls>
        <c:gapWidth val="115"/>
        <c:overlap val="-20"/>
        <c:axId val="1372629008"/>
        <c:axId val="1372643408"/>
      </c:barChart>
      <c:catAx>
        <c:axId val="1372629008"/>
        <c:scaling>
          <c:orientation val="minMax"/>
        </c:scaling>
        <c:delete val="1"/>
        <c:axPos val="l"/>
        <c:numFmt formatCode="General" sourceLinked="1"/>
        <c:majorTickMark val="out"/>
        <c:minorTickMark val="none"/>
        <c:tickLblPos val="nextTo"/>
        <c:crossAx val="1372643408"/>
        <c:crosses val="autoZero"/>
        <c:auto val="1"/>
        <c:lblAlgn val="ctr"/>
        <c:lblOffset val="100"/>
        <c:noMultiLvlLbl val="0"/>
      </c:catAx>
      <c:valAx>
        <c:axId val="1372643408"/>
        <c:scaling>
          <c:orientation val="minMax"/>
        </c:scaling>
        <c:delete val="1"/>
        <c:axPos val="b"/>
        <c:numFmt formatCode="General" sourceLinked="1"/>
        <c:majorTickMark val="out"/>
        <c:minorTickMark val="none"/>
        <c:tickLblPos val="nextTo"/>
        <c:crossAx val="13726290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3.3!PivotTable4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Follower growth rates across platforms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3.3'!$B$3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3.3'!$A$4:$A$8</c:f>
              <c:strCache>
                <c:ptCount val="4"/>
                <c:pt idx="0">
                  <c:v>Facebook</c:v>
                </c:pt>
                <c:pt idx="1">
                  <c:v>Instagram</c:v>
                </c:pt>
                <c:pt idx="2">
                  <c:v>Twitter</c:v>
                </c:pt>
                <c:pt idx="3">
                  <c:v>YouTube</c:v>
                </c:pt>
              </c:strCache>
            </c:strRef>
          </c:cat>
          <c:val>
            <c:numRef>
              <c:f>'TASK 3.3'!$B$4:$B$8</c:f>
              <c:numCache>
                <c:formatCode>0.000%</c:formatCode>
                <c:ptCount val="4"/>
                <c:pt idx="0">
                  <c:v>5.4649906832972654E-3</c:v>
                </c:pt>
                <c:pt idx="1">
                  <c:v>5.7625321264951823E-3</c:v>
                </c:pt>
                <c:pt idx="2">
                  <c:v>9.2800256766213396E-3</c:v>
                </c:pt>
                <c:pt idx="3">
                  <c:v>9.021066631336009E-3</c:v>
                </c:pt>
              </c:numCache>
            </c:numRef>
          </c:val>
          <c:extLst>
            <c:ext xmlns:c16="http://schemas.microsoft.com/office/drawing/2014/chart" uri="{C3380CC4-5D6E-409C-BE32-E72D297353CC}">
              <c16:uniqueId val="{00000000-2613-4641-8FB8-D8506A661CE3}"/>
            </c:ext>
          </c:extLst>
        </c:ser>
        <c:dLbls>
          <c:showLegendKey val="0"/>
          <c:showVal val="0"/>
          <c:showCatName val="0"/>
          <c:showSerName val="0"/>
          <c:showPercent val="0"/>
          <c:showBubbleSize val="0"/>
        </c:dLbls>
        <c:gapWidth val="100"/>
        <c:overlap val="-24"/>
        <c:axId val="1372701488"/>
        <c:axId val="1372715888"/>
      </c:barChart>
      <c:catAx>
        <c:axId val="13727014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715888"/>
        <c:crosses val="autoZero"/>
        <c:auto val="1"/>
        <c:lblAlgn val="ctr"/>
        <c:lblOffset val="100"/>
        <c:noMultiLvlLbl val="0"/>
      </c:catAx>
      <c:valAx>
        <c:axId val="1372715888"/>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70148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Visualize Engagement vs. Ad Spend per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cap="rnd">
            <a:noFill/>
            <a:round/>
          </a:ln>
          <a:effectLst/>
        </c:spPr>
        <c:marker>
          <c:symbol val="circle"/>
          <c:size val="5"/>
          <c:spPr>
            <a:solidFill>
              <a:schemeClr val="accent1"/>
            </a:solidFill>
            <a:ln w="9525"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cap="rnd">
            <a:noFill/>
            <a:round/>
          </a:ln>
          <a:effectLst/>
        </c:spPr>
        <c:marker>
          <c:symbol val="circle"/>
          <c:size val="5"/>
          <c:spPr>
            <a:solidFill>
              <a:schemeClr val="accent2"/>
            </a:solidFill>
            <a:ln w="9525"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strRef>
              <c:f>Sheet1!$B$3</c:f>
              <c:strCache>
                <c:ptCount val="1"/>
                <c:pt idx="0">
                  <c:v>Sum of Engagement_Rate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Sheet1!$A$4:$A$8</c:f>
              <c:strCache>
                <c:ptCount val="5"/>
                <c:pt idx="0">
                  <c:v>Facebook</c:v>
                </c:pt>
                <c:pt idx="1">
                  <c:v>Instagram</c:v>
                </c:pt>
                <c:pt idx="2">
                  <c:v>Twitter</c:v>
                </c:pt>
                <c:pt idx="3">
                  <c:v>YouTube</c:v>
                </c:pt>
                <c:pt idx="4">
                  <c:v>Grand Total</c:v>
                </c:pt>
              </c:strCache>
            </c:strRef>
          </c:xVal>
          <c:yVal>
            <c:numRef>
              <c:f>Sheet1!$B$4:$B$8</c:f>
              <c:numCache>
                <c:formatCode>General</c:formatCode>
                <c:ptCount val="4"/>
                <c:pt idx="0">
                  <c:v>282.43</c:v>
                </c:pt>
                <c:pt idx="1">
                  <c:v>285.78000000000003</c:v>
                </c:pt>
                <c:pt idx="2">
                  <c:v>282.79000000000002</c:v>
                </c:pt>
                <c:pt idx="3">
                  <c:v>277.94</c:v>
                </c:pt>
              </c:numCache>
            </c:numRef>
          </c:yVal>
          <c:smooth val="0"/>
          <c:extLst>
            <c:ext xmlns:c16="http://schemas.microsoft.com/office/drawing/2014/chart" uri="{C3380CC4-5D6E-409C-BE32-E72D297353CC}">
              <c16:uniqueId val="{00000000-F84A-4678-AC9D-3A89D9FE391B}"/>
            </c:ext>
          </c:extLst>
        </c:ser>
        <c:ser>
          <c:idx val="1"/>
          <c:order val="1"/>
          <c:tx>
            <c:strRef>
              <c:f>Sheet1!$C$3</c:f>
              <c:strCache>
                <c:ptCount val="1"/>
                <c:pt idx="0">
                  <c:v>Sum of Ad_Spend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Sheet1!$A$4:$A$8</c:f>
              <c:strCache>
                <c:ptCount val="5"/>
                <c:pt idx="0">
                  <c:v>Facebook</c:v>
                </c:pt>
                <c:pt idx="1">
                  <c:v>Instagram</c:v>
                </c:pt>
                <c:pt idx="2">
                  <c:v>Twitter</c:v>
                </c:pt>
                <c:pt idx="3">
                  <c:v>YouTube</c:v>
                </c:pt>
                <c:pt idx="4">
                  <c:v>Grand Total</c:v>
                </c:pt>
              </c:strCache>
            </c:strRef>
          </c:xVal>
          <c:yVal>
            <c:numRef>
              <c:f>Sheet1!$C$4:$C$8</c:f>
              <c:numCache>
                <c:formatCode>0</c:formatCode>
                <c:ptCount val="4"/>
                <c:pt idx="0">
                  <c:v>1379539</c:v>
                </c:pt>
                <c:pt idx="1">
                  <c:v>1164373</c:v>
                </c:pt>
                <c:pt idx="2">
                  <c:v>1060357</c:v>
                </c:pt>
                <c:pt idx="3">
                  <c:v>1228647</c:v>
                </c:pt>
              </c:numCache>
            </c:numRef>
          </c:yVal>
          <c:smooth val="0"/>
          <c:extLst>
            <c:ext xmlns:c16="http://schemas.microsoft.com/office/drawing/2014/chart" uri="{C3380CC4-5D6E-409C-BE32-E72D297353CC}">
              <c16:uniqueId val="{00000001-F84A-4678-AC9D-3A89D9FE391B}"/>
            </c:ext>
          </c:extLst>
        </c:ser>
        <c:dLbls>
          <c:showLegendKey val="0"/>
          <c:showVal val="0"/>
          <c:showCatName val="0"/>
          <c:showSerName val="0"/>
          <c:showPercent val="0"/>
          <c:showBubbleSize val="0"/>
        </c:dLbls>
        <c:axId val="1372722128"/>
        <c:axId val="1372738448"/>
      </c:scatterChart>
      <c:valAx>
        <c:axId val="1372722128"/>
        <c:scaling>
          <c:orientation val="minMax"/>
        </c:scaling>
        <c:delete val="0"/>
        <c:axPos val="b"/>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2738448"/>
        <c:crosses val="autoZero"/>
        <c:crossBetween val="midCat"/>
      </c:valAx>
      <c:valAx>
        <c:axId val="1372738448"/>
        <c:scaling>
          <c:orientation val="minMax"/>
        </c:scaling>
        <c:delete val="0"/>
        <c:axPos val="l"/>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27221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4.3!PivotTable5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Average performance of posts containing each hashtag</a:t>
            </a:r>
          </a:p>
        </c:rich>
      </c:tx>
      <c:layout>
        <c:manualLayout>
          <c:xMode val="edge"/>
          <c:yMode val="edge"/>
          <c:x val="0.23422973552593782"/>
          <c:y val="1.26903553299492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05F0DF2-1035-46FE-A154-EC92B3B1775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9601757-41F0-4EAD-BC9A-C7453A5EAC7A}"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'TASK 4.3'!$B$3</c:f>
              <c:strCache>
                <c:ptCount val="1"/>
                <c:pt idx="0">
                  <c:v>Average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9-5D41-40AE-8327-943C6944B4E7}"/>
              </c:ext>
            </c:extLst>
          </c:dPt>
          <c:dPt>
            <c:idx val="1"/>
            <c:invertIfNegative val="0"/>
            <c:bubble3D val="0"/>
            <c:extLst>
              <c:ext xmlns:c16="http://schemas.microsoft.com/office/drawing/2014/chart" uri="{C3380CC4-5D6E-409C-BE32-E72D297353CC}">
                <c16:uniqueId val="{00000008-5D41-40AE-8327-943C6944B4E7}"/>
              </c:ext>
            </c:extLst>
          </c:dPt>
          <c:dPt>
            <c:idx val="2"/>
            <c:invertIfNegative val="0"/>
            <c:bubble3D val="0"/>
            <c:extLst>
              <c:ext xmlns:c16="http://schemas.microsoft.com/office/drawing/2014/chart" uri="{C3380CC4-5D6E-409C-BE32-E72D297353CC}">
                <c16:uniqueId val="{0000000A-5D41-40AE-8327-943C6944B4E7}"/>
              </c:ext>
            </c:extLst>
          </c:dPt>
          <c:dPt>
            <c:idx val="3"/>
            <c:invertIfNegative val="0"/>
            <c:bubble3D val="0"/>
            <c:extLst>
              <c:ext xmlns:c16="http://schemas.microsoft.com/office/drawing/2014/chart" uri="{C3380CC4-5D6E-409C-BE32-E72D297353CC}">
                <c16:uniqueId val="{00000007-BFF8-4AC4-80B1-1F4FC2FC844B}"/>
              </c:ext>
            </c:extLst>
          </c:dPt>
          <c:dPt>
            <c:idx val="4"/>
            <c:invertIfNegative val="0"/>
            <c:bubble3D val="0"/>
            <c:extLst>
              <c:ext xmlns:c16="http://schemas.microsoft.com/office/drawing/2014/chart" uri="{C3380CC4-5D6E-409C-BE32-E72D297353CC}">
                <c16:uniqueId val="{00000009-BFF8-4AC4-80B1-1F4FC2FC844B}"/>
              </c:ext>
            </c:extLst>
          </c:dPt>
          <c:dPt>
            <c:idx val="5"/>
            <c:invertIfNegative val="0"/>
            <c:bubble3D val="0"/>
            <c:extLst>
              <c:ext xmlns:c16="http://schemas.microsoft.com/office/drawing/2014/chart" uri="{C3380CC4-5D6E-409C-BE32-E72D297353CC}">
                <c16:uniqueId val="{0000000B-BFF8-4AC4-80B1-1F4FC2FC844B}"/>
              </c:ext>
            </c:extLst>
          </c:dPt>
          <c:dLbls>
            <c:dLbl>
              <c:idx val="0"/>
              <c:tx>
                <c:rich>
                  <a:bodyPr/>
                  <a:lstStyle/>
                  <a:p>
                    <a:fld id="{F05F0DF2-1035-46FE-A154-EC92B3B1775F}"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D41-40AE-8327-943C6944B4E7}"/>
                </c:ext>
              </c:extLst>
            </c:dLbl>
            <c:dLbl>
              <c:idx val="1"/>
              <c:showLegendKey val="1"/>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8-5D41-40AE-8327-943C6944B4E7}"/>
                </c:ext>
              </c:extLst>
            </c:dLbl>
            <c:dLbl>
              <c:idx val="2"/>
              <c:tx>
                <c:rich>
                  <a:bodyPr/>
                  <a:lstStyle/>
                  <a:p>
                    <a:fld id="{D9601757-41F0-4EAD-BC9A-C7453A5EAC7A}"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5D41-40AE-8327-943C6944B4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4.3'!$B$4:$B$10</c:f>
              <c:numCache>
                <c:formatCode>0</c:formatCode>
                <c:ptCount val="6"/>
                <c:pt idx="0">
                  <c:v>2219.6</c:v>
                </c:pt>
                <c:pt idx="1">
                  <c:v>3451.7142857142858</c:v>
                </c:pt>
                <c:pt idx="2">
                  <c:v>2838.8039215686276</c:v>
                </c:pt>
                <c:pt idx="3">
                  <c:v>2634.7184466019417</c:v>
                </c:pt>
                <c:pt idx="4">
                  <c:v>3127.8</c:v>
                </c:pt>
                <c:pt idx="5">
                  <c:v>2705.1028037383176</c:v>
                </c:pt>
              </c:numCache>
            </c:numRef>
          </c:val>
          <c:extLst>
            <c:ext xmlns:c16="http://schemas.microsoft.com/office/drawing/2014/chart" uri="{C3380CC4-5D6E-409C-BE32-E72D297353CC}">
              <c16:uniqueId val="{00000000-5D41-40AE-8327-943C6944B4E7}"/>
            </c:ext>
          </c:extLst>
        </c:ser>
        <c:ser>
          <c:idx val="1"/>
          <c:order val="1"/>
          <c:tx>
            <c:strRef>
              <c:f>'TASK 4.3'!$C$3</c:f>
              <c:strCache>
                <c:ptCount val="1"/>
                <c:pt idx="0">
                  <c:v>Average of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D-BFF8-4AC4-80B1-1F4FC2FC844B}"/>
              </c:ext>
            </c:extLst>
          </c:dPt>
          <c:dPt>
            <c:idx val="1"/>
            <c:invertIfNegative val="0"/>
            <c:bubble3D val="0"/>
            <c:extLst>
              <c:ext xmlns:c16="http://schemas.microsoft.com/office/drawing/2014/chart" uri="{C3380CC4-5D6E-409C-BE32-E72D297353CC}">
                <c16:uniqueId val="{0000000F-BFF8-4AC4-80B1-1F4FC2FC844B}"/>
              </c:ext>
            </c:extLst>
          </c:dPt>
          <c:dPt>
            <c:idx val="2"/>
            <c:invertIfNegative val="0"/>
            <c:bubble3D val="0"/>
            <c:extLst>
              <c:ext xmlns:c16="http://schemas.microsoft.com/office/drawing/2014/chart" uri="{C3380CC4-5D6E-409C-BE32-E72D297353CC}">
                <c16:uniqueId val="{00000011-BFF8-4AC4-80B1-1F4FC2FC844B}"/>
              </c:ext>
            </c:extLst>
          </c:dPt>
          <c:dPt>
            <c:idx val="3"/>
            <c:invertIfNegative val="0"/>
            <c:bubble3D val="0"/>
            <c:extLst>
              <c:ext xmlns:c16="http://schemas.microsoft.com/office/drawing/2014/chart" uri="{C3380CC4-5D6E-409C-BE32-E72D297353CC}">
                <c16:uniqueId val="{00000013-BFF8-4AC4-80B1-1F4FC2FC844B}"/>
              </c:ext>
            </c:extLst>
          </c:dPt>
          <c:dPt>
            <c:idx val="4"/>
            <c:invertIfNegative val="0"/>
            <c:bubble3D val="0"/>
            <c:extLst>
              <c:ext xmlns:c16="http://schemas.microsoft.com/office/drawing/2014/chart" uri="{C3380CC4-5D6E-409C-BE32-E72D297353CC}">
                <c16:uniqueId val="{00000015-BFF8-4AC4-80B1-1F4FC2FC844B}"/>
              </c:ext>
            </c:extLst>
          </c:dPt>
          <c:dPt>
            <c:idx val="5"/>
            <c:invertIfNegative val="0"/>
            <c:bubble3D val="0"/>
            <c:extLst>
              <c:ext xmlns:c16="http://schemas.microsoft.com/office/drawing/2014/chart" uri="{C3380CC4-5D6E-409C-BE32-E72D297353CC}">
                <c16:uniqueId val="{00000017-BFF8-4AC4-80B1-1F4FC2FC844B}"/>
              </c:ext>
            </c:extLst>
          </c:dPt>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4.3'!$C$4:$C$10</c:f>
              <c:numCache>
                <c:formatCode>0</c:formatCode>
                <c:ptCount val="6"/>
                <c:pt idx="0">
                  <c:v>423.93333333333334</c:v>
                </c:pt>
                <c:pt idx="1">
                  <c:v>540.57142857142856</c:v>
                </c:pt>
                <c:pt idx="2">
                  <c:v>464.96078431372547</c:v>
                </c:pt>
                <c:pt idx="3">
                  <c:v>508.63106796116506</c:v>
                </c:pt>
                <c:pt idx="4">
                  <c:v>356.2</c:v>
                </c:pt>
                <c:pt idx="5">
                  <c:v>458.01869158878503</c:v>
                </c:pt>
              </c:numCache>
            </c:numRef>
          </c:val>
          <c:extLst>
            <c:ext xmlns:c16="http://schemas.microsoft.com/office/drawing/2014/chart" uri="{C3380CC4-5D6E-409C-BE32-E72D297353CC}">
              <c16:uniqueId val="{00000001-5D41-40AE-8327-943C6944B4E7}"/>
            </c:ext>
          </c:extLst>
        </c:ser>
        <c:ser>
          <c:idx val="2"/>
          <c:order val="2"/>
          <c:tx>
            <c:strRef>
              <c:f>'TASK 4.3'!$D$3</c:f>
              <c:strCache>
                <c:ptCount val="1"/>
                <c:pt idx="0">
                  <c:v>Average of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19-BFF8-4AC4-80B1-1F4FC2FC844B}"/>
              </c:ext>
            </c:extLst>
          </c:dPt>
          <c:dPt>
            <c:idx val="1"/>
            <c:invertIfNegative val="0"/>
            <c:bubble3D val="0"/>
            <c:extLst>
              <c:ext xmlns:c16="http://schemas.microsoft.com/office/drawing/2014/chart" uri="{C3380CC4-5D6E-409C-BE32-E72D297353CC}">
                <c16:uniqueId val="{0000001B-BFF8-4AC4-80B1-1F4FC2FC844B}"/>
              </c:ext>
            </c:extLst>
          </c:dPt>
          <c:dPt>
            <c:idx val="2"/>
            <c:invertIfNegative val="0"/>
            <c:bubble3D val="0"/>
            <c:extLst>
              <c:ext xmlns:c16="http://schemas.microsoft.com/office/drawing/2014/chart" uri="{C3380CC4-5D6E-409C-BE32-E72D297353CC}">
                <c16:uniqueId val="{0000001D-BFF8-4AC4-80B1-1F4FC2FC844B}"/>
              </c:ext>
            </c:extLst>
          </c:dPt>
          <c:dPt>
            <c:idx val="3"/>
            <c:invertIfNegative val="0"/>
            <c:bubble3D val="0"/>
            <c:extLst>
              <c:ext xmlns:c16="http://schemas.microsoft.com/office/drawing/2014/chart" uri="{C3380CC4-5D6E-409C-BE32-E72D297353CC}">
                <c16:uniqueId val="{0000001F-BFF8-4AC4-80B1-1F4FC2FC844B}"/>
              </c:ext>
            </c:extLst>
          </c:dPt>
          <c:dPt>
            <c:idx val="4"/>
            <c:invertIfNegative val="0"/>
            <c:bubble3D val="0"/>
            <c:extLst>
              <c:ext xmlns:c16="http://schemas.microsoft.com/office/drawing/2014/chart" uri="{C3380CC4-5D6E-409C-BE32-E72D297353CC}">
                <c16:uniqueId val="{00000021-BFF8-4AC4-80B1-1F4FC2FC844B}"/>
              </c:ext>
            </c:extLst>
          </c:dPt>
          <c:dPt>
            <c:idx val="5"/>
            <c:invertIfNegative val="0"/>
            <c:bubble3D val="0"/>
            <c:extLst>
              <c:ext xmlns:c16="http://schemas.microsoft.com/office/drawing/2014/chart" uri="{C3380CC4-5D6E-409C-BE32-E72D297353CC}">
                <c16:uniqueId val="{00000023-BFF8-4AC4-80B1-1F4FC2FC844B}"/>
              </c:ext>
            </c:extLst>
          </c:dPt>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4.3'!$D$4:$D$10</c:f>
              <c:numCache>
                <c:formatCode>0</c:formatCode>
                <c:ptCount val="6"/>
                <c:pt idx="0">
                  <c:v>257.39999999999998</c:v>
                </c:pt>
                <c:pt idx="1">
                  <c:v>151</c:v>
                </c:pt>
                <c:pt idx="2">
                  <c:v>230.95098039215685</c:v>
                </c:pt>
                <c:pt idx="3">
                  <c:v>262.50485436893206</c:v>
                </c:pt>
                <c:pt idx="4">
                  <c:v>283.39999999999998</c:v>
                </c:pt>
                <c:pt idx="5">
                  <c:v>254.18691588785046</c:v>
                </c:pt>
              </c:numCache>
            </c:numRef>
          </c:val>
          <c:extLst>
            <c:ext xmlns:c16="http://schemas.microsoft.com/office/drawing/2014/chart" uri="{C3380CC4-5D6E-409C-BE32-E72D297353CC}">
              <c16:uniqueId val="{00000002-5D41-40AE-8327-943C6944B4E7}"/>
            </c:ext>
          </c:extLst>
        </c:ser>
        <c:ser>
          <c:idx val="3"/>
          <c:order val="3"/>
          <c:tx>
            <c:strRef>
              <c:f>'TASK 4.3'!$E$3</c:f>
              <c:strCache>
                <c:ptCount val="1"/>
                <c:pt idx="0">
                  <c:v>Average of Impressions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25-BFF8-4AC4-80B1-1F4FC2FC844B}"/>
              </c:ext>
            </c:extLst>
          </c:dPt>
          <c:dPt>
            <c:idx val="1"/>
            <c:invertIfNegative val="0"/>
            <c:bubble3D val="0"/>
            <c:extLst>
              <c:ext xmlns:c16="http://schemas.microsoft.com/office/drawing/2014/chart" uri="{C3380CC4-5D6E-409C-BE32-E72D297353CC}">
                <c16:uniqueId val="{00000027-BFF8-4AC4-80B1-1F4FC2FC844B}"/>
              </c:ext>
            </c:extLst>
          </c:dPt>
          <c:dPt>
            <c:idx val="2"/>
            <c:invertIfNegative val="0"/>
            <c:bubble3D val="0"/>
            <c:extLst>
              <c:ext xmlns:c16="http://schemas.microsoft.com/office/drawing/2014/chart" uri="{C3380CC4-5D6E-409C-BE32-E72D297353CC}">
                <c16:uniqueId val="{00000029-BFF8-4AC4-80B1-1F4FC2FC844B}"/>
              </c:ext>
            </c:extLst>
          </c:dPt>
          <c:dPt>
            <c:idx val="3"/>
            <c:invertIfNegative val="0"/>
            <c:bubble3D val="0"/>
            <c:extLst>
              <c:ext xmlns:c16="http://schemas.microsoft.com/office/drawing/2014/chart" uri="{C3380CC4-5D6E-409C-BE32-E72D297353CC}">
                <c16:uniqueId val="{0000002B-BFF8-4AC4-80B1-1F4FC2FC844B}"/>
              </c:ext>
            </c:extLst>
          </c:dPt>
          <c:dPt>
            <c:idx val="4"/>
            <c:invertIfNegative val="0"/>
            <c:bubble3D val="0"/>
            <c:extLst>
              <c:ext xmlns:c16="http://schemas.microsoft.com/office/drawing/2014/chart" uri="{C3380CC4-5D6E-409C-BE32-E72D297353CC}">
                <c16:uniqueId val="{0000002D-BFF8-4AC4-80B1-1F4FC2FC844B}"/>
              </c:ext>
            </c:extLst>
          </c:dPt>
          <c:dPt>
            <c:idx val="5"/>
            <c:invertIfNegative val="0"/>
            <c:bubble3D val="0"/>
            <c:extLst>
              <c:ext xmlns:c16="http://schemas.microsoft.com/office/drawing/2014/chart" uri="{C3380CC4-5D6E-409C-BE32-E72D297353CC}">
                <c16:uniqueId val="{0000002F-BFF8-4AC4-80B1-1F4FC2FC844B}"/>
              </c:ext>
            </c:extLst>
          </c:dPt>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4.3'!$E$4:$E$10</c:f>
              <c:numCache>
                <c:formatCode>0</c:formatCode>
                <c:ptCount val="6"/>
                <c:pt idx="0">
                  <c:v>27974.133333333335</c:v>
                </c:pt>
                <c:pt idx="1">
                  <c:v>47972</c:v>
                </c:pt>
                <c:pt idx="2">
                  <c:v>34738.823529411762</c:v>
                </c:pt>
                <c:pt idx="3">
                  <c:v>33348.990291262133</c:v>
                </c:pt>
                <c:pt idx="4">
                  <c:v>36447.199999999997</c:v>
                </c:pt>
                <c:pt idx="5">
                  <c:v>35914</c:v>
                </c:pt>
              </c:numCache>
            </c:numRef>
          </c:val>
          <c:extLst>
            <c:ext xmlns:c16="http://schemas.microsoft.com/office/drawing/2014/chart" uri="{C3380CC4-5D6E-409C-BE32-E72D297353CC}">
              <c16:uniqueId val="{00000003-5D41-40AE-8327-943C6944B4E7}"/>
            </c:ext>
          </c:extLst>
        </c:ser>
        <c:ser>
          <c:idx val="4"/>
          <c:order val="4"/>
          <c:tx>
            <c:strRef>
              <c:f>'TASK 4.3'!$F$3</c:f>
              <c:strCache>
                <c:ptCount val="1"/>
                <c:pt idx="0">
                  <c:v>Average of Reach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31-BFF8-4AC4-80B1-1F4FC2FC844B}"/>
              </c:ext>
            </c:extLst>
          </c:dPt>
          <c:dPt>
            <c:idx val="1"/>
            <c:invertIfNegative val="0"/>
            <c:bubble3D val="0"/>
            <c:extLst>
              <c:ext xmlns:c16="http://schemas.microsoft.com/office/drawing/2014/chart" uri="{C3380CC4-5D6E-409C-BE32-E72D297353CC}">
                <c16:uniqueId val="{00000033-BFF8-4AC4-80B1-1F4FC2FC844B}"/>
              </c:ext>
            </c:extLst>
          </c:dPt>
          <c:dPt>
            <c:idx val="2"/>
            <c:invertIfNegative val="0"/>
            <c:bubble3D val="0"/>
            <c:extLst>
              <c:ext xmlns:c16="http://schemas.microsoft.com/office/drawing/2014/chart" uri="{C3380CC4-5D6E-409C-BE32-E72D297353CC}">
                <c16:uniqueId val="{00000035-BFF8-4AC4-80B1-1F4FC2FC844B}"/>
              </c:ext>
            </c:extLst>
          </c:dPt>
          <c:dPt>
            <c:idx val="3"/>
            <c:invertIfNegative val="0"/>
            <c:bubble3D val="0"/>
            <c:extLst>
              <c:ext xmlns:c16="http://schemas.microsoft.com/office/drawing/2014/chart" uri="{C3380CC4-5D6E-409C-BE32-E72D297353CC}">
                <c16:uniqueId val="{00000037-BFF8-4AC4-80B1-1F4FC2FC844B}"/>
              </c:ext>
            </c:extLst>
          </c:dPt>
          <c:dPt>
            <c:idx val="4"/>
            <c:invertIfNegative val="0"/>
            <c:bubble3D val="0"/>
            <c:extLst>
              <c:ext xmlns:c16="http://schemas.microsoft.com/office/drawing/2014/chart" uri="{C3380CC4-5D6E-409C-BE32-E72D297353CC}">
                <c16:uniqueId val="{00000039-BFF8-4AC4-80B1-1F4FC2FC844B}"/>
              </c:ext>
            </c:extLst>
          </c:dPt>
          <c:dPt>
            <c:idx val="5"/>
            <c:invertIfNegative val="0"/>
            <c:bubble3D val="0"/>
            <c:extLst>
              <c:ext xmlns:c16="http://schemas.microsoft.com/office/drawing/2014/chart" uri="{C3380CC4-5D6E-409C-BE32-E72D297353CC}">
                <c16:uniqueId val="{0000003B-BFF8-4AC4-80B1-1F4FC2FC844B}"/>
              </c:ext>
            </c:extLst>
          </c:dPt>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4.3'!$F$4:$F$10</c:f>
              <c:numCache>
                <c:formatCode>0</c:formatCode>
                <c:ptCount val="6"/>
                <c:pt idx="0">
                  <c:v>27513.666666666668</c:v>
                </c:pt>
                <c:pt idx="1">
                  <c:v>47434</c:v>
                </c:pt>
                <c:pt idx="2">
                  <c:v>34194.852941176468</c:v>
                </c:pt>
                <c:pt idx="3">
                  <c:v>32823.407766990291</c:v>
                </c:pt>
                <c:pt idx="4">
                  <c:v>36122</c:v>
                </c:pt>
                <c:pt idx="5">
                  <c:v>35360.028037383177</c:v>
                </c:pt>
              </c:numCache>
            </c:numRef>
          </c:val>
          <c:extLst>
            <c:ext xmlns:c16="http://schemas.microsoft.com/office/drawing/2014/chart" uri="{C3380CC4-5D6E-409C-BE32-E72D297353CC}">
              <c16:uniqueId val="{00000004-5D41-40AE-8327-943C6944B4E7}"/>
            </c:ext>
          </c:extLst>
        </c:ser>
        <c:ser>
          <c:idx val="5"/>
          <c:order val="5"/>
          <c:tx>
            <c:strRef>
              <c:f>'TASK 4.3'!$G$3</c:f>
              <c:strCache>
                <c:ptCount val="1"/>
                <c:pt idx="0">
                  <c:v>Average of Clicks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3D-BFF8-4AC4-80B1-1F4FC2FC844B}"/>
              </c:ext>
            </c:extLst>
          </c:dPt>
          <c:dPt>
            <c:idx val="1"/>
            <c:invertIfNegative val="0"/>
            <c:bubble3D val="0"/>
            <c:extLst>
              <c:ext xmlns:c16="http://schemas.microsoft.com/office/drawing/2014/chart" uri="{C3380CC4-5D6E-409C-BE32-E72D297353CC}">
                <c16:uniqueId val="{0000003F-BFF8-4AC4-80B1-1F4FC2FC844B}"/>
              </c:ext>
            </c:extLst>
          </c:dPt>
          <c:dPt>
            <c:idx val="2"/>
            <c:invertIfNegative val="0"/>
            <c:bubble3D val="0"/>
            <c:extLst>
              <c:ext xmlns:c16="http://schemas.microsoft.com/office/drawing/2014/chart" uri="{C3380CC4-5D6E-409C-BE32-E72D297353CC}">
                <c16:uniqueId val="{00000041-BFF8-4AC4-80B1-1F4FC2FC844B}"/>
              </c:ext>
            </c:extLst>
          </c:dPt>
          <c:dPt>
            <c:idx val="3"/>
            <c:invertIfNegative val="0"/>
            <c:bubble3D val="0"/>
            <c:extLst>
              <c:ext xmlns:c16="http://schemas.microsoft.com/office/drawing/2014/chart" uri="{C3380CC4-5D6E-409C-BE32-E72D297353CC}">
                <c16:uniqueId val="{00000043-BFF8-4AC4-80B1-1F4FC2FC844B}"/>
              </c:ext>
            </c:extLst>
          </c:dPt>
          <c:dPt>
            <c:idx val="4"/>
            <c:invertIfNegative val="0"/>
            <c:bubble3D val="0"/>
            <c:extLst>
              <c:ext xmlns:c16="http://schemas.microsoft.com/office/drawing/2014/chart" uri="{C3380CC4-5D6E-409C-BE32-E72D297353CC}">
                <c16:uniqueId val="{00000045-BFF8-4AC4-80B1-1F4FC2FC844B}"/>
              </c:ext>
            </c:extLst>
          </c:dPt>
          <c:dPt>
            <c:idx val="5"/>
            <c:invertIfNegative val="0"/>
            <c:bubble3D val="0"/>
            <c:extLst>
              <c:ext xmlns:c16="http://schemas.microsoft.com/office/drawing/2014/chart" uri="{C3380CC4-5D6E-409C-BE32-E72D297353CC}">
                <c16:uniqueId val="{00000047-BFF8-4AC4-80B1-1F4FC2FC844B}"/>
              </c:ext>
            </c:extLst>
          </c:dPt>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4.3'!$G$4:$G$10</c:f>
              <c:numCache>
                <c:formatCode>0</c:formatCode>
                <c:ptCount val="6"/>
                <c:pt idx="0">
                  <c:v>161.19999999999999</c:v>
                </c:pt>
                <c:pt idx="1">
                  <c:v>114.85714285714286</c:v>
                </c:pt>
                <c:pt idx="2">
                  <c:v>151.52941176470588</c:v>
                </c:pt>
                <c:pt idx="3">
                  <c:v>144.03883495145632</c:v>
                </c:pt>
                <c:pt idx="4">
                  <c:v>111.8</c:v>
                </c:pt>
                <c:pt idx="5">
                  <c:v>158.65420560747663</c:v>
                </c:pt>
              </c:numCache>
            </c:numRef>
          </c:val>
          <c:extLst>
            <c:ext xmlns:c16="http://schemas.microsoft.com/office/drawing/2014/chart" uri="{C3380CC4-5D6E-409C-BE32-E72D297353CC}">
              <c16:uniqueId val="{00000005-5D41-40AE-8327-943C6944B4E7}"/>
            </c:ext>
          </c:extLst>
        </c:ser>
        <c:ser>
          <c:idx val="6"/>
          <c:order val="6"/>
          <c:tx>
            <c:strRef>
              <c:f>'TASK 4.3'!$H$3</c:f>
              <c:strCache>
                <c:ptCount val="1"/>
                <c:pt idx="0">
                  <c:v>Average of Engagement rate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49-BFF8-4AC4-80B1-1F4FC2FC844B}"/>
              </c:ext>
            </c:extLst>
          </c:dPt>
          <c:dPt>
            <c:idx val="1"/>
            <c:invertIfNegative val="0"/>
            <c:bubble3D val="0"/>
            <c:extLst>
              <c:ext xmlns:c16="http://schemas.microsoft.com/office/drawing/2014/chart" uri="{C3380CC4-5D6E-409C-BE32-E72D297353CC}">
                <c16:uniqueId val="{0000004B-BFF8-4AC4-80B1-1F4FC2FC844B}"/>
              </c:ext>
            </c:extLst>
          </c:dPt>
          <c:dPt>
            <c:idx val="2"/>
            <c:invertIfNegative val="0"/>
            <c:bubble3D val="0"/>
            <c:extLst>
              <c:ext xmlns:c16="http://schemas.microsoft.com/office/drawing/2014/chart" uri="{C3380CC4-5D6E-409C-BE32-E72D297353CC}">
                <c16:uniqueId val="{0000004D-BFF8-4AC4-80B1-1F4FC2FC844B}"/>
              </c:ext>
            </c:extLst>
          </c:dPt>
          <c:dPt>
            <c:idx val="3"/>
            <c:invertIfNegative val="0"/>
            <c:bubble3D val="0"/>
            <c:extLst>
              <c:ext xmlns:c16="http://schemas.microsoft.com/office/drawing/2014/chart" uri="{C3380CC4-5D6E-409C-BE32-E72D297353CC}">
                <c16:uniqueId val="{0000004F-BFF8-4AC4-80B1-1F4FC2FC844B}"/>
              </c:ext>
            </c:extLst>
          </c:dPt>
          <c:dPt>
            <c:idx val="4"/>
            <c:invertIfNegative val="0"/>
            <c:bubble3D val="0"/>
            <c:extLst>
              <c:ext xmlns:c16="http://schemas.microsoft.com/office/drawing/2014/chart" uri="{C3380CC4-5D6E-409C-BE32-E72D297353CC}">
                <c16:uniqueId val="{00000051-BFF8-4AC4-80B1-1F4FC2FC844B}"/>
              </c:ext>
            </c:extLst>
          </c:dPt>
          <c:dPt>
            <c:idx val="5"/>
            <c:invertIfNegative val="0"/>
            <c:bubble3D val="0"/>
            <c:extLst>
              <c:ext xmlns:c16="http://schemas.microsoft.com/office/drawing/2014/chart" uri="{C3380CC4-5D6E-409C-BE32-E72D297353CC}">
                <c16:uniqueId val="{00000053-BFF8-4AC4-80B1-1F4FC2FC844B}"/>
              </c:ext>
            </c:extLst>
          </c:dPt>
          <c:cat>
            <c:strRef>
              <c:f>'TASK 4.3'!$A$4:$A$10</c:f>
              <c:strCache>
                <c:ptCount val="6"/>
                <c:pt idx="0">
                  <c:v>#AnytimeIsTeslaTime</c:v>
                </c:pt>
                <c:pt idx="1">
                  <c:v>#BetterWithTesla</c:v>
                </c:pt>
                <c:pt idx="2">
                  <c:v>#EVRevolution</c:v>
                </c:pt>
                <c:pt idx="3">
                  <c:v>#FutureOfDriving</c:v>
                </c:pt>
                <c:pt idx="4">
                  <c:v>#SmoothLikeNitroTesla</c:v>
                </c:pt>
                <c:pt idx="5">
                  <c:v>#TeslaCoInnovation</c:v>
                </c:pt>
              </c:strCache>
            </c:strRef>
          </c:cat>
          <c:val>
            <c:numRef>
              <c:f>'TASK 4.3'!$H$4:$H$10</c:f>
              <c:numCache>
                <c:formatCode>0%</c:formatCode>
                <c:ptCount val="6"/>
                <c:pt idx="0">
                  <c:v>0.11636073778371317</c:v>
                </c:pt>
                <c:pt idx="1">
                  <c:v>0.12589594685729985</c:v>
                </c:pt>
                <c:pt idx="2">
                  <c:v>0.15386132749296613</c:v>
                </c:pt>
                <c:pt idx="3">
                  <c:v>0.14123247081320281</c:v>
                </c:pt>
                <c:pt idx="4">
                  <c:v>0.11481753670769271</c:v>
                </c:pt>
                <c:pt idx="5">
                  <c:v>0.14515321153500599</c:v>
                </c:pt>
              </c:numCache>
            </c:numRef>
          </c:val>
          <c:extLst>
            <c:ext xmlns:c16="http://schemas.microsoft.com/office/drawing/2014/chart" uri="{C3380CC4-5D6E-409C-BE32-E72D297353CC}">
              <c16:uniqueId val="{00000006-5D41-40AE-8327-943C6944B4E7}"/>
            </c:ext>
          </c:extLst>
        </c:ser>
        <c:dLbls>
          <c:showLegendKey val="0"/>
          <c:showVal val="0"/>
          <c:showCatName val="0"/>
          <c:showSerName val="0"/>
          <c:showPercent val="0"/>
          <c:showBubbleSize val="0"/>
        </c:dLbls>
        <c:gapWidth val="150"/>
        <c:overlap val="100"/>
        <c:axId val="605464143"/>
        <c:axId val="605467023"/>
      </c:barChart>
      <c:catAx>
        <c:axId val="605464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5467023"/>
        <c:crosses val="autoZero"/>
        <c:auto val="1"/>
        <c:lblAlgn val="ctr"/>
        <c:lblOffset val="100"/>
        <c:noMultiLvlLbl val="0"/>
      </c:catAx>
      <c:valAx>
        <c:axId val="60546702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546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4.4!PivotTable6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a:t>
            </a:r>
            <a:r>
              <a:rPr lang="en-US" baseline="0"/>
              <a:t>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4.4'!$B$3</c:f>
              <c:strCache>
                <c:ptCount val="1"/>
                <c:pt idx="0">
                  <c:v>Average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4.4'!$B$4:$B$10</c:f>
              <c:numCache>
                <c:formatCode>0</c:formatCode>
                <c:ptCount val="6"/>
                <c:pt idx="0">
                  <c:v>2682.8507462686566</c:v>
                </c:pt>
                <c:pt idx="1">
                  <c:v>2701.7361111111113</c:v>
                </c:pt>
                <c:pt idx="2">
                  <c:v>2750.2264150943397</c:v>
                </c:pt>
                <c:pt idx="3">
                  <c:v>2774</c:v>
                </c:pt>
                <c:pt idx="4">
                  <c:v>2756.375</c:v>
                </c:pt>
                <c:pt idx="5">
                  <c:v>2705.4705882352941</c:v>
                </c:pt>
              </c:numCache>
            </c:numRef>
          </c:val>
          <c:extLst>
            <c:ext xmlns:c16="http://schemas.microsoft.com/office/drawing/2014/chart" uri="{C3380CC4-5D6E-409C-BE32-E72D297353CC}">
              <c16:uniqueId val="{00000000-20BC-4EC4-8E7F-3378B56D9AB3}"/>
            </c:ext>
          </c:extLst>
        </c:ser>
        <c:ser>
          <c:idx val="1"/>
          <c:order val="1"/>
          <c:tx>
            <c:strRef>
              <c:f>'TASK 4.4'!$C$3</c:f>
              <c:strCache>
                <c:ptCount val="1"/>
                <c:pt idx="0">
                  <c:v>Average of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4.4'!$C$4:$C$10</c:f>
              <c:numCache>
                <c:formatCode>0</c:formatCode>
                <c:ptCount val="6"/>
                <c:pt idx="0">
                  <c:v>450.68656716417911</c:v>
                </c:pt>
                <c:pt idx="1">
                  <c:v>452.36111111111109</c:v>
                </c:pt>
                <c:pt idx="2">
                  <c:v>491.11320754716979</c:v>
                </c:pt>
                <c:pt idx="3">
                  <c:v>531.1875</c:v>
                </c:pt>
                <c:pt idx="4">
                  <c:v>431.10416666666669</c:v>
                </c:pt>
                <c:pt idx="5">
                  <c:v>505.13725490196077</c:v>
                </c:pt>
              </c:numCache>
            </c:numRef>
          </c:val>
          <c:extLst>
            <c:ext xmlns:c16="http://schemas.microsoft.com/office/drawing/2014/chart" uri="{C3380CC4-5D6E-409C-BE32-E72D297353CC}">
              <c16:uniqueId val="{00000001-20BC-4EC4-8E7F-3378B56D9AB3}"/>
            </c:ext>
          </c:extLst>
        </c:ser>
        <c:ser>
          <c:idx val="2"/>
          <c:order val="2"/>
          <c:tx>
            <c:strRef>
              <c:f>'TASK 4.4'!$D$3</c:f>
              <c:strCache>
                <c:ptCount val="1"/>
                <c:pt idx="0">
                  <c:v>Average of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4.4'!$D$4:$D$10</c:f>
              <c:numCache>
                <c:formatCode>0</c:formatCode>
                <c:ptCount val="6"/>
                <c:pt idx="0">
                  <c:v>239.67164179104478</c:v>
                </c:pt>
                <c:pt idx="1">
                  <c:v>260.75</c:v>
                </c:pt>
                <c:pt idx="2">
                  <c:v>237.90566037735849</c:v>
                </c:pt>
                <c:pt idx="3">
                  <c:v>261.35416666666669</c:v>
                </c:pt>
                <c:pt idx="4">
                  <c:v>251.375</c:v>
                </c:pt>
                <c:pt idx="5">
                  <c:v>236.78431372549019</c:v>
                </c:pt>
              </c:numCache>
            </c:numRef>
          </c:val>
          <c:extLst>
            <c:ext xmlns:c16="http://schemas.microsoft.com/office/drawing/2014/chart" uri="{C3380CC4-5D6E-409C-BE32-E72D297353CC}">
              <c16:uniqueId val="{00000002-20BC-4EC4-8E7F-3378B56D9AB3}"/>
            </c:ext>
          </c:extLst>
        </c:ser>
        <c:ser>
          <c:idx val="3"/>
          <c:order val="3"/>
          <c:tx>
            <c:strRef>
              <c:f>'TASK 4.4'!$E$3</c:f>
              <c:strCache>
                <c:ptCount val="1"/>
                <c:pt idx="0">
                  <c:v>Average of Impressions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4.4'!$E$4:$E$10</c:f>
              <c:numCache>
                <c:formatCode>0</c:formatCode>
                <c:ptCount val="6"/>
                <c:pt idx="0">
                  <c:v>34865.447761194031</c:v>
                </c:pt>
                <c:pt idx="1">
                  <c:v>35300.986111111109</c:v>
                </c:pt>
                <c:pt idx="2">
                  <c:v>35168.056603773584</c:v>
                </c:pt>
                <c:pt idx="3">
                  <c:v>33374</c:v>
                </c:pt>
                <c:pt idx="4">
                  <c:v>35011.041666666664</c:v>
                </c:pt>
                <c:pt idx="5">
                  <c:v>34013.941176470587</c:v>
                </c:pt>
              </c:numCache>
            </c:numRef>
          </c:val>
          <c:extLst>
            <c:ext xmlns:c16="http://schemas.microsoft.com/office/drawing/2014/chart" uri="{C3380CC4-5D6E-409C-BE32-E72D297353CC}">
              <c16:uniqueId val="{00000003-20BC-4EC4-8E7F-3378B56D9AB3}"/>
            </c:ext>
          </c:extLst>
        </c:ser>
        <c:ser>
          <c:idx val="4"/>
          <c:order val="4"/>
          <c:tx>
            <c:strRef>
              <c:f>'TASK 4.4'!$F$3</c:f>
              <c:strCache>
                <c:ptCount val="1"/>
                <c:pt idx="0">
                  <c:v>Average of Reach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4.4'!$F$4:$F$10</c:f>
              <c:numCache>
                <c:formatCode>0</c:formatCode>
                <c:ptCount val="6"/>
                <c:pt idx="0">
                  <c:v>34354.880597014926</c:v>
                </c:pt>
                <c:pt idx="1">
                  <c:v>34731.347222222219</c:v>
                </c:pt>
                <c:pt idx="2">
                  <c:v>34638.32075471698</c:v>
                </c:pt>
                <c:pt idx="3">
                  <c:v>32837.770833333336</c:v>
                </c:pt>
                <c:pt idx="4">
                  <c:v>34449.5625</c:v>
                </c:pt>
                <c:pt idx="5">
                  <c:v>33519.705882352944</c:v>
                </c:pt>
              </c:numCache>
            </c:numRef>
          </c:val>
          <c:extLst>
            <c:ext xmlns:c16="http://schemas.microsoft.com/office/drawing/2014/chart" uri="{C3380CC4-5D6E-409C-BE32-E72D297353CC}">
              <c16:uniqueId val="{00000004-20BC-4EC4-8E7F-3378B56D9AB3}"/>
            </c:ext>
          </c:extLst>
        </c:ser>
        <c:ser>
          <c:idx val="5"/>
          <c:order val="5"/>
          <c:tx>
            <c:strRef>
              <c:f>'TASK 4.4'!$G$3</c:f>
              <c:strCache>
                <c:ptCount val="1"/>
                <c:pt idx="0">
                  <c:v>Average of Clicks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4.4'!$G$4:$G$10</c:f>
              <c:numCache>
                <c:formatCode>0</c:formatCode>
                <c:ptCount val="6"/>
                <c:pt idx="0">
                  <c:v>158.62686567164178</c:v>
                </c:pt>
                <c:pt idx="1">
                  <c:v>159.91666666666666</c:v>
                </c:pt>
                <c:pt idx="2">
                  <c:v>152.24528301886792</c:v>
                </c:pt>
                <c:pt idx="3">
                  <c:v>126.625</c:v>
                </c:pt>
                <c:pt idx="4">
                  <c:v>167.02083333333334</c:v>
                </c:pt>
                <c:pt idx="5">
                  <c:v>132.21568627450981</c:v>
                </c:pt>
              </c:numCache>
            </c:numRef>
          </c:val>
          <c:extLst>
            <c:ext xmlns:c16="http://schemas.microsoft.com/office/drawing/2014/chart" uri="{C3380CC4-5D6E-409C-BE32-E72D297353CC}">
              <c16:uniqueId val="{00000005-20BC-4EC4-8E7F-3378B56D9AB3}"/>
            </c:ext>
          </c:extLst>
        </c:ser>
        <c:ser>
          <c:idx val="6"/>
          <c:order val="6"/>
          <c:tx>
            <c:strRef>
              <c:f>'TASK 4.4'!$H$3</c:f>
              <c:strCache>
                <c:ptCount val="1"/>
                <c:pt idx="0">
                  <c:v>Average of Engagement rate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4.4'!$A$4:$A$10</c:f>
              <c:strCache>
                <c:ptCount val="6"/>
                <c:pt idx="0">
                  <c:v>Carousel</c:v>
                </c:pt>
                <c:pt idx="1">
                  <c:v>Image</c:v>
                </c:pt>
                <c:pt idx="2">
                  <c:v>Reel</c:v>
                </c:pt>
                <c:pt idx="3">
                  <c:v>Story</c:v>
                </c:pt>
                <c:pt idx="4">
                  <c:v>Text</c:v>
                </c:pt>
                <c:pt idx="5">
                  <c:v>Video</c:v>
                </c:pt>
              </c:strCache>
            </c:strRef>
          </c:cat>
          <c:val>
            <c:numRef>
              <c:f>'TASK 4.4'!$H$4:$H$10</c:f>
              <c:numCache>
                <c:formatCode>0%</c:formatCode>
                <c:ptCount val="6"/>
                <c:pt idx="0">
                  <c:v>0.14726325711841348</c:v>
                </c:pt>
                <c:pt idx="1">
                  <c:v>0.13320104781588207</c:v>
                </c:pt>
                <c:pt idx="2">
                  <c:v>0.15209713454460921</c:v>
                </c:pt>
                <c:pt idx="3">
                  <c:v>0.18023669224095737</c:v>
                </c:pt>
                <c:pt idx="4">
                  <c:v>0.11693453501108982</c:v>
                </c:pt>
                <c:pt idx="5">
                  <c:v>0.14098986670477595</c:v>
                </c:pt>
              </c:numCache>
            </c:numRef>
          </c:val>
          <c:extLst>
            <c:ext xmlns:c16="http://schemas.microsoft.com/office/drawing/2014/chart" uri="{C3380CC4-5D6E-409C-BE32-E72D297353CC}">
              <c16:uniqueId val="{00000006-20BC-4EC4-8E7F-3378B56D9AB3}"/>
            </c:ext>
          </c:extLst>
        </c:ser>
        <c:dLbls>
          <c:showLegendKey val="0"/>
          <c:showVal val="0"/>
          <c:showCatName val="0"/>
          <c:showSerName val="0"/>
          <c:showPercent val="0"/>
          <c:showBubbleSize val="0"/>
        </c:dLbls>
        <c:gapWidth val="150"/>
        <c:overlap val="100"/>
        <c:axId val="605430543"/>
        <c:axId val="605413743"/>
      </c:barChart>
      <c:valAx>
        <c:axId val="60541374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5430543"/>
        <c:crosses val="autoZero"/>
        <c:crossBetween val="between"/>
      </c:valAx>
      <c:catAx>
        <c:axId val="60543054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54137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6.2!PivotTable1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weekly follower growth per platform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6.2'!$B$3:$B$4</c:f>
              <c:strCache>
                <c:ptCount val="1"/>
                <c:pt idx="0">
                  <c:v>Facebook</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 6.2'!$A$5:$A$55</c:f>
              <c:strCache>
                <c:ptCount val="50"/>
                <c:pt idx="0">
                  <c:v>2024-12-30</c:v>
                </c:pt>
                <c:pt idx="1">
                  <c:v>2025-02-24</c:v>
                </c:pt>
                <c:pt idx="2">
                  <c:v>2024-12-02</c:v>
                </c:pt>
                <c:pt idx="3">
                  <c:v>2024-06-24</c:v>
                </c:pt>
                <c:pt idx="4">
                  <c:v>2024-10-07</c:v>
                </c:pt>
                <c:pt idx="5">
                  <c:v>2025-02-17</c:v>
                </c:pt>
                <c:pt idx="6">
                  <c:v>2024-09-09</c:v>
                </c:pt>
                <c:pt idx="7">
                  <c:v>2024-06-17</c:v>
                </c:pt>
                <c:pt idx="8">
                  <c:v>2024-12-16</c:v>
                </c:pt>
                <c:pt idx="9">
                  <c:v>2024-12-09</c:v>
                </c:pt>
                <c:pt idx="10">
                  <c:v>2024-08-12</c:v>
                </c:pt>
                <c:pt idx="11">
                  <c:v>2024-11-25</c:v>
                </c:pt>
                <c:pt idx="12">
                  <c:v>2024-06-10</c:v>
                </c:pt>
                <c:pt idx="13">
                  <c:v>2025-03-17</c:v>
                </c:pt>
                <c:pt idx="14">
                  <c:v>2024-08-19</c:v>
                </c:pt>
                <c:pt idx="15">
                  <c:v>2025-04-21</c:v>
                </c:pt>
                <c:pt idx="16">
                  <c:v>2024-09-02</c:v>
                </c:pt>
                <c:pt idx="17">
                  <c:v>2025-04-07</c:v>
                </c:pt>
                <c:pt idx="18">
                  <c:v>2024-06-03</c:v>
                </c:pt>
                <c:pt idx="19">
                  <c:v>2024-07-22</c:v>
                </c:pt>
                <c:pt idx="20">
                  <c:v>2025-02-10</c:v>
                </c:pt>
                <c:pt idx="21">
                  <c:v>2025-03-10</c:v>
                </c:pt>
                <c:pt idx="22">
                  <c:v>2025-01-27</c:v>
                </c:pt>
                <c:pt idx="23">
                  <c:v>2025-02-03</c:v>
                </c:pt>
                <c:pt idx="24">
                  <c:v>2024-12-23</c:v>
                </c:pt>
                <c:pt idx="25">
                  <c:v>2025-01-06</c:v>
                </c:pt>
                <c:pt idx="26">
                  <c:v>2024-11-04</c:v>
                </c:pt>
                <c:pt idx="27">
                  <c:v>2025-03-31</c:v>
                </c:pt>
                <c:pt idx="28">
                  <c:v>2025-03-24</c:v>
                </c:pt>
                <c:pt idx="29">
                  <c:v>2025-04-28</c:v>
                </c:pt>
                <c:pt idx="30">
                  <c:v>2024-10-21</c:v>
                </c:pt>
                <c:pt idx="31">
                  <c:v>2025-01-20</c:v>
                </c:pt>
                <c:pt idx="32">
                  <c:v>2025-05-12</c:v>
                </c:pt>
                <c:pt idx="33">
                  <c:v>2024-10-28</c:v>
                </c:pt>
                <c:pt idx="34">
                  <c:v>2025-05-05</c:v>
                </c:pt>
                <c:pt idx="35">
                  <c:v>2024-07-08</c:v>
                </c:pt>
                <c:pt idx="36">
                  <c:v>2025-01-13</c:v>
                </c:pt>
                <c:pt idx="37">
                  <c:v>2024-10-14</c:v>
                </c:pt>
                <c:pt idx="38">
                  <c:v>2024-09-16</c:v>
                </c:pt>
                <c:pt idx="39">
                  <c:v>2024-11-18</c:v>
                </c:pt>
                <c:pt idx="40">
                  <c:v>2024-07-01</c:v>
                </c:pt>
                <c:pt idx="41">
                  <c:v>2024-08-26</c:v>
                </c:pt>
                <c:pt idx="42">
                  <c:v>2024-09-23</c:v>
                </c:pt>
                <c:pt idx="43">
                  <c:v>2024-11-11</c:v>
                </c:pt>
                <c:pt idx="44">
                  <c:v>2025-03-03</c:v>
                </c:pt>
                <c:pt idx="45">
                  <c:v>2024-07-15</c:v>
                </c:pt>
                <c:pt idx="46">
                  <c:v>2025-04-14</c:v>
                </c:pt>
                <c:pt idx="47">
                  <c:v>2024-09-30</c:v>
                </c:pt>
                <c:pt idx="48">
                  <c:v>2024-08-05</c:v>
                </c:pt>
                <c:pt idx="49">
                  <c:v>2024-07-29</c:v>
                </c:pt>
              </c:strCache>
            </c:strRef>
          </c:cat>
          <c:val>
            <c:numRef>
              <c:f>'TASK 6.2'!$B$5:$B$55</c:f>
              <c:numCache>
                <c:formatCode>0</c:formatCode>
                <c:ptCount val="50"/>
                <c:pt idx="0">
                  <c:v>1776</c:v>
                </c:pt>
                <c:pt idx="1">
                  <c:v>1707</c:v>
                </c:pt>
                <c:pt idx="2">
                  <c:v>1706</c:v>
                </c:pt>
                <c:pt idx="3">
                  <c:v>1670</c:v>
                </c:pt>
                <c:pt idx="4">
                  <c:v>1662</c:v>
                </c:pt>
                <c:pt idx="5">
                  <c:v>1590</c:v>
                </c:pt>
                <c:pt idx="6">
                  <c:v>1428</c:v>
                </c:pt>
                <c:pt idx="7">
                  <c:v>1382</c:v>
                </c:pt>
                <c:pt idx="8">
                  <c:v>1377</c:v>
                </c:pt>
                <c:pt idx="9">
                  <c:v>1373</c:v>
                </c:pt>
                <c:pt idx="10">
                  <c:v>1334</c:v>
                </c:pt>
                <c:pt idx="11">
                  <c:v>1332</c:v>
                </c:pt>
                <c:pt idx="12">
                  <c:v>1283</c:v>
                </c:pt>
                <c:pt idx="13">
                  <c:v>1116</c:v>
                </c:pt>
                <c:pt idx="14">
                  <c:v>1058</c:v>
                </c:pt>
                <c:pt idx="15">
                  <c:v>1045</c:v>
                </c:pt>
                <c:pt idx="16">
                  <c:v>1045</c:v>
                </c:pt>
                <c:pt idx="17">
                  <c:v>1029</c:v>
                </c:pt>
                <c:pt idx="18">
                  <c:v>1002</c:v>
                </c:pt>
                <c:pt idx="19">
                  <c:v>961</c:v>
                </c:pt>
                <c:pt idx="20">
                  <c:v>912</c:v>
                </c:pt>
                <c:pt idx="21">
                  <c:v>908</c:v>
                </c:pt>
                <c:pt idx="22">
                  <c:v>898</c:v>
                </c:pt>
                <c:pt idx="23">
                  <c:v>748</c:v>
                </c:pt>
                <c:pt idx="24">
                  <c:v>730</c:v>
                </c:pt>
                <c:pt idx="25">
                  <c:v>620</c:v>
                </c:pt>
                <c:pt idx="26">
                  <c:v>540</c:v>
                </c:pt>
                <c:pt idx="27">
                  <c:v>514</c:v>
                </c:pt>
                <c:pt idx="28">
                  <c:v>474</c:v>
                </c:pt>
                <c:pt idx="29">
                  <c:v>453</c:v>
                </c:pt>
                <c:pt idx="30">
                  <c:v>439</c:v>
                </c:pt>
                <c:pt idx="31">
                  <c:v>427</c:v>
                </c:pt>
                <c:pt idx="32">
                  <c:v>407</c:v>
                </c:pt>
                <c:pt idx="33">
                  <c:v>386</c:v>
                </c:pt>
                <c:pt idx="34">
                  <c:v>339</c:v>
                </c:pt>
                <c:pt idx="35">
                  <c:v>309</c:v>
                </c:pt>
                <c:pt idx="36">
                  <c:v>298</c:v>
                </c:pt>
                <c:pt idx="37">
                  <c:v>285</c:v>
                </c:pt>
                <c:pt idx="38">
                  <c:v>98</c:v>
                </c:pt>
                <c:pt idx="39">
                  <c:v>72</c:v>
                </c:pt>
                <c:pt idx="40">
                  <c:v>64</c:v>
                </c:pt>
                <c:pt idx="41">
                  <c:v>37</c:v>
                </c:pt>
                <c:pt idx="42">
                  <c:v>-19</c:v>
                </c:pt>
                <c:pt idx="43">
                  <c:v>-106</c:v>
                </c:pt>
                <c:pt idx="44">
                  <c:v>-119</c:v>
                </c:pt>
                <c:pt idx="45">
                  <c:v>-164</c:v>
                </c:pt>
                <c:pt idx="46">
                  <c:v>-175</c:v>
                </c:pt>
                <c:pt idx="47">
                  <c:v>-179</c:v>
                </c:pt>
                <c:pt idx="48">
                  <c:v>-197</c:v>
                </c:pt>
                <c:pt idx="49">
                  <c:v>-318</c:v>
                </c:pt>
              </c:numCache>
            </c:numRef>
          </c:val>
          <c:smooth val="0"/>
          <c:extLst>
            <c:ext xmlns:c16="http://schemas.microsoft.com/office/drawing/2014/chart" uri="{C3380CC4-5D6E-409C-BE32-E72D297353CC}">
              <c16:uniqueId val="{00000000-FBC4-49A7-8913-2733069E86CA}"/>
            </c:ext>
          </c:extLst>
        </c:ser>
        <c:ser>
          <c:idx val="1"/>
          <c:order val="1"/>
          <c:tx>
            <c:strRef>
              <c:f>'TASK 6.2'!$C$3:$C$4</c:f>
              <c:strCache>
                <c:ptCount val="1"/>
                <c:pt idx="0">
                  <c:v>Instagram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 6.2'!$A$5:$A$55</c:f>
              <c:strCache>
                <c:ptCount val="50"/>
                <c:pt idx="0">
                  <c:v>2024-12-30</c:v>
                </c:pt>
                <c:pt idx="1">
                  <c:v>2025-02-24</c:v>
                </c:pt>
                <c:pt idx="2">
                  <c:v>2024-12-02</c:v>
                </c:pt>
                <c:pt idx="3">
                  <c:v>2024-06-24</c:v>
                </c:pt>
                <c:pt idx="4">
                  <c:v>2024-10-07</c:v>
                </c:pt>
                <c:pt idx="5">
                  <c:v>2025-02-17</c:v>
                </c:pt>
                <c:pt idx="6">
                  <c:v>2024-09-09</c:v>
                </c:pt>
                <c:pt idx="7">
                  <c:v>2024-06-17</c:v>
                </c:pt>
                <c:pt idx="8">
                  <c:v>2024-12-16</c:v>
                </c:pt>
                <c:pt idx="9">
                  <c:v>2024-12-09</c:v>
                </c:pt>
                <c:pt idx="10">
                  <c:v>2024-08-12</c:v>
                </c:pt>
                <c:pt idx="11">
                  <c:v>2024-11-25</c:v>
                </c:pt>
                <c:pt idx="12">
                  <c:v>2024-06-10</c:v>
                </c:pt>
                <c:pt idx="13">
                  <c:v>2025-03-17</c:v>
                </c:pt>
                <c:pt idx="14">
                  <c:v>2024-08-19</c:v>
                </c:pt>
                <c:pt idx="15">
                  <c:v>2025-04-21</c:v>
                </c:pt>
                <c:pt idx="16">
                  <c:v>2024-09-02</c:v>
                </c:pt>
                <c:pt idx="17">
                  <c:v>2025-04-07</c:v>
                </c:pt>
                <c:pt idx="18">
                  <c:v>2024-06-03</c:v>
                </c:pt>
                <c:pt idx="19">
                  <c:v>2024-07-22</c:v>
                </c:pt>
                <c:pt idx="20">
                  <c:v>2025-02-10</c:v>
                </c:pt>
                <c:pt idx="21">
                  <c:v>2025-03-10</c:v>
                </c:pt>
                <c:pt idx="22">
                  <c:v>2025-01-27</c:v>
                </c:pt>
                <c:pt idx="23">
                  <c:v>2025-02-03</c:v>
                </c:pt>
                <c:pt idx="24">
                  <c:v>2024-12-23</c:v>
                </c:pt>
                <c:pt idx="25">
                  <c:v>2025-01-06</c:v>
                </c:pt>
                <c:pt idx="26">
                  <c:v>2024-11-04</c:v>
                </c:pt>
                <c:pt idx="27">
                  <c:v>2025-03-31</c:v>
                </c:pt>
                <c:pt idx="28">
                  <c:v>2025-03-24</c:v>
                </c:pt>
                <c:pt idx="29">
                  <c:v>2025-04-28</c:v>
                </c:pt>
                <c:pt idx="30">
                  <c:v>2024-10-21</c:v>
                </c:pt>
                <c:pt idx="31">
                  <c:v>2025-01-20</c:v>
                </c:pt>
                <c:pt idx="32">
                  <c:v>2025-05-12</c:v>
                </c:pt>
                <c:pt idx="33">
                  <c:v>2024-10-28</c:v>
                </c:pt>
                <c:pt idx="34">
                  <c:v>2025-05-05</c:v>
                </c:pt>
                <c:pt idx="35">
                  <c:v>2024-07-08</c:v>
                </c:pt>
                <c:pt idx="36">
                  <c:v>2025-01-13</c:v>
                </c:pt>
                <c:pt idx="37">
                  <c:v>2024-10-14</c:v>
                </c:pt>
                <c:pt idx="38">
                  <c:v>2024-09-16</c:v>
                </c:pt>
                <c:pt idx="39">
                  <c:v>2024-11-18</c:v>
                </c:pt>
                <c:pt idx="40">
                  <c:v>2024-07-01</c:v>
                </c:pt>
                <c:pt idx="41">
                  <c:v>2024-08-26</c:v>
                </c:pt>
                <c:pt idx="42">
                  <c:v>2024-09-23</c:v>
                </c:pt>
                <c:pt idx="43">
                  <c:v>2024-11-11</c:v>
                </c:pt>
                <c:pt idx="44">
                  <c:v>2025-03-03</c:v>
                </c:pt>
                <c:pt idx="45">
                  <c:v>2024-07-15</c:v>
                </c:pt>
                <c:pt idx="46">
                  <c:v>2025-04-14</c:v>
                </c:pt>
                <c:pt idx="47">
                  <c:v>2024-09-30</c:v>
                </c:pt>
                <c:pt idx="48">
                  <c:v>2024-08-05</c:v>
                </c:pt>
                <c:pt idx="49">
                  <c:v>2024-07-29</c:v>
                </c:pt>
              </c:strCache>
            </c:strRef>
          </c:cat>
          <c:val>
            <c:numRef>
              <c:f>'TASK 6.2'!$C$5:$C$55</c:f>
              <c:numCache>
                <c:formatCode>0</c:formatCode>
                <c:ptCount val="50"/>
                <c:pt idx="0">
                  <c:v>1765</c:v>
                </c:pt>
                <c:pt idx="1">
                  <c:v>1375</c:v>
                </c:pt>
                <c:pt idx="2">
                  <c:v>1625</c:v>
                </c:pt>
                <c:pt idx="3">
                  <c:v>629</c:v>
                </c:pt>
                <c:pt idx="4">
                  <c:v>1872</c:v>
                </c:pt>
                <c:pt idx="5">
                  <c:v>965</c:v>
                </c:pt>
                <c:pt idx="6">
                  <c:v>1572</c:v>
                </c:pt>
                <c:pt idx="7">
                  <c:v>893</c:v>
                </c:pt>
                <c:pt idx="8">
                  <c:v>1432</c:v>
                </c:pt>
                <c:pt idx="9">
                  <c:v>1119</c:v>
                </c:pt>
                <c:pt idx="10">
                  <c:v>1325</c:v>
                </c:pt>
                <c:pt idx="11">
                  <c:v>1693</c:v>
                </c:pt>
                <c:pt idx="12">
                  <c:v>517</c:v>
                </c:pt>
                <c:pt idx="13">
                  <c:v>680</c:v>
                </c:pt>
                <c:pt idx="14">
                  <c:v>76</c:v>
                </c:pt>
                <c:pt idx="15">
                  <c:v>603</c:v>
                </c:pt>
                <c:pt idx="16">
                  <c:v>1247</c:v>
                </c:pt>
                <c:pt idx="17">
                  <c:v>167</c:v>
                </c:pt>
                <c:pt idx="18">
                  <c:v>1047</c:v>
                </c:pt>
                <c:pt idx="19">
                  <c:v>159</c:v>
                </c:pt>
                <c:pt idx="20">
                  <c:v>1723</c:v>
                </c:pt>
                <c:pt idx="21">
                  <c:v>212</c:v>
                </c:pt>
                <c:pt idx="22">
                  <c:v>-166</c:v>
                </c:pt>
                <c:pt idx="23">
                  <c:v>1080</c:v>
                </c:pt>
                <c:pt idx="24">
                  <c:v>684</c:v>
                </c:pt>
                <c:pt idx="25">
                  <c:v>903</c:v>
                </c:pt>
                <c:pt idx="26">
                  <c:v>1397</c:v>
                </c:pt>
                <c:pt idx="27">
                  <c:v>641</c:v>
                </c:pt>
                <c:pt idx="28">
                  <c:v>461</c:v>
                </c:pt>
                <c:pt idx="29">
                  <c:v>1539</c:v>
                </c:pt>
                <c:pt idx="30">
                  <c:v>262</c:v>
                </c:pt>
                <c:pt idx="31">
                  <c:v>1572</c:v>
                </c:pt>
                <c:pt idx="32">
                  <c:v>1656</c:v>
                </c:pt>
                <c:pt idx="33">
                  <c:v>576</c:v>
                </c:pt>
                <c:pt idx="34">
                  <c:v>1881</c:v>
                </c:pt>
                <c:pt idx="35">
                  <c:v>1672</c:v>
                </c:pt>
                <c:pt idx="36">
                  <c:v>1722</c:v>
                </c:pt>
                <c:pt idx="37">
                  <c:v>1224</c:v>
                </c:pt>
                <c:pt idx="38">
                  <c:v>377</c:v>
                </c:pt>
                <c:pt idx="39">
                  <c:v>-49</c:v>
                </c:pt>
                <c:pt idx="40">
                  <c:v>-219</c:v>
                </c:pt>
                <c:pt idx="41">
                  <c:v>1609</c:v>
                </c:pt>
                <c:pt idx="42">
                  <c:v>666</c:v>
                </c:pt>
                <c:pt idx="43">
                  <c:v>902</c:v>
                </c:pt>
                <c:pt idx="44">
                  <c:v>1315</c:v>
                </c:pt>
                <c:pt idx="45">
                  <c:v>1845</c:v>
                </c:pt>
                <c:pt idx="46">
                  <c:v>-160</c:v>
                </c:pt>
                <c:pt idx="47">
                  <c:v>1025</c:v>
                </c:pt>
                <c:pt idx="48">
                  <c:v>352</c:v>
                </c:pt>
                <c:pt idx="49">
                  <c:v>541</c:v>
                </c:pt>
              </c:numCache>
            </c:numRef>
          </c:val>
          <c:smooth val="0"/>
          <c:extLst>
            <c:ext xmlns:c16="http://schemas.microsoft.com/office/drawing/2014/chart" uri="{C3380CC4-5D6E-409C-BE32-E72D297353CC}">
              <c16:uniqueId val="{00000001-FBC4-49A7-8913-2733069E86CA}"/>
            </c:ext>
          </c:extLst>
        </c:ser>
        <c:ser>
          <c:idx val="2"/>
          <c:order val="2"/>
          <c:tx>
            <c:strRef>
              <c:f>'TASK 6.2'!$D$3:$D$4</c:f>
              <c:strCache>
                <c:ptCount val="1"/>
                <c:pt idx="0">
                  <c:v>Twitter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'TASK 6.2'!$A$5:$A$55</c:f>
              <c:strCache>
                <c:ptCount val="50"/>
                <c:pt idx="0">
                  <c:v>2024-12-30</c:v>
                </c:pt>
                <c:pt idx="1">
                  <c:v>2025-02-24</c:v>
                </c:pt>
                <c:pt idx="2">
                  <c:v>2024-12-02</c:v>
                </c:pt>
                <c:pt idx="3">
                  <c:v>2024-06-24</c:v>
                </c:pt>
                <c:pt idx="4">
                  <c:v>2024-10-07</c:v>
                </c:pt>
                <c:pt idx="5">
                  <c:v>2025-02-17</c:v>
                </c:pt>
                <c:pt idx="6">
                  <c:v>2024-09-09</c:v>
                </c:pt>
                <c:pt idx="7">
                  <c:v>2024-06-17</c:v>
                </c:pt>
                <c:pt idx="8">
                  <c:v>2024-12-16</c:v>
                </c:pt>
                <c:pt idx="9">
                  <c:v>2024-12-09</c:v>
                </c:pt>
                <c:pt idx="10">
                  <c:v>2024-08-12</c:v>
                </c:pt>
                <c:pt idx="11">
                  <c:v>2024-11-25</c:v>
                </c:pt>
                <c:pt idx="12">
                  <c:v>2024-06-10</c:v>
                </c:pt>
                <c:pt idx="13">
                  <c:v>2025-03-17</c:v>
                </c:pt>
                <c:pt idx="14">
                  <c:v>2024-08-19</c:v>
                </c:pt>
                <c:pt idx="15">
                  <c:v>2025-04-21</c:v>
                </c:pt>
                <c:pt idx="16">
                  <c:v>2024-09-02</c:v>
                </c:pt>
                <c:pt idx="17">
                  <c:v>2025-04-07</c:v>
                </c:pt>
                <c:pt idx="18">
                  <c:v>2024-06-03</c:v>
                </c:pt>
                <c:pt idx="19">
                  <c:v>2024-07-22</c:v>
                </c:pt>
                <c:pt idx="20">
                  <c:v>2025-02-10</c:v>
                </c:pt>
                <c:pt idx="21">
                  <c:v>2025-03-10</c:v>
                </c:pt>
                <c:pt idx="22">
                  <c:v>2025-01-27</c:v>
                </c:pt>
                <c:pt idx="23">
                  <c:v>2025-02-03</c:v>
                </c:pt>
                <c:pt idx="24">
                  <c:v>2024-12-23</c:v>
                </c:pt>
                <c:pt idx="25">
                  <c:v>2025-01-06</c:v>
                </c:pt>
                <c:pt idx="26">
                  <c:v>2024-11-04</c:v>
                </c:pt>
                <c:pt idx="27">
                  <c:v>2025-03-31</c:v>
                </c:pt>
                <c:pt idx="28">
                  <c:v>2025-03-24</c:v>
                </c:pt>
                <c:pt idx="29">
                  <c:v>2025-04-28</c:v>
                </c:pt>
                <c:pt idx="30">
                  <c:v>2024-10-21</c:v>
                </c:pt>
                <c:pt idx="31">
                  <c:v>2025-01-20</c:v>
                </c:pt>
                <c:pt idx="32">
                  <c:v>2025-05-12</c:v>
                </c:pt>
                <c:pt idx="33">
                  <c:v>2024-10-28</c:v>
                </c:pt>
                <c:pt idx="34">
                  <c:v>2025-05-05</c:v>
                </c:pt>
                <c:pt idx="35">
                  <c:v>2024-07-08</c:v>
                </c:pt>
                <c:pt idx="36">
                  <c:v>2025-01-13</c:v>
                </c:pt>
                <c:pt idx="37">
                  <c:v>2024-10-14</c:v>
                </c:pt>
                <c:pt idx="38">
                  <c:v>2024-09-16</c:v>
                </c:pt>
                <c:pt idx="39">
                  <c:v>2024-11-18</c:v>
                </c:pt>
                <c:pt idx="40">
                  <c:v>2024-07-01</c:v>
                </c:pt>
                <c:pt idx="41">
                  <c:v>2024-08-26</c:v>
                </c:pt>
                <c:pt idx="42">
                  <c:v>2024-09-23</c:v>
                </c:pt>
                <c:pt idx="43">
                  <c:v>2024-11-11</c:v>
                </c:pt>
                <c:pt idx="44">
                  <c:v>2025-03-03</c:v>
                </c:pt>
                <c:pt idx="45">
                  <c:v>2024-07-15</c:v>
                </c:pt>
                <c:pt idx="46">
                  <c:v>2025-04-14</c:v>
                </c:pt>
                <c:pt idx="47">
                  <c:v>2024-09-30</c:v>
                </c:pt>
                <c:pt idx="48">
                  <c:v>2024-08-05</c:v>
                </c:pt>
                <c:pt idx="49">
                  <c:v>2024-07-29</c:v>
                </c:pt>
              </c:strCache>
            </c:strRef>
          </c:cat>
          <c:val>
            <c:numRef>
              <c:f>'TASK 6.2'!$D$5:$D$55</c:f>
              <c:numCache>
                <c:formatCode>0</c:formatCode>
                <c:ptCount val="50"/>
                <c:pt idx="0">
                  <c:v>1529</c:v>
                </c:pt>
                <c:pt idx="1">
                  <c:v>708</c:v>
                </c:pt>
                <c:pt idx="2">
                  <c:v>1173</c:v>
                </c:pt>
                <c:pt idx="3">
                  <c:v>835</c:v>
                </c:pt>
                <c:pt idx="4">
                  <c:v>107</c:v>
                </c:pt>
                <c:pt idx="5">
                  <c:v>-37</c:v>
                </c:pt>
                <c:pt idx="6">
                  <c:v>260</c:v>
                </c:pt>
                <c:pt idx="7">
                  <c:v>1295</c:v>
                </c:pt>
                <c:pt idx="8">
                  <c:v>1359</c:v>
                </c:pt>
                <c:pt idx="9">
                  <c:v>1727</c:v>
                </c:pt>
                <c:pt idx="10">
                  <c:v>37</c:v>
                </c:pt>
                <c:pt idx="11">
                  <c:v>98</c:v>
                </c:pt>
                <c:pt idx="12">
                  <c:v>186</c:v>
                </c:pt>
                <c:pt idx="13">
                  <c:v>861</c:v>
                </c:pt>
                <c:pt idx="14">
                  <c:v>1665</c:v>
                </c:pt>
                <c:pt idx="15">
                  <c:v>759</c:v>
                </c:pt>
                <c:pt idx="16">
                  <c:v>197</c:v>
                </c:pt>
                <c:pt idx="17">
                  <c:v>1007</c:v>
                </c:pt>
                <c:pt idx="18">
                  <c:v>415</c:v>
                </c:pt>
                <c:pt idx="19">
                  <c:v>1316</c:v>
                </c:pt>
                <c:pt idx="20">
                  <c:v>1202</c:v>
                </c:pt>
                <c:pt idx="21">
                  <c:v>1350</c:v>
                </c:pt>
                <c:pt idx="22">
                  <c:v>1426</c:v>
                </c:pt>
                <c:pt idx="23">
                  <c:v>569</c:v>
                </c:pt>
                <c:pt idx="24">
                  <c:v>911</c:v>
                </c:pt>
                <c:pt idx="25">
                  <c:v>1188</c:v>
                </c:pt>
                <c:pt idx="26">
                  <c:v>1603</c:v>
                </c:pt>
                <c:pt idx="27">
                  <c:v>1676</c:v>
                </c:pt>
                <c:pt idx="28">
                  <c:v>292</c:v>
                </c:pt>
                <c:pt idx="29">
                  <c:v>948</c:v>
                </c:pt>
                <c:pt idx="30">
                  <c:v>636</c:v>
                </c:pt>
                <c:pt idx="31">
                  <c:v>891</c:v>
                </c:pt>
                <c:pt idx="32">
                  <c:v>269</c:v>
                </c:pt>
                <c:pt idx="33">
                  <c:v>37</c:v>
                </c:pt>
                <c:pt idx="34">
                  <c:v>1510</c:v>
                </c:pt>
                <c:pt idx="35">
                  <c:v>547</c:v>
                </c:pt>
                <c:pt idx="36">
                  <c:v>-144</c:v>
                </c:pt>
                <c:pt idx="37">
                  <c:v>-20</c:v>
                </c:pt>
                <c:pt idx="38">
                  <c:v>1125</c:v>
                </c:pt>
                <c:pt idx="39">
                  <c:v>445</c:v>
                </c:pt>
                <c:pt idx="40">
                  <c:v>1357</c:v>
                </c:pt>
                <c:pt idx="41">
                  <c:v>1229</c:v>
                </c:pt>
                <c:pt idx="42">
                  <c:v>1680</c:v>
                </c:pt>
                <c:pt idx="43">
                  <c:v>1150</c:v>
                </c:pt>
                <c:pt idx="44">
                  <c:v>899</c:v>
                </c:pt>
                <c:pt idx="45">
                  <c:v>429</c:v>
                </c:pt>
                <c:pt idx="46">
                  <c:v>53</c:v>
                </c:pt>
                <c:pt idx="47">
                  <c:v>599</c:v>
                </c:pt>
                <c:pt idx="48">
                  <c:v>328</c:v>
                </c:pt>
                <c:pt idx="49">
                  <c:v>1495</c:v>
                </c:pt>
              </c:numCache>
            </c:numRef>
          </c:val>
          <c:smooth val="0"/>
          <c:extLst>
            <c:ext xmlns:c16="http://schemas.microsoft.com/office/drawing/2014/chart" uri="{C3380CC4-5D6E-409C-BE32-E72D297353CC}">
              <c16:uniqueId val="{00000002-FBC4-49A7-8913-2733069E86CA}"/>
            </c:ext>
          </c:extLst>
        </c:ser>
        <c:ser>
          <c:idx val="3"/>
          <c:order val="3"/>
          <c:tx>
            <c:strRef>
              <c:f>'TASK 6.2'!$E$3:$E$4</c:f>
              <c:strCache>
                <c:ptCount val="1"/>
                <c:pt idx="0">
                  <c:v>YouTube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'TASK 6.2'!$A$5:$A$55</c:f>
              <c:strCache>
                <c:ptCount val="50"/>
                <c:pt idx="0">
                  <c:v>2024-12-30</c:v>
                </c:pt>
                <c:pt idx="1">
                  <c:v>2025-02-24</c:v>
                </c:pt>
                <c:pt idx="2">
                  <c:v>2024-12-02</c:v>
                </c:pt>
                <c:pt idx="3">
                  <c:v>2024-06-24</c:v>
                </c:pt>
                <c:pt idx="4">
                  <c:v>2024-10-07</c:v>
                </c:pt>
                <c:pt idx="5">
                  <c:v>2025-02-17</c:v>
                </c:pt>
                <c:pt idx="6">
                  <c:v>2024-09-09</c:v>
                </c:pt>
                <c:pt idx="7">
                  <c:v>2024-06-17</c:v>
                </c:pt>
                <c:pt idx="8">
                  <c:v>2024-12-16</c:v>
                </c:pt>
                <c:pt idx="9">
                  <c:v>2024-12-09</c:v>
                </c:pt>
                <c:pt idx="10">
                  <c:v>2024-08-12</c:v>
                </c:pt>
                <c:pt idx="11">
                  <c:v>2024-11-25</c:v>
                </c:pt>
                <c:pt idx="12">
                  <c:v>2024-06-10</c:v>
                </c:pt>
                <c:pt idx="13">
                  <c:v>2025-03-17</c:v>
                </c:pt>
                <c:pt idx="14">
                  <c:v>2024-08-19</c:v>
                </c:pt>
                <c:pt idx="15">
                  <c:v>2025-04-21</c:v>
                </c:pt>
                <c:pt idx="16">
                  <c:v>2024-09-02</c:v>
                </c:pt>
                <c:pt idx="17">
                  <c:v>2025-04-07</c:v>
                </c:pt>
                <c:pt idx="18">
                  <c:v>2024-06-03</c:v>
                </c:pt>
                <c:pt idx="19">
                  <c:v>2024-07-22</c:v>
                </c:pt>
                <c:pt idx="20">
                  <c:v>2025-02-10</c:v>
                </c:pt>
                <c:pt idx="21">
                  <c:v>2025-03-10</c:v>
                </c:pt>
                <c:pt idx="22">
                  <c:v>2025-01-27</c:v>
                </c:pt>
                <c:pt idx="23">
                  <c:v>2025-02-03</c:v>
                </c:pt>
                <c:pt idx="24">
                  <c:v>2024-12-23</c:v>
                </c:pt>
                <c:pt idx="25">
                  <c:v>2025-01-06</c:v>
                </c:pt>
                <c:pt idx="26">
                  <c:v>2024-11-04</c:v>
                </c:pt>
                <c:pt idx="27">
                  <c:v>2025-03-31</c:v>
                </c:pt>
                <c:pt idx="28">
                  <c:v>2025-03-24</c:v>
                </c:pt>
                <c:pt idx="29">
                  <c:v>2025-04-28</c:v>
                </c:pt>
                <c:pt idx="30">
                  <c:v>2024-10-21</c:v>
                </c:pt>
                <c:pt idx="31">
                  <c:v>2025-01-20</c:v>
                </c:pt>
                <c:pt idx="32">
                  <c:v>2025-05-12</c:v>
                </c:pt>
                <c:pt idx="33">
                  <c:v>2024-10-28</c:v>
                </c:pt>
                <c:pt idx="34">
                  <c:v>2025-05-05</c:v>
                </c:pt>
                <c:pt idx="35">
                  <c:v>2024-07-08</c:v>
                </c:pt>
                <c:pt idx="36">
                  <c:v>2025-01-13</c:v>
                </c:pt>
                <c:pt idx="37">
                  <c:v>2024-10-14</c:v>
                </c:pt>
                <c:pt idx="38">
                  <c:v>2024-09-16</c:v>
                </c:pt>
                <c:pt idx="39">
                  <c:v>2024-11-18</c:v>
                </c:pt>
                <c:pt idx="40">
                  <c:v>2024-07-01</c:v>
                </c:pt>
                <c:pt idx="41">
                  <c:v>2024-08-26</c:v>
                </c:pt>
                <c:pt idx="42">
                  <c:v>2024-09-23</c:v>
                </c:pt>
                <c:pt idx="43">
                  <c:v>2024-11-11</c:v>
                </c:pt>
                <c:pt idx="44">
                  <c:v>2025-03-03</c:v>
                </c:pt>
                <c:pt idx="45">
                  <c:v>2024-07-15</c:v>
                </c:pt>
                <c:pt idx="46">
                  <c:v>2025-04-14</c:v>
                </c:pt>
                <c:pt idx="47">
                  <c:v>2024-09-30</c:v>
                </c:pt>
                <c:pt idx="48">
                  <c:v>2024-08-05</c:v>
                </c:pt>
                <c:pt idx="49">
                  <c:v>2024-07-29</c:v>
                </c:pt>
              </c:strCache>
            </c:strRef>
          </c:cat>
          <c:val>
            <c:numRef>
              <c:f>'TASK 6.2'!$E$5:$E$55</c:f>
              <c:numCache>
                <c:formatCode>0</c:formatCode>
                <c:ptCount val="50"/>
                <c:pt idx="0">
                  <c:v>1460</c:v>
                </c:pt>
                <c:pt idx="1">
                  <c:v>1016</c:v>
                </c:pt>
                <c:pt idx="2">
                  <c:v>291</c:v>
                </c:pt>
                <c:pt idx="3">
                  <c:v>-123</c:v>
                </c:pt>
                <c:pt idx="4">
                  <c:v>118</c:v>
                </c:pt>
                <c:pt idx="5">
                  <c:v>1175</c:v>
                </c:pt>
                <c:pt idx="6">
                  <c:v>1100</c:v>
                </c:pt>
                <c:pt idx="7">
                  <c:v>337</c:v>
                </c:pt>
                <c:pt idx="8">
                  <c:v>876</c:v>
                </c:pt>
                <c:pt idx="9">
                  <c:v>573</c:v>
                </c:pt>
                <c:pt idx="10">
                  <c:v>1032</c:v>
                </c:pt>
                <c:pt idx="11">
                  <c:v>885</c:v>
                </c:pt>
                <c:pt idx="12">
                  <c:v>994</c:v>
                </c:pt>
                <c:pt idx="13">
                  <c:v>1385</c:v>
                </c:pt>
                <c:pt idx="14">
                  <c:v>190</c:v>
                </c:pt>
                <c:pt idx="15">
                  <c:v>1633</c:v>
                </c:pt>
                <c:pt idx="16">
                  <c:v>333</c:v>
                </c:pt>
                <c:pt idx="17">
                  <c:v>209</c:v>
                </c:pt>
                <c:pt idx="18">
                  <c:v>1090</c:v>
                </c:pt>
                <c:pt idx="19">
                  <c:v>317</c:v>
                </c:pt>
                <c:pt idx="20">
                  <c:v>1444</c:v>
                </c:pt>
                <c:pt idx="21">
                  <c:v>1242</c:v>
                </c:pt>
                <c:pt idx="22">
                  <c:v>1225</c:v>
                </c:pt>
                <c:pt idx="23">
                  <c:v>-203</c:v>
                </c:pt>
                <c:pt idx="24">
                  <c:v>1589</c:v>
                </c:pt>
                <c:pt idx="25">
                  <c:v>846</c:v>
                </c:pt>
                <c:pt idx="26">
                  <c:v>1044</c:v>
                </c:pt>
                <c:pt idx="27">
                  <c:v>1467</c:v>
                </c:pt>
                <c:pt idx="28">
                  <c:v>389</c:v>
                </c:pt>
                <c:pt idx="29">
                  <c:v>637</c:v>
                </c:pt>
                <c:pt idx="30">
                  <c:v>1484</c:v>
                </c:pt>
                <c:pt idx="31">
                  <c:v>724</c:v>
                </c:pt>
                <c:pt idx="32">
                  <c:v>-337</c:v>
                </c:pt>
                <c:pt idx="33">
                  <c:v>1657</c:v>
                </c:pt>
                <c:pt idx="34">
                  <c:v>864</c:v>
                </c:pt>
                <c:pt idx="35">
                  <c:v>514</c:v>
                </c:pt>
                <c:pt idx="36">
                  <c:v>901</c:v>
                </c:pt>
                <c:pt idx="37">
                  <c:v>367</c:v>
                </c:pt>
                <c:pt idx="38">
                  <c:v>-32</c:v>
                </c:pt>
                <c:pt idx="39">
                  <c:v>60</c:v>
                </c:pt>
                <c:pt idx="40">
                  <c:v>91</c:v>
                </c:pt>
                <c:pt idx="41">
                  <c:v>28</c:v>
                </c:pt>
                <c:pt idx="42">
                  <c:v>1006</c:v>
                </c:pt>
                <c:pt idx="43">
                  <c:v>349</c:v>
                </c:pt>
                <c:pt idx="44">
                  <c:v>315</c:v>
                </c:pt>
                <c:pt idx="45">
                  <c:v>160</c:v>
                </c:pt>
                <c:pt idx="46">
                  <c:v>145</c:v>
                </c:pt>
                <c:pt idx="47">
                  <c:v>1706</c:v>
                </c:pt>
                <c:pt idx="48">
                  <c:v>319</c:v>
                </c:pt>
                <c:pt idx="49">
                  <c:v>475</c:v>
                </c:pt>
              </c:numCache>
            </c:numRef>
          </c:val>
          <c:smooth val="0"/>
          <c:extLst>
            <c:ext xmlns:c16="http://schemas.microsoft.com/office/drawing/2014/chart" uri="{C3380CC4-5D6E-409C-BE32-E72D297353CC}">
              <c16:uniqueId val="{00000003-FBC4-49A7-8913-2733069E86CA}"/>
            </c:ext>
          </c:extLst>
        </c:ser>
        <c:dLbls>
          <c:showLegendKey val="0"/>
          <c:showVal val="0"/>
          <c:showCatName val="0"/>
          <c:showSerName val="0"/>
          <c:showPercent val="0"/>
          <c:showBubbleSize val="0"/>
        </c:dLbls>
        <c:marker val="1"/>
        <c:smooth val="0"/>
        <c:axId val="1928280400"/>
        <c:axId val="1928276080"/>
      </c:lineChart>
      <c:catAx>
        <c:axId val="1928280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276080"/>
        <c:crosses val="autoZero"/>
        <c:auto val="1"/>
        <c:lblAlgn val="ctr"/>
        <c:lblOffset val="100"/>
        <c:noMultiLvlLbl val="0"/>
      </c:catAx>
      <c:valAx>
        <c:axId val="19282760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28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6.3!PivotTable6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Identify the peak week of follower gain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6.3'!$B$3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'TASK 6.3'!$A$4:$A$53</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6.3'!$B$4:$B$53</c:f>
              <c:numCache>
                <c:formatCode>0</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0A06-4D23-836B-D95E731E17BF}"/>
            </c:ext>
          </c:extLst>
        </c:ser>
        <c:dLbls>
          <c:showLegendKey val="0"/>
          <c:showVal val="0"/>
          <c:showCatName val="0"/>
          <c:showSerName val="0"/>
          <c:showPercent val="0"/>
          <c:showBubbleSize val="0"/>
        </c:dLbls>
        <c:smooth val="0"/>
        <c:axId val="1928325040"/>
        <c:axId val="1928321200"/>
      </c:lineChart>
      <c:catAx>
        <c:axId val="19283250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321200"/>
        <c:crosses val="autoZero"/>
        <c:auto val="1"/>
        <c:lblAlgn val="ctr"/>
        <c:lblOffset val="100"/>
        <c:noMultiLvlLbl val="0"/>
      </c:catAx>
      <c:valAx>
        <c:axId val="1928321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32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PROJECT.xlsx]TASK 6.4!PivotTable7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Moving averages to smooth growth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6.4'!$B$3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'TASK 6.4'!$A$4:$A$54</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6.4'!$B$4:$B$54</c:f>
              <c:numCache>
                <c:formatCode>0%</c:formatCode>
                <c:ptCount val="50"/>
                <c:pt idx="0">
                  <c:v>8.0290714293668759E-3</c:v>
                </c:pt>
                <c:pt idx="1">
                  <c:v>4.4258221413559281E-3</c:v>
                </c:pt>
                <c:pt idx="2">
                  <c:v>5.3848868091020208E-3</c:v>
                </c:pt>
                <c:pt idx="3">
                  <c:v>2.0914114604448371E-2</c:v>
                </c:pt>
                <c:pt idx="4">
                  <c:v>1.2182606708386959E-3</c:v>
                </c:pt>
                <c:pt idx="5">
                  <c:v>8.386890000927346E-3</c:v>
                </c:pt>
                <c:pt idx="6">
                  <c:v>3.5991676171207619E-3</c:v>
                </c:pt>
                <c:pt idx="7">
                  <c:v>2.8160093949716218E-3</c:v>
                </c:pt>
                <c:pt idx="8">
                  <c:v>8.7323842654838078E-3</c:v>
                </c:pt>
                <c:pt idx="9">
                  <c:v>2.3797326301746381E-4</c:v>
                </c:pt>
                <c:pt idx="10">
                  <c:v>4.3109412549358914E-3</c:v>
                </c:pt>
                <c:pt idx="11">
                  <c:v>4.2460953048362457E-3</c:v>
                </c:pt>
                <c:pt idx="12">
                  <c:v>2.5879303791354782E-3</c:v>
                </c:pt>
                <c:pt idx="13">
                  <c:v>3.9811005260940863E-3</c:v>
                </c:pt>
                <c:pt idx="14">
                  <c:v>6.6082588999901567E-3</c:v>
                </c:pt>
                <c:pt idx="15">
                  <c:v>2.5573627243032368E-3</c:v>
                </c:pt>
                <c:pt idx="16">
                  <c:v>5.9191859446976287E-3</c:v>
                </c:pt>
                <c:pt idx="17">
                  <c:v>7.4204770952290564E-3</c:v>
                </c:pt>
                <c:pt idx="18">
                  <c:v>3.9021188800015438E-3</c:v>
                </c:pt>
                <c:pt idx="19">
                  <c:v>1.6841324138077223E-3</c:v>
                </c:pt>
                <c:pt idx="20">
                  <c:v>6.9149105861120693E-3</c:v>
                </c:pt>
                <c:pt idx="21">
                  <c:v>2.2680877958002627E-3</c:v>
                </c:pt>
                <c:pt idx="22">
                  <c:v>8.7011080822352142E-3</c:v>
                </c:pt>
                <c:pt idx="23">
                  <c:v>8.3155452487563026E-3</c:v>
                </c:pt>
                <c:pt idx="24">
                  <c:v>9.1247739543100237E-5</c:v>
                </c:pt>
                <c:pt idx="25">
                  <c:v>6.3025316911712401E-3</c:v>
                </c:pt>
                <c:pt idx="26">
                  <c:v>3.1447422377826367E-3</c:v>
                </c:pt>
                <c:pt idx="27">
                  <c:v>3.2113411426726753E-2</c:v>
                </c:pt>
                <c:pt idx="28">
                  <c:v>3.0832233258165009E-3</c:v>
                </c:pt>
                <c:pt idx="29">
                  <c:v>2.1149949420241766E-2</c:v>
                </c:pt>
                <c:pt idx="30">
                  <c:v>8.3620680590409755E-3</c:v>
                </c:pt>
                <c:pt idx="31">
                  <c:v>5.1201676307653038E-3</c:v>
                </c:pt>
                <c:pt idx="32">
                  <c:v>1.7092106732263752E-2</c:v>
                </c:pt>
                <c:pt idx="33">
                  <c:v>3.5746313496673936E-3</c:v>
                </c:pt>
                <c:pt idx="34">
                  <c:v>2.6036408333221777E-3</c:v>
                </c:pt>
                <c:pt idx="35">
                  <c:v>2.7568791485359451E-3</c:v>
                </c:pt>
                <c:pt idx="36">
                  <c:v>5.7927582963248087E-3</c:v>
                </c:pt>
                <c:pt idx="37">
                  <c:v>7.0274022943667257E-3</c:v>
                </c:pt>
                <c:pt idx="38">
                  <c:v>5.6741828588475814E-3</c:v>
                </c:pt>
                <c:pt idx="39">
                  <c:v>2.0276466556782085E-3</c:v>
                </c:pt>
                <c:pt idx="40">
                  <c:v>3.0999050775184903E-2</c:v>
                </c:pt>
                <c:pt idx="41">
                  <c:v>3.8445430767844672E-2</c:v>
                </c:pt>
                <c:pt idx="42">
                  <c:v>1.1989779686619592E-3</c:v>
                </c:pt>
                <c:pt idx="43">
                  <c:v>3.8680527713399974E-3</c:v>
                </c:pt>
                <c:pt idx="44">
                  <c:v>1.1827210678552795E-2</c:v>
                </c:pt>
                <c:pt idx="45">
                  <c:v>-1.0275358509140395E-3</c:v>
                </c:pt>
                <c:pt idx="46">
                  <c:v>5.1623898917374832E-3</c:v>
                </c:pt>
                <c:pt idx="47">
                  <c:v>1.5779396084427921E-2</c:v>
                </c:pt>
                <c:pt idx="48">
                  <c:v>3.4864523157196038E-3</c:v>
                </c:pt>
                <c:pt idx="49">
                  <c:v>2.8983853665446061E-4</c:v>
                </c:pt>
              </c:numCache>
            </c:numRef>
          </c:val>
          <c:smooth val="0"/>
          <c:extLst>
            <c:ext xmlns:c16="http://schemas.microsoft.com/office/drawing/2014/chart" uri="{C3380CC4-5D6E-409C-BE32-E72D297353CC}">
              <c16:uniqueId val="{00000000-8A40-43C3-AB69-546DCF111ED9}"/>
            </c:ext>
          </c:extLst>
        </c:ser>
        <c:dLbls>
          <c:showLegendKey val="0"/>
          <c:showVal val="0"/>
          <c:showCatName val="0"/>
          <c:showSerName val="0"/>
          <c:showPercent val="0"/>
          <c:showBubbleSize val="0"/>
        </c:dLbls>
        <c:smooth val="0"/>
        <c:axId val="179341327"/>
        <c:axId val="179328847"/>
      </c:lineChart>
      <c:catAx>
        <c:axId val="1793413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28847"/>
        <c:crosses val="autoZero"/>
        <c:auto val="1"/>
        <c:lblAlgn val="ctr"/>
        <c:lblOffset val="100"/>
        <c:noMultiLvlLbl val="0"/>
      </c:catAx>
      <c:valAx>
        <c:axId val="17932884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 spend vs follower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cap="rnd">
            <a:noFill/>
            <a:round/>
          </a:ln>
          <a:effectLst/>
        </c:spPr>
        <c:marker>
          <c:symbol val="circle"/>
          <c:size val="5"/>
          <c:spPr>
            <a:solidFill>
              <a:schemeClr val="accent1"/>
            </a:solidFill>
            <a:ln w="9525"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cap="rnd">
            <a:noFill/>
            <a:round/>
          </a:ln>
          <a:effectLst/>
        </c:spPr>
        <c:marker>
          <c:symbol val="circle"/>
          <c:size val="5"/>
          <c:spPr>
            <a:solidFill>
              <a:schemeClr val="accent2"/>
            </a:solidFill>
            <a:ln w="9525"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strRef>
              <c:f>Sheet1!$B$3</c:f>
              <c:strCache>
                <c:ptCount val="1"/>
                <c:pt idx="0">
                  <c:v>Average of Followers gained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Sheet1!$A$4:$A$8</c:f>
              <c:strCache>
                <c:ptCount val="5"/>
                <c:pt idx="0">
                  <c:v>Facebook</c:v>
                </c:pt>
                <c:pt idx="1">
                  <c:v>Instagram</c:v>
                </c:pt>
                <c:pt idx="2">
                  <c:v>Twitter</c:v>
                </c:pt>
                <c:pt idx="3">
                  <c:v>YouTube</c:v>
                </c:pt>
                <c:pt idx="4">
                  <c:v>Grand Total</c:v>
                </c:pt>
              </c:strCache>
            </c:strRef>
          </c:xVal>
          <c:yVal>
            <c:numRef>
              <c:f>Sheet1!$B$4:$B$8</c:f>
              <c:numCache>
                <c:formatCode>0</c:formatCode>
                <c:ptCount val="4"/>
                <c:pt idx="0">
                  <c:v>711.14</c:v>
                </c:pt>
                <c:pt idx="1">
                  <c:v>960.08</c:v>
                </c:pt>
                <c:pt idx="2">
                  <c:v>823.54</c:v>
                </c:pt>
                <c:pt idx="3">
                  <c:v>707.34</c:v>
                </c:pt>
              </c:numCache>
            </c:numRef>
          </c:yVal>
          <c:smooth val="0"/>
          <c:extLst>
            <c:ext xmlns:c16="http://schemas.microsoft.com/office/drawing/2014/chart" uri="{C3380CC4-5D6E-409C-BE32-E72D297353CC}">
              <c16:uniqueId val="{00000000-428A-4767-819D-20FBEA2B56AE}"/>
            </c:ext>
          </c:extLst>
        </c:ser>
        <c:ser>
          <c:idx val="1"/>
          <c:order val="1"/>
          <c:tx>
            <c:strRef>
              <c:f>Sheet1!$C$3</c:f>
              <c:strCache>
                <c:ptCount val="1"/>
                <c:pt idx="0">
                  <c:v>Average of Ad_Spend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Sheet1!$A$4:$A$8</c:f>
              <c:strCache>
                <c:ptCount val="5"/>
                <c:pt idx="0">
                  <c:v>Facebook</c:v>
                </c:pt>
                <c:pt idx="1">
                  <c:v>Instagram</c:v>
                </c:pt>
                <c:pt idx="2">
                  <c:v>Twitter</c:v>
                </c:pt>
                <c:pt idx="3">
                  <c:v>YouTube</c:v>
                </c:pt>
                <c:pt idx="4">
                  <c:v>Grand Total</c:v>
                </c:pt>
              </c:strCache>
            </c:strRef>
          </c:xVal>
          <c:yVal>
            <c:numRef>
              <c:f>Sheet1!$C$4:$C$8</c:f>
              <c:numCache>
                <c:formatCode>0</c:formatCode>
                <c:ptCount val="4"/>
                <c:pt idx="0">
                  <c:v>27590.78</c:v>
                </c:pt>
                <c:pt idx="1">
                  <c:v>23287.46</c:v>
                </c:pt>
                <c:pt idx="2">
                  <c:v>21207.14</c:v>
                </c:pt>
                <c:pt idx="3">
                  <c:v>24572.94</c:v>
                </c:pt>
              </c:numCache>
            </c:numRef>
          </c:yVal>
          <c:smooth val="0"/>
          <c:extLst>
            <c:ext xmlns:c16="http://schemas.microsoft.com/office/drawing/2014/chart" uri="{C3380CC4-5D6E-409C-BE32-E72D297353CC}">
              <c16:uniqueId val="{00000001-428A-4767-819D-20FBEA2B56AE}"/>
            </c:ext>
          </c:extLst>
        </c:ser>
        <c:dLbls>
          <c:showLegendKey val="0"/>
          <c:showVal val="0"/>
          <c:showCatName val="0"/>
          <c:showSerName val="0"/>
          <c:showPercent val="0"/>
          <c:showBubbleSize val="0"/>
        </c:dLbls>
        <c:axId val="1210519440"/>
        <c:axId val="1210524720"/>
      </c:scatterChart>
      <c:valAx>
        <c:axId val="1210519440"/>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0524720"/>
        <c:crosses val="autoZero"/>
        <c:crossBetween val="midCat"/>
      </c:valAx>
      <c:valAx>
        <c:axId val="12105247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0519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drive.google.com/file/d/19bQ6oVTVbkPrvNHc-P3WGG4TIK1npuMd/view?usp=sharing" TargetMode="Externa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441960</xdr:colOff>
      <xdr:row>11</xdr:row>
      <xdr:rowOff>60960</xdr:rowOff>
    </xdr:from>
    <xdr:to>
      <xdr:col>18</xdr:col>
      <xdr:colOff>91440</xdr:colOff>
      <xdr:row>22</xdr:row>
      <xdr:rowOff>114300</xdr:rowOff>
    </xdr:to>
    <xdr:sp macro="" textlink="">
      <xdr:nvSpPr>
        <xdr:cNvPr id="2" name="Rectangle: Rounded Corners 1">
          <a:extLst>
            <a:ext uri="{FF2B5EF4-FFF2-40B4-BE49-F238E27FC236}">
              <a16:creationId xmlns:a16="http://schemas.microsoft.com/office/drawing/2014/main" id="{2058C2BF-0057-6DAB-B186-83E40775CF22}"/>
            </a:ext>
          </a:extLst>
        </xdr:cNvPr>
        <xdr:cNvSpPr/>
      </xdr:nvSpPr>
      <xdr:spPr>
        <a:xfrm>
          <a:off x="4099560" y="2156460"/>
          <a:ext cx="6964680" cy="20650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sng" strike="noStrike">
              <a:solidFill>
                <a:sysClr val="windowText" lastClr="000000"/>
              </a:solidFill>
              <a:effectLst/>
              <a:latin typeface="+mn-lt"/>
              <a:ea typeface="+mn-ea"/>
              <a:cs typeface="+mn-cs"/>
            </a:rPr>
            <a:t>STUDENT NAME AND PROJECT INFO:</a:t>
          </a:r>
        </a:p>
        <a:p>
          <a:pPr algn="ctr"/>
          <a:endParaRPr lang="en-US" sz="1800" b="1" i="0" u="none" strike="noStrike">
            <a:solidFill>
              <a:sysClr val="windowText" lastClr="000000"/>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a:solidFill>
                <a:sysClr val="windowText" lastClr="000000"/>
              </a:solidFill>
              <a:effectLst/>
              <a:latin typeface="+mn-lt"/>
              <a:ea typeface="+mn-ea"/>
              <a:cs typeface="+mn-cs"/>
            </a:rPr>
            <a:t>Project Title: </a:t>
          </a:r>
          <a:r>
            <a:rPr lang="en-US" sz="1800" b="1" i="0" u="sng">
              <a:solidFill>
                <a:sysClr val="windowText" lastClr="000000"/>
              </a:solidFill>
              <a:effectLst/>
              <a:latin typeface="+mn-lt"/>
              <a:ea typeface="+mn-ea"/>
              <a:cs typeface="+mn-cs"/>
            </a:rPr>
            <a:t>Tesla Social Media Analytics for Strategic Branding</a:t>
          </a:r>
          <a:endParaRPr lang="en-US" sz="1800" b="1" i="0" u="sng" strike="noStrike">
            <a:solidFill>
              <a:sysClr val="windowText" lastClr="000000"/>
            </a:solidFill>
            <a:effectLst/>
            <a:latin typeface="+mn-lt"/>
            <a:ea typeface="+mn-ea"/>
            <a:cs typeface="+mn-cs"/>
          </a:endParaRPr>
        </a:p>
        <a:p>
          <a:pPr algn="ctr"/>
          <a:r>
            <a:rPr lang="en-US" sz="1800" b="1" i="0" u="none" strike="noStrike">
              <a:solidFill>
                <a:sysClr val="windowText" lastClr="000000"/>
              </a:solidFill>
              <a:effectLst/>
              <a:latin typeface="+mn-lt"/>
              <a:ea typeface="+mn-ea"/>
              <a:cs typeface="+mn-cs"/>
            </a:rPr>
            <a:t>Student Name: </a:t>
          </a:r>
          <a:r>
            <a:rPr lang="en-US" sz="1800" b="1" i="0" u="sng" strike="noStrike">
              <a:solidFill>
                <a:sysClr val="windowText" lastClr="000000"/>
              </a:solidFill>
              <a:effectLst/>
              <a:latin typeface="+mn-lt"/>
              <a:ea typeface="+mn-ea"/>
              <a:cs typeface="+mn-cs"/>
            </a:rPr>
            <a:t>Sarthak Ghodmare</a:t>
          </a:r>
          <a:r>
            <a:rPr lang="en-US" sz="1800" b="1" u="sng">
              <a:solidFill>
                <a:sysClr val="windowText" lastClr="000000"/>
              </a:solidFill>
              <a:effectLst/>
            </a:rPr>
            <a:t> </a:t>
          </a:r>
        </a:p>
        <a:p>
          <a:pPr algn="ctr"/>
          <a:r>
            <a:rPr lang="en-US" sz="1800" b="1" i="0" u="none" strike="noStrike">
              <a:solidFill>
                <a:sysClr val="windowText" lastClr="000000"/>
              </a:solidFill>
              <a:effectLst/>
              <a:latin typeface="+mn-lt"/>
              <a:ea typeface="+mn-ea"/>
              <a:cs typeface="+mn-cs"/>
            </a:rPr>
            <a:t>Course: </a:t>
          </a:r>
          <a:r>
            <a:rPr lang="en-US" sz="1800" b="1" i="0" u="sng" strike="noStrike">
              <a:solidFill>
                <a:sysClr val="windowText" lastClr="000000"/>
              </a:solidFill>
              <a:effectLst/>
              <a:latin typeface="+mn-lt"/>
              <a:ea typeface="+mn-ea"/>
              <a:cs typeface="+mn-cs"/>
            </a:rPr>
            <a:t>Data Analytics</a:t>
          </a:r>
          <a:r>
            <a:rPr lang="en-US" sz="1800" b="1" u="sng">
              <a:solidFill>
                <a:sysClr val="windowText" lastClr="000000"/>
              </a:solidFill>
              <a:effectLst/>
            </a:rPr>
            <a:t> </a:t>
          </a:r>
        </a:p>
        <a:p>
          <a:pPr algn="ctr"/>
          <a:r>
            <a:rPr lang="en-US" sz="1800" b="1">
              <a:solidFill>
                <a:sysClr val="windowText" lastClr="000000"/>
              </a:solidFill>
              <a:effectLst/>
            </a:rPr>
            <a:t> </a:t>
          </a:r>
          <a:r>
            <a:rPr lang="en-US" sz="1800" b="1" i="0" u="none" strike="noStrike">
              <a:solidFill>
                <a:sysClr val="windowText" lastClr="000000"/>
              </a:solidFill>
              <a:effectLst/>
              <a:latin typeface="+mn-lt"/>
              <a:ea typeface="+mn-ea"/>
              <a:cs typeface="+mn-cs"/>
            </a:rPr>
            <a:t>Submission Date: </a:t>
          </a:r>
          <a:r>
            <a:rPr lang="en-US" sz="1800" b="1" i="0" u="sng" strike="noStrike">
              <a:solidFill>
                <a:sysClr val="windowText" lastClr="000000"/>
              </a:solidFill>
              <a:effectLst/>
              <a:latin typeface="+mn-lt"/>
              <a:ea typeface="+mn-ea"/>
              <a:cs typeface="+mn-cs"/>
            </a:rPr>
            <a:t>18-10-2025</a:t>
          </a:r>
          <a:endParaRPr lang="en-US" sz="1800" b="1" u="sng">
            <a:solidFill>
              <a:sysClr val="windowText" lastClr="000000"/>
            </a:solidFill>
          </a:endParaRPr>
        </a:p>
      </xdr:txBody>
    </xdr:sp>
    <xdr:clientData/>
  </xdr:twoCellAnchor>
  <xdr:twoCellAnchor>
    <xdr:from>
      <xdr:col>7</xdr:col>
      <xdr:colOff>26893</xdr:colOff>
      <xdr:row>24</xdr:row>
      <xdr:rowOff>107576</xdr:rowOff>
    </xdr:from>
    <xdr:to>
      <xdr:col>18</xdr:col>
      <xdr:colOff>143435</xdr:colOff>
      <xdr:row>33</xdr:row>
      <xdr:rowOff>125506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DC7633E7-379C-8BF3-69AD-CB9FB3EF5447}"/>
            </a:ext>
          </a:extLst>
        </xdr:cNvPr>
        <xdr:cNvSpPr/>
      </xdr:nvSpPr>
      <xdr:spPr>
        <a:xfrm>
          <a:off x="4294093" y="4500282"/>
          <a:ext cx="6822142" cy="1631577"/>
        </a:xfrm>
        <a:prstGeom prst="round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a:t>https://drive.google.com/file/d/19bQ6oVTVbkPrvNHc-P3WGG4TIK1npuMd/view?usp=sharing</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512833</xdr:colOff>
      <xdr:row>3</xdr:row>
      <xdr:rowOff>29989</xdr:rowOff>
    </xdr:from>
    <xdr:to>
      <xdr:col>7</xdr:col>
      <xdr:colOff>1089740</xdr:colOff>
      <xdr:row>12</xdr:row>
      <xdr:rowOff>24580</xdr:rowOff>
    </xdr:to>
    <mc:AlternateContent xmlns:mc="http://schemas.openxmlformats.org/markup-compatibility/2006" xmlns:a14="http://schemas.microsoft.com/office/drawing/2010/main">
      <mc:Choice Requires="a14">
        <xdr:graphicFrame macro="">
          <xdr:nvGraphicFramePr>
            <xdr:cNvPr id="2" name="Platform 3">
              <a:extLst>
                <a:ext uri="{FF2B5EF4-FFF2-40B4-BE49-F238E27FC236}">
                  <a16:creationId xmlns:a16="http://schemas.microsoft.com/office/drawing/2014/main" id="{151904B6-3AF3-0DA9-F3A4-441431F74066}"/>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4249091" y="619924"/>
              <a:ext cx="2395875" cy="1616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175260</xdr:colOff>
      <xdr:row>4</xdr:row>
      <xdr:rowOff>30481</xdr:rowOff>
    </xdr:from>
    <xdr:to>
      <xdr:col>6</xdr:col>
      <xdr:colOff>91440</xdr:colOff>
      <xdr:row>12</xdr:row>
      <xdr:rowOff>53340</xdr:rowOff>
    </xdr:to>
    <mc:AlternateContent xmlns:mc="http://schemas.openxmlformats.org/markup-compatibility/2006" xmlns:a14="http://schemas.microsoft.com/office/drawing/2010/main">
      <mc:Choice Requires="a14">
        <xdr:graphicFrame macro="">
          <xdr:nvGraphicFramePr>
            <xdr:cNvPr id="4" name="Platform 2">
              <a:extLst>
                <a:ext uri="{FF2B5EF4-FFF2-40B4-BE49-F238E27FC236}">
                  <a16:creationId xmlns:a16="http://schemas.microsoft.com/office/drawing/2014/main" id="{6AE5A014-E8C9-D967-6DCA-80E79B4B4CEB}"/>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2926080" y="807721"/>
              <a:ext cx="326898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22860</xdr:rowOff>
    </xdr:from>
    <xdr:to>
      <xdr:col>4</xdr:col>
      <xdr:colOff>388620</xdr:colOff>
      <xdr:row>21</xdr:row>
      <xdr:rowOff>167640</xdr:rowOff>
    </xdr:to>
    <xdr:sp macro="" textlink="">
      <xdr:nvSpPr>
        <xdr:cNvPr id="2" name="Rectangle: Rounded Corners 1">
          <a:extLst>
            <a:ext uri="{FF2B5EF4-FFF2-40B4-BE49-F238E27FC236}">
              <a16:creationId xmlns:a16="http://schemas.microsoft.com/office/drawing/2014/main" id="{662990D7-684D-6B7C-869F-9C7A0DE24FB4}"/>
            </a:ext>
          </a:extLst>
        </xdr:cNvPr>
        <xdr:cNvSpPr/>
      </xdr:nvSpPr>
      <xdr:spPr>
        <a:xfrm>
          <a:off x="0" y="2628900"/>
          <a:ext cx="4023360" cy="14249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r>
            <a:rPr lang="en-US" sz="1600">
              <a:solidFill>
                <a:schemeClr val="tx1"/>
              </a:solidFill>
            </a:rPr>
            <a:t>:</a:t>
          </a:r>
        </a:p>
        <a:p>
          <a:pPr algn="l"/>
          <a:r>
            <a:rPr lang="en-US" sz="1600">
              <a:solidFill>
                <a:schemeClr val="tx1"/>
              </a:solidFill>
            </a:rPr>
            <a:t>Top-performing hashtag</a:t>
          </a:r>
          <a:r>
            <a:rPr lang="en-US" sz="1600" baseline="0">
              <a:solidFill>
                <a:schemeClr val="tx1"/>
              </a:solidFill>
            </a:rPr>
            <a:t> is </a:t>
          </a:r>
          <a:r>
            <a:rPr lang="en-US" sz="1600">
              <a:solidFill>
                <a:schemeClr val="tx1"/>
              </a:solidFill>
            </a:rPr>
            <a:t> </a:t>
          </a:r>
          <a:r>
            <a:rPr lang="en-US" sz="1600" b="1">
              <a:solidFill>
                <a:schemeClr val="tx1"/>
              </a:solidFill>
            </a:rPr>
            <a:t>#Tesla</a:t>
          </a:r>
          <a:r>
            <a:rPr lang="en-US" sz="1600" b="1" baseline="0">
              <a:solidFill>
                <a:schemeClr val="tx1"/>
              </a:solidFill>
            </a:rPr>
            <a:t>Colnnovation </a:t>
          </a:r>
          <a:r>
            <a:rPr lang="en-US" sz="1600" baseline="0">
              <a:solidFill>
                <a:schemeClr val="tx1"/>
              </a:solidFill>
            </a:rPr>
            <a:t>, which perform highest average of clicks which is </a:t>
          </a:r>
          <a:r>
            <a:rPr lang="en-US" sz="1600" b="1" baseline="0">
              <a:solidFill>
                <a:sysClr val="windowText" lastClr="000000"/>
              </a:solidFill>
            </a:rPr>
            <a:t>(157.02).</a:t>
          </a:r>
          <a:endParaRPr lang="en-US" sz="1600" b="1">
            <a:solidFill>
              <a:sysClr val="windowText" lastClr="000000"/>
            </a:solidFill>
          </a:endParaRPr>
        </a:p>
      </xdr:txBody>
    </xdr:sp>
    <xdr:clientData/>
  </xdr:twoCellAnchor>
  <xdr:twoCellAnchor>
    <xdr:from>
      <xdr:col>5</xdr:col>
      <xdr:colOff>335280</xdr:colOff>
      <xdr:row>14</xdr:row>
      <xdr:rowOff>7620</xdr:rowOff>
    </xdr:from>
    <xdr:to>
      <xdr:col>18</xdr:col>
      <xdr:colOff>365760</xdr:colOff>
      <xdr:row>21</xdr:row>
      <xdr:rowOff>7620</xdr:rowOff>
    </xdr:to>
    <xdr:sp macro="" textlink="">
      <xdr:nvSpPr>
        <xdr:cNvPr id="3" name="Rectangle: Rounded Corners 2">
          <a:extLst>
            <a:ext uri="{FF2B5EF4-FFF2-40B4-BE49-F238E27FC236}">
              <a16:creationId xmlns:a16="http://schemas.microsoft.com/office/drawing/2014/main" id="{69ADC0D5-C5D8-4BF7-8F51-1D93F4071F1C}"/>
            </a:ext>
          </a:extLst>
        </xdr:cNvPr>
        <xdr:cNvSpPr/>
      </xdr:nvSpPr>
      <xdr:spPr>
        <a:xfrm>
          <a:off x="4579620" y="2613660"/>
          <a:ext cx="7955280" cy="128016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r>
            <a:rPr lang="en-US" sz="1600" b="1">
              <a:solidFill>
                <a:sysClr val="windowText" lastClr="000000"/>
              </a:solidFill>
            </a:rPr>
            <a:t>#TeslaCoInnovation</a:t>
          </a:r>
          <a:r>
            <a:rPr lang="en-US" sz="1600">
              <a:solidFill>
                <a:sysClr val="windowText" lastClr="000000"/>
              </a:solidFill>
            </a:rPr>
            <a:t> , hashtag showcases Tesla’s </a:t>
          </a:r>
          <a:r>
            <a:rPr lang="en-US" sz="1600" b="1">
              <a:solidFill>
                <a:sysClr val="windowText" lastClr="000000"/>
              </a:solidFill>
            </a:rPr>
            <a:t>latest innovations and technological progress. </a:t>
          </a:r>
          <a:r>
            <a:rPr lang="en-US" sz="1600" b="0">
              <a:solidFill>
                <a:sysClr val="windowText" lastClr="000000"/>
              </a:solidFill>
            </a:rPr>
            <a:t>This</a:t>
          </a:r>
          <a:r>
            <a:rPr lang="en-US" sz="1600" b="0" baseline="0">
              <a:solidFill>
                <a:sysClr val="windowText" lastClr="000000"/>
              </a:solidFill>
            </a:rPr>
            <a:t> hastags </a:t>
          </a:r>
          <a:r>
            <a:rPr lang="en-US" sz="1600">
              <a:solidFill>
                <a:sysClr val="windowText" lastClr="000000"/>
              </a:solidFill>
            </a:rPr>
            <a:t>should be prioritized in trending</a:t>
          </a:r>
          <a:r>
            <a:rPr lang="en-US" sz="1600"/>
            <a:t> </a:t>
          </a:r>
          <a:r>
            <a:rPr lang="en-US" sz="1600">
              <a:solidFill>
                <a:sysClr val="windowText" lastClr="000000"/>
              </a:solidFill>
            </a:rPr>
            <a:t> campaigns to highlight Tesla’s Research</a:t>
          </a:r>
          <a:r>
            <a:rPr lang="en-US" sz="1600" baseline="0">
              <a:solidFill>
                <a:sysClr val="windowText" lastClr="000000"/>
              </a:solidFill>
            </a:rPr>
            <a:t> and Development .to </a:t>
          </a:r>
          <a:r>
            <a:rPr lang="en-US" sz="1600">
              <a:solidFill>
                <a:sysClr val="windowText" lastClr="000000"/>
              </a:solidFill>
            </a:rPr>
            <a:t>attracts strong audience</a:t>
          </a:r>
          <a:r>
            <a:rPr lang="en-US" sz="1600"/>
            <a:t> </a:t>
          </a:r>
          <a:r>
            <a:rPr lang="en-US" sz="1600">
              <a:solidFill>
                <a:sysClr val="windowText" lastClr="000000"/>
              </a:solidFill>
            </a:rPr>
            <a:t>engagement.</a:t>
          </a:r>
          <a:endParaRPr lang="en-US" sz="160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236220</xdr:colOff>
      <xdr:row>2</xdr:row>
      <xdr:rowOff>30480</xdr:rowOff>
    </xdr:from>
    <xdr:to>
      <xdr:col>14</xdr:col>
      <xdr:colOff>198120</xdr:colOff>
      <xdr:row>19</xdr:row>
      <xdr:rowOff>144780</xdr:rowOff>
    </xdr:to>
    <xdr:graphicFrame macro="">
      <xdr:nvGraphicFramePr>
        <xdr:cNvPr id="2" name="Chart 1">
          <a:extLst>
            <a:ext uri="{FF2B5EF4-FFF2-40B4-BE49-F238E27FC236}">
              <a16:creationId xmlns:a16="http://schemas.microsoft.com/office/drawing/2014/main" id="{FC89D086-2BD1-2E0B-B030-B8F3563EE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411480</xdr:colOff>
      <xdr:row>0</xdr:row>
      <xdr:rowOff>106680</xdr:rowOff>
    </xdr:from>
    <xdr:to>
      <xdr:col>25</xdr:col>
      <xdr:colOff>198120</xdr:colOff>
      <xdr:row>10</xdr:row>
      <xdr:rowOff>45720</xdr:rowOff>
    </xdr:to>
    <xdr:sp macro="" textlink="">
      <xdr:nvSpPr>
        <xdr:cNvPr id="3" name="Rectangle: Rounded Corners 2">
          <a:extLst>
            <a:ext uri="{FF2B5EF4-FFF2-40B4-BE49-F238E27FC236}">
              <a16:creationId xmlns:a16="http://schemas.microsoft.com/office/drawing/2014/main" id="{E1E8F4B3-EDEA-4078-A085-8C5211FA7A16}"/>
            </a:ext>
          </a:extLst>
        </xdr:cNvPr>
        <xdr:cNvSpPr/>
      </xdr:nvSpPr>
      <xdr:spPr>
        <a:xfrm>
          <a:off x="10393680" y="106680"/>
          <a:ext cx="6492240" cy="181356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1"/>
              </a:solidFill>
            </a:rPr>
            <a:t>Findings:</a:t>
          </a:r>
          <a:endParaRPr lang="en-US" sz="1600">
            <a:solidFill>
              <a:schemeClr val="tx1"/>
            </a:solidFill>
          </a:endParaRPr>
        </a:p>
        <a:p>
          <a:pPr algn="l"/>
          <a:r>
            <a:rPr lang="en-US" sz="1600">
              <a:solidFill>
                <a:schemeClr val="tx1"/>
              </a:solidFill>
            </a:rPr>
            <a:t>The</a:t>
          </a:r>
          <a:r>
            <a:rPr lang="en-US" sz="1600" baseline="0">
              <a:solidFill>
                <a:schemeClr val="tx1"/>
              </a:solidFill>
            </a:rPr>
            <a:t> average engagemnet rate are very similar for Twitter and Facebook (5.6558 and 5.6486 ) Instagram has </a:t>
          </a:r>
          <a:r>
            <a:rPr lang="en-US" sz="1600" baseline="0">
              <a:solidFill>
                <a:srgbClr val="C00000"/>
              </a:solidFill>
            </a:rPr>
            <a:t>highest average engagement rate (5.7156) </a:t>
          </a:r>
          <a:r>
            <a:rPr lang="en-US" sz="1600" baseline="0">
              <a:solidFill>
                <a:srgbClr val="227800"/>
              </a:solidFill>
            </a:rPr>
            <a:t>and YouTube has lowest average engagement rate (5.5588).</a:t>
          </a:r>
        </a:p>
        <a:p>
          <a:pPr algn="l"/>
          <a:endParaRPr lang="en-US" sz="1600">
            <a:solidFill>
              <a:schemeClr val="tx1"/>
            </a:solidFill>
          </a:endParaRPr>
        </a:p>
      </xdr:txBody>
    </xdr:sp>
    <xdr:clientData/>
  </xdr:twoCellAnchor>
  <xdr:twoCellAnchor>
    <xdr:from>
      <xdr:col>14</xdr:col>
      <xdr:colOff>342900</xdr:colOff>
      <xdr:row>11</xdr:row>
      <xdr:rowOff>144780</xdr:rowOff>
    </xdr:from>
    <xdr:to>
      <xdr:col>26</xdr:col>
      <xdr:colOff>373380</xdr:colOff>
      <xdr:row>20</xdr:row>
      <xdr:rowOff>38100</xdr:rowOff>
    </xdr:to>
    <xdr:sp macro="" textlink="">
      <xdr:nvSpPr>
        <xdr:cNvPr id="4" name="Rectangle: Rounded Corners 3">
          <a:extLst>
            <a:ext uri="{FF2B5EF4-FFF2-40B4-BE49-F238E27FC236}">
              <a16:creationId xmlns:a16="http://schemas.microsoft.com/office/drawing/2014/main" id="{CADCB62A-C277-4093-B671-BA0343009838}"/>
            </a:ext>
          </a:extLst>
        </xdr:cNvPr>
        <xdr:cNvSpPr/>
      </xdr:nvSpPr>
      <xdr:spPr>
        <a:xfrm>
          <a:off x="10325100" y="2202180"/>
          <a:ext cx="7345680" cy="15392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endParaRPr lang="en-US" sz="1600" b="1" u="sng">
            <a:solidFill>
              <a:sysClr val="windowText" lastClr="000000"/>
            </a:solidFill>
          </a:endParaRPr>
        </a:p>
        <a:p>
          <a:pPr algn="l"/>
          <a:r>
            <a:rPr lang="en-US" sz="1600" b="1" u="none">
              <a:solidFill>
                <a:sysClr val="windowText" lastClr="000000"/>
              </a:solidFill>
            </a:rPr>
            <a:t>Instagram</a:t>
          </a:r>
          <a:r>
            <a:rPr lang="en-US" sz="1600" b="0" u="none" baseline="0">
              <a:solidFill>
                <a:sysClr val="windowText" lastClr="000000"/>
              </a:solidFill>
            </a:rPr>
            <a:t> has </a:t>
          </a:r>
          <a:r>
            <a:rPr lang="en-US" sz="1600">
              <a:solidFill>
                <a:sysClr val="windowText" lastClr="000000"/>
              </a:solidFill>
            </a:rPr>
            <a:t>Highest engagement rate</a:t>
          </a:r>
          <a:r>
            <a:rPr lang="en-US" sz="1600" b="0" u="sng" baseline="0">
              <a:solidFill>
                <a:sysClr val="windowText" lastClr="000000"/>
              </a:solidFill>
            </a:rPr>
            <a:t>,</a:t>
          </a:r>
          <a:r>
            <a:rPr lang="en-US" sz="1600">
              <a:solidFill>
                <a:sysClr val="windowText" lastClr="000000"/>
              </a:solidFill>
            </a:rPr>
            <a:t>This shows that </a:t>
          </a:r>
          <a:r>
            <a:rPr lang="en-US" sz="1600" b="1">
              <a:solidFill>
                <a:sysClr val="windowText" lastClr="000000"/>
              </a:solidFill>
            </a:rPr>
            <a:t>visualization  and storytelling </a:t>
          </a:r>
          <a:r>
            <a:rPr lang="en-US" sz="1600">
              <a:solidFill>
                <a:sysClr val="windowText" lastClr="000000"/>
              </a:solidFill>
            </a:rPr>
            <a:t>strongly Engage</a:t>
          </a:r>
          <a:r>
            <a:rPr lang="en-US" sz="1600" baseline="0">
              <a:solidFill>
                <a:sysClr val="windowText" lastClr="000000"/>
              </a:solidFill>
            </a:rPr>
            <a:t> the</a:t>
          </a:r>
          <a:r>
            <a:rPr lang="en-US" sz="1600">
              <a:solidFill>
                <a:sysClr val="windowText" lastClr="000000"/>
              </a:solidFill>
            </a:rPr>
            <a:t> Tesla’s audience.</a:t>
          </a:r>
          <a:endParaRPr lang="en-US" sz="1600" b="0" u="sng">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220980</xdr:colOff>
      <xdr:row>2</xdr:row>
      <xdr:rowOff>22860</xdr:rowOff>
    </xdr:from>
    <xdr:to>
      <xdr:col>11</xdr:col>
      <xdr:colOff>594360</xdr:colOff>
      <xdr:row>16</xdr:row>
      <xdr:rowOff>53340</xdr:rowOff>
    </xdr:to>
    <xdr:graphicFrame macro="">
      <xdr:nvGraphicFramePr>
        <xdr:cNvPr id="2" name="Chart 1">
          <a:extLst>
            <a:ext uri="{FF2B5EF4-FFF2-40B4-BE49-F238E27FC236}">
              <a16:creationId xmlns:a16="http://schemas.microsoft.com/office/drawing/2014/main" id="{CC4717DF-FA1A-76C3-E5BA-04FE4B05D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457200</xdr:colOff>
      <xdr:row>0</xdr:row>
      <xdr:rowOff>190500</xdr:rowOff>
    </xdr:from>
    <xdr:to>
      <xdr:col>21</xdr:col>
      <xdr:colOff>281940</xdr:colOff>
      <xdr:row>7</xdr:row>
      <xdr:rowOff>121920</xdr:rowOff>
    </xdr:to>
    <xdr:sp macro="" textlink="">
      <xdr:nvSpPr>
        <xdr:cNvPr id="3" name="Rectangle: Rounded Corners 2">
          <a:extLst>
            <a:ext uri="{FF2B5EF4-FFF2-40B4-BE49-F238E27FC236}">
              <a16:creationId xmlns:a16="http://schemas.microsoft.com/office/drawing/2014/main" id="{69F33081-DF9E-4D42-8BFD-6612B46DCEED}"/>
            </a:ext>
          </a:extLst>
        </xdr:cNvPr>
        <xdr:cNvSpPr/>
      </xdr:nvSpPr>
      <xdr:spPr>
        <a:xfrm>
          <a:off x="8877300" y="190500"/>
          <a:ext cx="5311140" cy="12573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a:solidFill>
                <a:srgbClr val="C00000"/>
              </a:solidFill>
            </a:rPr>
            <a:t>The</a:t>
          </a:r>
          <a:r>
            <a:rPr lang="en-US" sz="1600" baseline="0">
              <a:solidFill>
                <a:srgbClr val="C00000"/>
              </a:solidFill>
            </a:rPr>
            <a:t> Youtube and twitter(0.902% and 0.928%)  has fastest followers growth </a:t>
          </a:r>
          <a:r>
            <a:rPr lang="en-US" sz="1600" baseline="0">
              <a:solidFill>
                <a:schemeClr val="tx1"/>
              </a:solidFill>
            </a:rPr>
            <a:t>,</a:t>
          </a:r>
          <a:r>
            <a:rPr lang="en-US" sz="1600" baseline="0">
              <a:solidFill>
                <a:srgbClr val="227800"/>
              </a:solidFill>
            </a:rPr>
            <a:t>while Facebook  and Instagram(0.546% and 0.902% ) lag behind.</a:t>
          </a:r>
          <a:endParaRPr lang="en-US" sz="1600">
            <a:solidFill>
              <a:srgbClr val="227800"/>
            </a:solidFill>
          </a:endParaRPr>
        </a:p>
      </xdr:txBody>
    </xdr:sp>
    <xdr:clientData/>
  </xdr:twoCellAnchor>
  <xdr:twoCellAnchor>
    <xdr:from>
      <xdr:col>12</xdr:col>
      <xdr:colOff>411480</xdr:colOff>
      <xdr:row>9</xdr:row>
      <xdr:rowOff>7620</xdr:rowOff>
    </xdr:from>
    <xdr:to>
      <xdr:col>21</xdr:col>
      <xdr:colOff>464820</xdr:colOff>
      <xdr:row>18</xdr:row>
      <xdr:rowOff>15240</xdr:rowOff>
    </xdr:to>
    <xdr:sp macro="" textlink="">
      <xdr:nvSpPr>
        <xdr:cNvPr id="4" name="Rectangle: Rounded Corners 3">
          <a:extLst>
            <a:ext uri="{FF2B5EF4-FFF2-40B4-BE49-F238E27FC236}">
              <a16:creationId xmlns:a16="http://schemas.microsoft.com/office/drawing/2014/main" id="{807CCE6E-BE67-4BCE-B0EE-2AC2FCA3B791}"/>
            </a:ext>
          </a:extLst>
        </xdr:cNvPr>
        <xdr:cNvSpPr/>
      </xdr:nvSpPr>
      <xdr:spPr>
        <a:xfrm>
          <a:off x="8831580" y="1699260"/>
          <a:ext cx="5539740" cy="16535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endParaRPr lang="en-US" sz="1600" b="1" u="sng">
            <a:solidFill>
              <a:sysClr val="windowText" lastClr="000000"/>
            </a:solidFill>
          </a:endParaRPr>
        </a:p>
        <a:p>
          <a:pPr algn="l"/>
          <a:r>
            <a:rPr lang="en-US" sz="1600" b="1">
              <a:solidFill>
                <a:sysClr val="windowText" lastClr="000000"/>
              </a:solidFill>
            </a:rPr>
            <a:t>Twitter and YouTube</a:t>
          </a:r>
          <a:r>
            <a:rPr lang="en-US" sz="1600">
              <a:solidFill>
                <a:sysClr val="windowText" lastClr="000000"/>
              </a:solidFill>
            </a:rPr>
            <a:t> show the </a:t>
          </a:r>
          <a:r>
            <a:rPr lang="en-US" sz="1600" b="1">
              <a:solidFill>
                <a:sysClr val="windowText" lastClr="000000"/>
              </a:solidFill>
            </a:rPr>
            <a:t>fastest follower growth</a:t>
          </a:r>
          <a:r>
            <a:rPr lang="en-US" sz="1600">
              <a:solidFill>
                <a:sysClr val="windowText" lastClr="000000"/>
              </a:solidFill>
            </a:rPr>
            <a:t>, suggesting these platforms are most effective for </a:t>
          </a:r>
          <a:r>
            <a:rPr lang="en-US" sz="1600" b="1">
              <a:solidFill>
                <a:sysClr val="windowText" lastClr="000000"/>
              </a:solidFill>
            </a:rPr>
            <a:t>brand reach and audience expansion</a:t>
          </a:r>
          <a:r>
            <a:rPr lang="en-US" sz="1600">
              <a:solidFill>
                <a:sysClr val="windowText" lastClr="000000"/>
              </a:solidFill>
            </a:rPr>
            <a:t>.</a:t>
          </a:r>
        </a:p>
        <a:p>
          <a:pPr algn="l"/>
          <a:endParaRPr lang="en-US" sz="1600" b="0" u="sng">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171450</xdr:rowOff>
    </xdr:from>
    <xdr:to>
      <xdr:col>3</xdr:col>
      <xdr:colOff>571500</xdr:colOff>
      <xdr:row>24</xdr:row>
      <xdr:rowOff>171450</xdr:rowOff>
    </xdr:to>
    <xdr:graphicFrame macro="">
      <xdr:nvGraphicFramePr>
        <xdr:cNvPr id="2" name="Chart 1">
          <a:extLst>
            <a:ext uri="{FF2B5EF4-FFF2-40B4-BE49-F238E27FC236}">
              <a16:creationId xmlns:a16="http://schemas.microsoft.com/office/drawing/2014/main" id="{2561A9DC-8D11-76E4-6EDE-0493A3BDB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14</xdr:row>
      <xdr:rowOff>60960</xdr:rowOff>
    </xdr:from>
    <xdr:to>
      <xdr:col>18</xdr:col>
      <xdr:colOff>266700</xdr:colOff>
      <xdr:row>27</xdr:row>
      <xdr:rowOff>144780</xdr:rowOff>
    </xdr:to>
    <xdr:sp macro="" textlink="">
      <xdr:nvSpPr>
        <xdr:cNvPr id="3" name="Rectangle: Rounded Corners 2">
          <a:extLst>
            <a:ext uri="{FF2B5EF4-FFF2-40B4-BE49-F238E27FC236}">
              <a16:creationId xmlns:a16="http://schemas.microsoft.com/office/drawing/2014/main" id="{DAC00957-2EB3-4EB3-B742-33A0EBC5F7C0}"/>
            </a:ext>
          </a:extLst>
        </xdr:cNvPr>
        <xdr:cNvSpPr/>
      </xdr:nvSpPr>
      <xdr:spPr>
        <a:xfrm>
          <a:off x="5760720" y="2667000"/>
          <a:ext cx="7650480" cy="246126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Recommandation:</a:t>
          </a:r>
        </a:p>
        <a:p>
          <a:pPr algn="l"/>
          <a:endParaRPr lang="en-US" sz="1600" b="1" u="sng">
            <a:solidFill>
              <a:sysClr val="windowText" lastClr="000000"/>
            </a:solidFill>
          </a:endParaRPr>
        </a:p>
        <a:p>
          <a:r>
            <a:rPr lang="en-US" sz="1600" b="1">
              <a:solidFill>
                <a:sysClr val="windowText" lastClr="000000"/>
              </a:solidFill>
            </a:rPr>
            <a:t>&gt;AS we</a:t>
          </a:r>
          <a:r>
            <a:rPr lang="en-US" sz="1600" b="1" baseline="0">
              <a:solidFill>
                <a:sysClr val="windowText" lastClr="000000"/>
              </a:solidFill>
            </a:rPr>
            <a:t> know Instagram has highest average engagement rate which is 5.7156 </a:t>
          </a:r>
          <a:r>
            <a:rPr lang="en-US" sz="1600">
              <a:solidFill>
                <a:sysClr val="windowText" lastClr="000000"/>
              </a:solidFill>
            </a:rPr>
            <a:t>Tesla should </a:t>
          </a:r>
          <a:r>
            <a:rPr lang="en-US" sz="1600" b="1">
              <a:solidFill>
                <a:sysClr val="windowText" lastClr="000000"/>
              </a:solidFill>
            </a:rPr>
            <a:t>continue leveraging Instagram</a:t>
          </a:r>
          <a:r>
            <a:rPr lang="en-US" sz="1600">
              <a:solidFill>
                <a:sysClr val="windowText" lastClr="000000"/>
              </a:solidFill>
            </a:rPr>
            <a:t> for brand storytelling and customer engagement, as its audience is more responsive there.</a:t>
          </a:r>
          <a:br>
            <a:rPr lang="en-US" sz="1600">
              <a:solidFill>
                <a:sysClr val="windowText" lastClr="000000"/>
              </a:solidFill>
            </a:rPr>
          </a:br>
          <a:r>
            <a:rPr lang="en-US" sz="1600" b="1">
              <a:solidFill>
                <a:sysClr val="windowText" lastClr="000000"/>
              </a:solidFill>
            </a:rPr>
            <a:t>&gt;</a:t>
          </a:r>
          <a:r>
            <a:rPr lang="en-US" sz="1600">
              <a:solidFill>
                <a:sysClr val="windowText" lastClr="000000"/>
              </a:solidFill>
            </a:rPr>
            <a:t>To improve performance on </a:t>
          </a:r>
          <a:r>
            <a:rPr lang="en-US" sz="1600" b="1">
              <a:solidFill>
                <a:sysClr val="windowText" lastClr="000000"/>
              </a:solidFill>
            </a:rPr>
            <a:t>YouTube</a:t>
          </a:r>
          <a:r>
            <a:rPr lang="en-US" sz="1600">
              <a:solidFill>
                <a:sysClr val="windowText" lastClr="000000"/>
              </a:solidFill>
            </a:rPr>
            <a:t>, Tesla could introduce </a:t>
          </a:r>
          <a:r>
            <a:rPr lang="en-US" sz="1600" b="1">
              <a:solidFill>
                <a:sysClr val="windowText" lastClr="000000"/>
              </a:solidFill>
            </a:rPr>
            <a:t>short-form videos, interactive content, or behind-the-scenes clips</a:t>
          </a:r>
          <a:r>
            <a:rPr lang="en-US" sz="1600">
              <a:solidFill>
                <a:sysClr val="windowText" lastClr="000000"/>
              </a:solidFill>
            </a:rPr>
            <a:t> to increase viewer retention and engagement.</a:t>
          </a:r>
        </a:p>
      </xdr:txBody>
    </xdr:sp>
    <xdr:clientData/>
  </xdr:twoCellAnchor>
  <xdr:twoCellAnchor>
    <xdr:from>
      <xdr:col>5</xdr:col>
      <xdr:colOff>510540</xdr:colOff>
      <xdr:row>1</xdr:row>
      <xdr:rowOff>152400</xdr:rowOff>
    </xdr:from>
    <xdr:to>
      <xdr:col>18</xdr:col>
      <xdr:colOff>53340</xdr:colOff>
      <xdr:row>13</xdr:row>
      <xdr:rowOff>83820</xdr:rowOff>
    </xdr:to>
    <xdr:sp macro="" textlink="">
      <xdr:nvSpPr>
        <xdr:cNvPr id="4" name="Rectangle: Rounded Corners 3">
          <a:extLst>
            <a:ext uri="{FF2B5EF4-FFF2-40B4-BE49-F238E27FC236}">
              <a16:creationId xmlns:a16="http://schemas.microsoft.com/office/drawing/2014/main" id="{A0BF5994-8BE3-4ECC-AC9A-0DF0CFEFC883}"/>
            </a:ext>
          </a:extLst>
        </xdr:cNvPr>
        <xdr:cNvSpPr/>
      </xdr:nvSpPr>
      <xdr:spPr>
        <a:xfrm>
          <a:off x="5730240" y="381000"/>
          <a:ext cx="7467600" cy="21259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b="1">
              <a:solidFill>
                <a:srgbClr val="C00000"/>
              </a:solidFill>
            </a:rPr>
            <a:t>Instagram</a:t>
          </a:r>
          <a:r>
            <a:rPr lang="en-US" sz="1600">
              <a:solidFill>
                <a:srgbClr val="C00000"/>
              </a:solidFill>
            </a:rPr>
            <a:t> has the </a:t>
          </a:r>
          <a:r>
            <a:rPr lang="en-US" sz="1600" b="1">
              <a:solidFill>
                <a:srgbClr val="C00000"/>
              </a:solidFill>
            </a:rPr>
            <a:t>highest engagement rate (5.7156%)</a:t>
          </a:r>
          <a:r>
            <a:rPr lang="en-US" sz="1600">
              <a:solidFill>
                <a:srgbClr val="C00000"/>
              </a:solidFill>
            </a:rPr>
            <a:t> with </a:t>
          </a:r>
          <a:r>
            <a:rPr lang="en-US" sz="1600" b="1">
              <a:solidFill>
                <a:srgbClr val="C00000"/>
              </a:solidFill>
            </a:rPr>
            <a:t>lower ad spend (₹23,287)</a:t>
          </a:r>
          <a:r>
            <a:rPr lang="en-US" sz="1600">
              <a:solidFill>
                <a:srgbClr val="C00000"/>
              </a:solidFill>
            </a:rPr>
            <a:t> showing it’s the most </a:t>
          </a:r>
          <a:r>
            <a:rPr lang="en-US" sz="1600" b="1">
              <a:solidFill>
                <a:srgbClr val="C00000"/>
              </a:solidFill>
            </a:rPr>
            <a:t>cost-effective platform</a:t>
          </a:r>
          <a:r>
            <a:rPr lang="en-US" sz="1600">
              <a:solidFill>
                <a:srgbClr val="AEAA16"/>
              </a:solidFill>
            </a:rPr>
            <a:t>.</a:t>
          </a:r>
          <a:r>
            <a:rPr lang="en-US" sz="1600" baseline="0">
              <a:solidFill>
                <a:srgbClr val="AEAA16"/>
              </a:solidFill>
            </a:rPr>
            <a:t> ,</a:t>
          </a:r>
          <a:r>
            <a:rPr lang="en-US" sz="1600" b="1">
              <a:solidFill>
                <a:srgbClr val="AEAA16"/>
              </a:solidFill>
            </a:rPr>
            <a:t>Facebook</a:t>
          </a:r>
          <a:r>
            <a:rPr lang="en-US" sz="1600">
              <a:solidFill>
                <a:srgbClr val="AEAA16"/>
              </a:solidFill>
            </a:rPr>
            <a:t> has the </a:t>
          </a:r>
          <a:r>
            <a:rPr lang="en-US" sz="1600" b="1">
              <a:solidFill>
                <a:srgbClr val="AEAA16"/>
              </a:solidFill>
            </a:rPr>
            <a:t>highest ad spend (₹27,591)</a:t>
          </a:r>
          <a:r>
            <a:rPr lang="en-US" sz="1600">
              <a:solidFill>
                <a:srgbClr val="AEAA16"/>
              </a:solidFill>
            </a:rPr>
            <a:t> but only a </a:t>
          </a:r>
          <a:r>
            <a:rPr lang="en-US" sz="1600" b="1">
              <a:solidFill>
                <a:srgbClr val="AEAA16"/>
              </a:solidFill>
            </a:rPr>
            <a:t>moderate engagement rate (5.65%)</a:t>
          </a:r>
          <a:r>
            <a:rPr lang="en-US" sz="1600">
              <a:solidFill>
                <a:srgbClr val="AEAA16"/>
              </a:solidFill>
            </a:rPr>
            <a:t>, </a:t>
          </a:r>
          <a:r>
            <a:rPr lang="en-US" sz="1600" b="1">
              <a:solidFill>
                <a:srgbClr val="C00000"/>
              </a:solidFill>
            </a:rPr>
            <a:t>Twitter </a:t>
          </a:r>
          <a:r>
            <a:rPr lang="en-US" sz="1600">
              <a:solidFill>
                <a:srgbClr val="C00000"/>
              </a:solidFill>
            </a:rPr>
            <a:t> achieved </a:t>
          </a:r>
          <a:r>
            <a:rPr lang="en-US" sz="1600" b="1">
              <a:solidFill>
                <a:srgbClr val="C00000"/>
              </a:solidFill>
            </a:rPr>
            <a:t>strong engagement (5.66%)</a:t>
          </a:r>
          <a:r>
            <a:rPr lang="en-US" sz="1600">
              <a:solidFill>
                <a:srgbClr val="C00000"/>
              </a:solidFill>
            </a:rPr>
            <a:t> with the </a:t>
          </a:r>
          <a:r>
            <a:rPr lang="en-US" sz="1600" b="1">
              <a:solidFill>
                <a:srgbClr val="C00000"/>
              </a:solidFill>
            </a:rPr>
            <a:t>lowest ad spend (₹21,207)</a:t>
          </a:r>
          <a:r>
            <a:rPr lang="en-US" sz="1600">
              <a:solidFill>
                <a:srgbClr val="C00000"/>
              </a:solidFill>
            </a:rPr>
            <a:t>, reflecting a </a:t>
          </a:r>
          <a:r>
            <a:rPr lang="en-US" sz="1600" b="1">
              <a:solidFill>
                <a:srgbClr val="C00000"/>
              </a:solidFill>
            </a:rPr>
            <a:t>high return on investment (ROI)</a:t>
          </a:r>
          <a:r>
            <a:rPr lang="en-US" sz="1600">
              <a:solidFill>
                <a:srgbClr val="C00000"/>
              </a:solidFill>
            </a:rPr>
            <a:t> ,</a:t>
          </a:r>
          <a:r>
            <a:rPr lang="en-US" sz="1600" b="1">
              <a:solidFill>
                <a:srgbClr val="227800"/>
              </a:solidFill>
            </a:rPr>
            <a:t>YouTube</a:t>
          </a:r>
          <a:r>
            <a:rPr lang="en-US" sz="1600">
              <a:solidFill>
                <a:srgbClr val="227800"/>
              </a:solidFill>
            </a:rPr>
            <a:t> showed the </a:t>
          </a:r>
          <a:r>
            <a:rPr lang="en-US" sz="1600" b="1">
              <a:solidFill>
                <a:srgbClr val="227800"/>
              </a:solidFill>
            </a:rPr>
            <a:t>lowest engagement rate (5.56%)</a:t>
          </a:r>
          <a:r>
            <a:rPr lang="en-US" sz="1600">
              <a:solidFill>
                <a:srgbClr val="227800"/>
              </a:solidFill>
            </a:rPr>
            <a:t> despite mid-level spending (₹24,573), suggesting </a:t>
          </a:r>
          <a:r>
            <a:rPr lang="en-US" sz="1600" b="1">
              <a:solidFill>
                <a:srgbClr val="227800"/>
              </a:solidFill>
            </a:rPr>
            <a:t>room for improvement</a:t>
          </a:r>
          <a:endParaRPr lang="en-US" sz="1600">
            <a:solidFill>
              <a:srgbClr val="2278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228600</xdr:colOff>
      <xdr:row>1</xdr:row>
      <xdr:rowOff>114300</xdr:rowOff>
    </xdr:from>
    <xdr:to>
      <xdr:col>9</xdr:col>
      <xdr:colOff>83820</xdr:colOff>
      <xdr:row>9</xdr:row>
      <xdr:rowOff>68580</xdr:rowOff>
    </xdr:to>
    <xdr:sp macro="" textlink="">
      <xdr:nvSpPr>
        <xdr:cNvPr id="2" name="Rectangle: Rounded Corners 1">
          <a:extLst>
            <a:ext uri="{FF2B5EF4-FFF2-40B4-BE49-F238E27FC236}">
              <a16:creationId xmlns:a16="http://schemas.microsoft.com/office/drawing/2014/main" id="{BAD8291D-A554-4BD5-B36D-91A59F179C0F}"/>
            </a:ext>
          </a:extLst>
        </xdr:cNvPr>
        <xdr:cNvSpPr/>
      </xdr:nvSpPr>
      <xdr:spPr>
        <a:xfrm>
          <a:off x="3688080" y="342900"/>
          <a:ext cx="3512820" cy="14173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1"/>
              </a:solidFill>
            </a:rPr>
            <a:t>Findings:</a:t>
          </a:r>
        </a:p>
        <a:p>
          <a:pPr algn="l"/>
          <a:r>
            <a:rPr lang="en-US" sz="1600">
              <a:solidFill>
                <a:schemeClr val="tx1"/>
              </a:solidFill>
            </a:rPr>
            <a:t>The most used Tesla hashtags are</a:t>
          </a:r>
          <a:r>
            <a:rPr lang="en-US" sz="1600">
              <a:solidFill>
                <a:srgbClr val="C00000"/>
              </a:solidFill>
            </a:rPr>
            <a:t> :</a:t>
          </a:r>
        </a:p>
        <a:p>
          <a:pPr algn="l"/>
          <a:r>
            <a:rPr lang="en-US" sz="1400">
              <a:solidFill>
                <a:srgbClr val="C00000"/>
              </a:solidFill>
            </a:rPr>
            <a:t>1.#Tesla</a:t>
          </a:r>
          <a:r>
            <a:rPr lang="en-US" sz="1400" baseline="0">
              <a:solidFill>
                <a:srgbClr val="C00000"/>
              </a:solidFill>
            </a:rPr>
            <a:t>Colnnovation -&gt;107</a:t>
          </a:r>
        </a:p>
        <a:p>
          <a:pPr algn="l"/>
          <a:r>
            <a:rPr lang="en-US" sz="1400" baseline="0">
              <a:solidFill>
                <a:srgbClr val="9A8C26"/>
              </a:solidFill>
            </a:rPr>
            <a:t>2.FutureOfDriving -&gt;103</a:t>
          </a:r>
        </a:p>
        <a:p>
          <a:pPr algn="l"/>
          <a:r>
            <a:rPr lang="en-US" sz="1400" baseline="0">
              <a:solidFill>
                <a:srgbClr val="227800"/>
              </a:solidFill>
            </a:rPr>
            <a:t>3.EVRevolution -&gt;102</a:t>
          </a:r>
          <a:endParaRPr lang="en-US" sz="1400">
            <a:solidFill>
              <a:srgbClr val="2278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335280</xdr:colOff>
      <xdr:row>1</xdr:row>
      <xdr:rowOff>15241</xdr:rowOff>
    </xdr:from>
    <xdr:to>
      <xdr:col>12</xdr:col>
      <xdr:colOff>381000</xdr:colOff>
      <xdr:row>9</xdr:row>
      <xdr:rowOff>175261</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9803205B-ADC5-3A3E-7350-FE8040C4EFC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500360" y="243841"/>
              <a:ext cx="248412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53340</xdr:rowOff>
    </xdr:from>
    <xdr:to>
      <xdr:col>8</xdr:col>
      <xdr:colOff>0</xdr:colOff>
      <xdr:row>25</xdr:row>
      <xdr:rowOff>22860</xdr:rowOff>
    </xdr:to>
    <xdr:graphicFrame macro="">
      <xdr:nvGraphicFramePr>
        <xdr:cNvPr id="3" name="Chart 2">
          <a:extLst>
            <a:ext uri="{FF2B5EF4-FFF2-40B4-BE49-F238E27FC236}">
              <a16:creationId xmlns:a16="http://schemas.microsoft.com/office/drawing/2014/main" id="{68B68047-A1A0-A3AC-C50D-70FAB3228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17</xdr:col>
      <xdr:colOff>434340</xdr:colOff>
      <xdr:row>19</xdr:row>
      <xdr:rowOff>53340</xdr:rowOff>
    </xdr:to>
    <xdr:sp macro="" textlink="">
      <xdr:nvSpPr>
        <xdr:cNvPr id="4" name="Rectangle: Rounded Corners 3">
          <a:extLst>
            <a:ext uri="{FF2B5EF4-FFF2-40B4-BE49-F238E27FC236}">
              <a16:creationId xmlns:a16="http://schemas.microsoft.com/office/drawing/2014/main" id="{6F98780C-B752-4BD9-81ED-0349515043A0}"/>
            </a:ext>
          </a:extLst>
        </xdr:cNvPr>
        <xdr:cNvSpPr/>
      </xdr:nvSpPr>
      <xdr:spPr>
        <a:xfrm>
          <a:off x="10774680" y="2057400"/>
          <a:ext cx="5311140" cy="15163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a:solidFill>
                <a:srgbClr val="C00000"/>
              </a:solidFill>
            </a:rPr>
            <a:t>#TeslaColnnovation,#EVRevolution,#Futureof</a:t>
          </a:r>
          <a:r>
            <a:rPr lang="en-US" sz="1600" baseline="0">
              <a:solidFill>
                <a:srgbClr val="C00000"/>
              </a:solidFill>
            </a:rPr>
            <a:t>Driving</a:t>
          </a:r>
          <a:r>
            <a:rPr lang="en-US" sz="1600">
              <a:solidFill>
                <a:srgbClr val="C00000"/>
              </a:solidFill>
            </a:rPr>
            <a:t> </a:t>
          </a:r>
          <a:r>
            <a:rPr lang="en-US" sz="1600" baseline="0">
              <a:solidFill>
                <a:srgbClr val="FF0000"/>
              </a:solidFill>
              <a:effectLst/>
              <a:latin typeface="+mn-lt"/>
              <a:ea typeface="+mn-ea"/>
              <a:cs typeface="+mn-cs"/>
            </a:rPr>
            <a:t> </a:t>
          </a:r>
          <a:r>
            <a:rPr lang="en-US" sz="1600" baseline="0">
              <a:solidFill>
                <a:srgbClr val="C00000"/>
              </a:solidFill>
            </a:rPr>
            <a:t> (15%,15% and 14% respectively ) are  top Hashtags performer</a:t>
          </a:r>
          <a:r>
            <a:rPr lang="en-US" sz="1600" baseline="0">
              <a:solidFill>
                <a:schemeClr val="tx1"/>
              </a:solidFill>
            </a:rPr>
            <a:t>,</a:t>
          </a:r>
          <a:r>
            <a:rPr lang="en-US" sz="1600" baseline="0">
              <a:solidFill>
                <a:srgbClr val="227800"/>
              </a:solidFill>
            </a:rPr>
            <a:t>while,#BetterwithTesla ,#AnytimeIsTeslaTime  and SmoothLikeNitroTesla (13% , 12% and 11%) lag behind.</a:t>
          </a:r>
          <a:endParaRPr lang="en-US" sz="1600">
            <a:solidFill>
              <a:srgbClr val="227800"/>
            </a:solidFill>
          </a:endParaRPr>
        </a:p>
      </xdr:txBody>
    </xdr:sp>
    <xdr:clientData/>
  </xdr:twoCellAnchor>
  <xdr:twoCellAnchor>
    <xdr:from>
      <xdr:col>9</xdr:col>
      <xdr:colOff>0</xdr:colOff>
      <xdr:row>21</xdr:row>
      <xdr:rowOff>0</xdr:rowOff>
    </xdr:from>
    <xdr:to>
      <xdr:col>17</xdr:col>
      <xdr:colOff>441960</xdr:colOff>
      <xdr:row>29</xdr:row>
      <xdr:rowOff>15240</xdr:rowOff>
    </xdr:to>
    <xdr:sp macro="" textlink="">
      <xdr:nvSpPr>
        <xdr:cNvPr id="6" name="Rectangle: Rounded Corners 5">
          <a:extLst>
            <a:ext uri="{FF2B5EF4-FFF2-40B4-BE49-F238E27FC236}">
              <a16:creationId xmlns:a16="http://schemas.microsoft.com/office/drawing/2014/main" id="{9C26C137-EF7F-46C8-AF88-F48210614DD8}"/>
            </a:ext>
          </a:extLst>
        </xdr:cNvPr>
        <xdr:cNvSpPr/>
      </xdr:nvSpPr>
      <xdr:spPr>
        <a:xfrm>
          <a:off x="10774680" y="3886200"/>
          <a:ext cx="5318760" cy="14782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endParaRPr lang="en-US" sz="1600" b="1" u="sng">
            <a:solidFill>
              <a:sysClr val="windowText" lastClr="000000"/>
            </a:solidFill>
          </a:endParaRPr>
        </a:p>
        <a:p>
          <a:pPr algn="l"/>
          <a:r>
            <a:rPr lang="en-US" sz="1600" b="1">
              <a:solidFill>
                <a:sysClr val="windowText" lastClr="000000"/>
              </a:solidFill>
              <a:effectLst/>
              <a:latin typeface="+mn-lt"/>
              <a:ea typeface="+mn-ea"/>
              <a:cs typeface="+mn-cs"/>
            </a:rPr>
            <a:t>#TeslaColnnovation,#EVRevolution,#Futureof</a:t>
          </a:r>
          <a:r>
            <a:rPr lang="en-US" sz="1600" b="1" baseline="0">
              <a:solidFill>
                <a:sysClr val="windowText" lastClr="000000"/>
              </a:solidFill>
              <a:effectLst/>
              <a:latin typeface="+mn-lt"/>
              <a:ea typeface="+mn-ea"/>
              <a:cs typeface="+mn-cs"/>
            </a:rPr>
            <a:t>Driving</a:t>
          </a:r>
          <a:r>
            <a:rPr lang="en-US" sz="1600" b="1">
              <a:solidFill>
                <a:sysClr val="windowText" lastClr="000000"/>
              </a:solidFill>
              <a:effectLst/>
              <a:latin typeface="+mn-lt"/>
              <a:ea typeface="+mn-ea"/>
              <a:cs typeface="+mn-cs"/>
            </a:rPr>
            <a:t> </a:t>
          </a:r>
          <a:r>
            <a:rPr lang="en-US" sz="1600" b="1" baseline="0">
              <a:solidFill>
                <a:sysClr val="windowText" lastClr="000000"/>
              </a:solidFill>
              <a:effectLst/>
              <a:latin typeface="+mn-lt"/>
              <a:ea typeface="+mn-ea"/>
              <a:cs typeface="+mn-cs"/>
            </a:rPr>
            <a:t>    </a:t>
          </a:r>
          <a:r>
            <a:rPr lang="en-US" sz="1600">
              <a:solidFill>
                <a:sysClr val="windowText" lastClr="000000"/>
              </a:solidFill>
            </a:rPr>
            <a:t>are Tesla’s most effective Hashtags types for driving audience engagement.</a:t>
          </a:r>
          <a:endParaRPr lang="en-US" sz="1600" b="0" u="sng">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342900</xdr:colOff>
      <xdr:row>1</xdr:row>
      <xdr:rowOff>121921</xdr:rowOff>
    </xdr:from>
    <xdr:to>
      <xdr:col>11</xdr:col>
      <xdr:colOff>464820</xdr:colOff>
      <xdr:row>10</xdr:row>
      <xdr:rowOff>45721</xdr:rowOff>
    </xdr:to>
    <mc:AlternateContent xmlns:mc="http://schemas.openxmlformats.org/markup-compatibility/2006" xmlns:a14="http://schemas.microsoft.com/office/drawing/2010/main">
      <mc:Choice Requires="a14">
        <xdr:graphicFrame macro="">
          <xdr:nvGraphicFramePr>
            <xdr:cNvPr id="2" name="Platform 1">
              <a:extLst>
                <a:ext uri="{FF2B5EF4-FFF2-40B4-BE49-F238E27FC236}">
                  <a16:creationId xmlns:a16="http://schemas.microsoft.com/office/drawing/2014/main" id="{16CCB6F5-04FE-C88E-2671-FF78476FECE3}"/>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9982200" y="350521"/>
              <a:ext cx="195072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175260</xdr:rowOff>
    </xdr:from>
    <xdr:to>
      <xdr:col>7</xdr:col>
      <xdr:colOff>1684020</xdr:colOff>
      <xdr:row>24</xdr:row>
      <xdr:rowOff>30480</xdr:rowOff>
    </xdr:to>
    <xdr:graphicFrame macro="">
      <xdr:nvGraphicFramePr>
        <xdr:cNvPr id="4" name="Chart 3">
          <a:extLst>
            <a:ext uri="{FF2B5EF4-FFF2-40B4-BE49-F238E27FC236}">
              <a16:creationId xmlns:a16="http://schemas.microsoft.com/office/drawing/2014/main" id="{BF99DDCC-5B49-C877-1923-91065671F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10</xdr:row>
      <xdr:rowOff>175260</xdr:rowOff>
    </xdr:from>
    <xdr:to>
      <xdr:col>17</xdr:col>
      <xdr:colOff>129540</xdr:colOff>
      <xdr:row>17</xdr:row>
      <xdr:rowOff>152400</xdr:rowOff>
    </xdr:to>
    <xdr:sp macro="" textlink="">
      <xdr:nvSpPr>
        <xdr:cNvPr id="5" name="Rectangle: Rounded Corners 4">
          <a:extLst>
            <a:ext uri="{FF2B5EF4-FFF2-40B4-BE49-F238E27FC236}">
              <a16:creationId xmlns:a16="http://schemas.microsoft.com/office/drawing/2014/main" id="{CC17E7DC-C239-42AC-B85F-96E6AD069CDD}"/>
            </a:ext>
          </a:extLst>
        </xdr:cNvPr>
        <xdr:cNvSpPr/>
      </xdr:nvSpPr>
      <xdr:spPr>
        <a:xfrm>
          <a:off x="9944100" y="2049780"/>
          <a:ext cx="5311140" cy="12573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a:solidFill>
                <a:srgbClr val="C00000"/>
              </a:solidFill>
            </a:rPr>
            <a:t>Story , Reel , Carousel and </a:t>
          </a:r>
          <a:r>
            <a:rPr lang="en-US" sz="1100" baseline="0">
              <a:solidFill>
                <a:schemeClr val="lt1"/>
              </a:solidFill>
              <a:effectLst/>
              <a:latin typeface="+mn-lt"/>
              <a:ea typeface="+mn-ea"/>
              <a:cs typeface="+mn-cs"/>
            </a:rPr>
            <a:t> </a:t>
          </a:r>
          <a:r>
            <a:rPr lang="en-US" sz="1600" baseline="0">
              <a:solidFill>
                <a:srgbClr val="FF0000"/>
              </a:solidFill>
              <a:effectLst/>
              <a:latin typeface="+mn-lt"/>
              <a:ea typeface="+mn-ea"/>
              <a:cs typeface="+mn-cs"/>
            </a:rPr>
            <a:t>video </a:t>
          </a:r>
          <a:r>
            <a:rPr lang="en-US" sz="1600" baseline="0">
              <a:solidFill>
                <a:srgbClr val="C00000"/>
              </a:solidFill>
            </a:rPr>
            <a:t> (18%,15%,15% and 15% respectively ) are  top content performer</a:t>
          </a:r>
          <a:r>
            <a:rPr lang="en-US" sz="1600" baseline="0">
              <a:solidFill>
                <a:schemeClr val="tx1"/>
              </a:solidFill>
            </a:rPr>
            <a:t>,</a:t>
          </a:r>
          <a:r>
            <a:rPr lang="en-US" sz="1600" baseline="0">
              <a:solidFill>
                <a:srgbClr val="227800"/>
              </a:solidFill>
            </a:rPr>
            <a:t>while,image   and Text (13% and 12% ) lag behind.</a:t>
          </a:r>
          <a:endParaRPr lang="en-US" sz="1600">
            <a:solidFill>
              <a:srgbClr val="227800"/>
            </a:solidFill>
          </a:endParaRPr>
        </a:p>
      </xdr:txBody>
    </xdr:sp>
    <xdr:clientData/>
  </xdr:twoCellAnchor>
  <xdr:twoCellAnchor>
    <xdr:from>
      <xdr:col>8</xdr:col>
      <xdr:colOff>327660</xdr:colOff>
      <xdr:row>18</xdr:row>
      <xdr:rowOff>91440</xdr:rowOff>
    </xdr:from>
    <xdr:to>
      <xdr:col>17</xdr:col>
      <xdr:colOff>160020</xdr:colOff>
      <xdr:row>26</xdr:row>
      <xdr:rowOff>106680</xdr:rowOff>
    </xdr:to>
    <xdr:sp macro="" textlink="">
      <xdr:nvSpPr>
        <xdr:cNvPr id="6" name="Rectangle: Rounded Corners 5">
          <a:extLst>
            <a:ext uri="{FF2B5EF4-FFF2-40B4-BE49-F238E27FC236}">
              <a16:creationId xmlns:a16="http://schemas.microsoft.com/office/drawing/2014/main" id="{781FFFCC-EA2B-4441-8A51-693368E5E682}"/>
            </a:ext>
          </a:extLst>
        </xdr:cNvPr>
        <xdr:cNvSpPr/>
      </xdr:nvSpPr>
      <xdr:spPr>
        <a:xfrm>
          <a:off x="9966960" y="3429000"/>
          <a:ext cx="5318760" cy="14782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endParaRPr lang="en-US" sz="1600" b="1" u="sng">
            <a:solidFill>
              <a:sysClr val="windowText" lastClr="000000"/>
            </a:solidFill>
          </a:endParaRPr>
        </a:p>
        <a:p>
          <a:pPr algn="l"/>
          <a:r>
            <a:rPr lang="en-US" sz="1600" b="1">
              <a:solidFill>
                <a:sysClr val="windowText" lastClr="000000"/>
              </a:solidFill>
            </a:rPr>
            <a:t>Stories , Reels</a:t>
          </a:r>
          <a:r>
            <a:rPr lang="en-US" sz="1600">
              <a:solidFill>
                <a:sysClr val="windowText" lastClr="000000"/>
              </a:solidFill>
            </a:rPr>
            <a:t> ,</a:t>
          </a:r>
          <a:r>
            <a:rPr lang="en-US" sz="1600" b="1">
              <a:solidFill>
                <a:sysClr val="windowText" lastClr="000000"/>
              </a:solidFill>
              <a:effectLst/>
              <a:latin typeface="+mn-lt"/>
              <a:ea typeface="+mn-ea"/>
              <a:cs typeface="+mn-cs"/>
            </a:rPr>
            <a:t>Carousel and </a:t>
          </a:r>
          <a:r>
            <a:rPr lang="en-US" sz="1600" b="1" baseline="0">
              <a:solidFill>
                <a:sysClr val="windowText" lastClr="000000"/>
              </a:solidFill>
              <a:effectLst/>
              <a:latin typeface="+mn-lt"/>
              <a:ea typeface="+mn-ea"/>
              <a:cs typeface="+mn-cs"/>
            </a:rPr>
            <a:t> video  </a:t>
          </a:r>
          <a:r>
            <a:rPr lang="en-US" sz="1600">
              <a:solidFill>
                <a:sysClr val="windowText" lastClr="000000"/>
              </a:solidFill>
            </a:rPr>
            <a:t>are Tesla’s most effective content types for driving audience engagement.</a:t>
          </a:r>
          <a:endParaRPr lang="en-US" sz="1600" b="0" u="sng">
            <a:solidFill>
              <a:sysClr val="windowText" lastClr="000000"/>
            </a:solidFill>
          </a:endParaRPr>
        </a:p>
      </xdr:txBody>
    </xdr:sp>
    <xdr:clientData/>
  </xdr:twoCellAnchor>
  <xdr:twoCellAnchor>
    <xdr:from>
      <xdr:col>8</xdr:col>
      <xdr:colOff>220980</xdr:colOff>
      <xdr:row>27</xdr:row>
      <xdr:rowOff>60960</xdr:rowOff>
    </xdr:from>
    <xdr:to>
      <xdr:col>17</xdr:col>
      <xdr:colOff>213360</xdr:colOff>
      <xdr:row>39</xdr:row>
      <xdr:rowOff>53340</xdr:rowOff>
    </xdr:to>
    <xdr:sp macro="" textlink="">
      <xdr:nvSpPr>
        <xdr:cNvPr id="7" name="Rectangle: Rounded Corners 6">
          <a:extLst>
            <a:ext uri="{FF2B5EF4-FFF2-40B4-BE49-F238E27FC236}">
              <a16:creationId xmlns:a16="http://schemas.microsoft.com/office/drawing/2014/main" id="{8F0649FD-8325-4A3B-B498-8C3C6CAEBB33}"/>
            </a:ext>
          </a:extLst>
        </xdr:cNvPr>
        <xdr:cNvSpPr/>
      </xdr:nvSpPr>
      <xdr:spPr>
        <a:xfrm>
          <a:off x="9860280" y="5044440"/>
          <a:ext cx="5478780" cy="21869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Recommandation:</a:t>
          </a:r>
        </a:p>
        <a:p>
          <a:pPr algn="l"/>
          <a:endParaRPr lang="en-US" sz="1600" b="1" u="sng">
            <a:solidFill>
              <a:sysClr val="windowText" lastClr="000000"/>
            </a:solidFill>
          </a:endParaRPr>
        </a:p>
        <a:p>
          <a:r>
            <a:rPr lang="en-US" sz="1600" b="1">
              <a:solidFill>
                <a:sysClr val="windowText" lastClr="000000"/>
              </a:solidFill>
            </a:rPr>
            <a:t>&gt;Text posts</a:t>
          </a:r>
          <a:r>
            <a:rPr lang="en-US" sz="1600">
              <a:solidFill>
                <a:sysClr val="windowText" lastClr="000000"/>
              </a:solidFill>
            </a:rPr>
            <a:t> should be minimized or combined with visuals for better impact.</a:t>
          </a:r>
        </a:p>
        <a:p>
          <a:r>
            <a:rPr lang="en-US" sz="1600" b="1">
              <a:solidFill>
                <a:sysClr val="windowText" lastClr="000000"/>
              </a:solidFill>
            </a:rPr>
            <a:t>&gt;</a:t>
          </a:r>
          <a:r>
            <a:rPr lang="en-US" sz="1600">
              <a:solidFill>
                <a:sysClr val="windowText" lastClr="000000"/>
              </a:solidFill>
            </a:rPr>
            <a:t>Tesla should prioritize </a:t>
          </a:r>
          <a:r>
            <a:rPr lang="en-US" sz="1600" b="1">
              <a:solidFill>
                <a:sysClr val="windowText" lastClr="000000"/>
              </a:solidFill>
            </a:rPr>
            <a:t>Stories and Reels on Instagram</a:t>
          </a:r>
          <a:r>
            <a:rPr lang="en-US" sz="1600">
              <a:solidFill>
                <a:sysClr val="windowText" lastClr="000000"/>
              </a:solidFill>
            </a:rPr>
            <a:t> and </a:t>
          </a:r>
          <a:r>
            <a:rPr lang="en-US" sz="1600" b="1">
              <a:solidFill>
                <a:sysClr val="windowText" lastClr="000000"/>
              </a:solidFill>
            </a:rPr>
            <a:t>Videos on YouTube</a:t>
          </a:r>
          <a:r>
            <a:rPr lang="en-US" sz="1600">
              <a:solidFill>
                <a:sysClr val="windowText" lastClr="000000"/>
              </a:solidFill>
            </a:rPr>
            <a:t> to maximize engagement and audience retention.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770759</xdr:colOff>
      <xdr:row>7</xdr:row>
      <xdr:rowOff>8759</xdr:rowOff>
    </xdr:from>
    <xdr:to>
      <xdr:col>20</xdr:col>
      <xdr:colOff>1470660</xdr:colOff>
      <xdr:row>15</xdr:row>
      <xdr:rowOff>61310</xdr:rowOff>
    </xdr:to>
    <xdr:sp macro="" textlink="">
      <xdr:nvSpPr>
        <xdr:cNvPr id="2" name="Rectangle: Rounded Corners 1">
          <a:extLst>
            <a:ext uri="{FF2B5EF4-FFF2-40B4-BE49-F238E27FC236}">
              <a16:creationId xmlns:a16="http://schemas.microsoft.com/office/drawing/2014/main" id="{BCE727DB-E89C-4677-B9EE-175A3B805F80}"/>
            </a:ext>
          </a:extLst>
        </xdr:cNvPr>
        <xdr:cNvSpPr/>
      </xdr:nvSpPr>
      <xdr:spPr>
        <a:xfrm>
          <a:off x="21476138" y="1296276"/>
          <a:ext cx="5306936" cy="15240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1"/>
              </a:solidFill>
            </a:rPr>
            <a:t>Findings:</a:t>
          </a:r>
          <a:endParaRPr lang="en-US" sz="1600" b="1" u="sng">
            <a:solidFill>
              <a:srgbClr val="C00000"/>
            </a:solidFill>
          </a:endParaRPr>
        </a:p>
        <a:p>
          <a:pPr algn="l"/>
          <a:r>
            <a:rPr lang="en-US" sz="1600" b="0">
              <a:solidFill>
                <a:srgbClr val="C00000"/>
              </a:solidFill>
              <a:effectLst/>
              <a:latin typeface="+mn-lt"/>
              <a:ea typeface="+mn-ea"/>
              <a:cs typeface="+mn-cs"/>
            </a:rPr>
            <a:t>ModelYCampaig </a:t>
          </a:r>
          <a:r>
            <a:rPr lang="en-US" sz="1600">
              <a:solidFill>
                <a:srgbClr val="C00000"/>
              </a:solidFill>
            </a:rPr>
            <a:t> gained the most followers </a:t>
          </a:r>
          <a:r>
            <a:rPr lang="en-US" sz="1600" baseline="0">
              <a:solidFill>
                <a:srgbClr val="C00000"/>
              </a:solidFill>
            </a:rPr>
            <a:t> </a:t>
          </a:r>
          <a:r>
            <a:rPr lang="en-US" sz="1600" b="1" baseline="0">
              <a:solidFill>
                <a:srgbClr val="C00000"/>
              </a:solidFill>
            </a:rPr>
            <a:t>(1090)</a:t>
          </a:r>
          <a:r>
            <a:rPr lang="en-US" sz="1600" baseline="0">
              <a:solidFill>
                <a:srgbClr val="C00000"/>
              </a:solidFill>
            </a:rPr>
            <a:t>among four campign </a:t>
          </a:r>
          <a:r>
            <a:rPr lang="en-US" sz="1600" baseline="0">
              <a:solidFill>
                <a:schemeClr val="tx1"/>
              </a:solidFill>
            </a:rPr>
            <a:t>,</a:t>
          </a:r>
          <a:r>
            <a:rPr lang="en-US" sz="1600" b="0">
              <a:solidFill>
                <a:srgbClr val="C00000"/>
              </a:solidFill>
            </a:rPr>
            <a:t>it achieved the highest absolute growth.</a:t>
          </a:r>
        </a:p>
        <a:p>
          <a:pPr algn="l"/>
          <a:r>
            <a:rPr lang="en-US" sz="1600">
              <a:solidFill>
                <a:schemeClr val="tx1"/>
              </a:solidFill>
            </a:rPr>
            <a:t>This shows that engaging content and the right platform mix can drive strong audience expansion.</a:t>
          </a:r>
          <a:endParaRPr lang="en-US" sz="1600" b="0">
            <a:solidFill>
              <a:schemeClr val="tx1"/>
            </a:solidFill>
          </a:endParaRPr>
        </a:p>
      </xdr:txBody>
    </xdr:sp>
    <xdr:clientData/>
  </xdr:twoCellAnchor>
  <xdr:twoCellAnchor>
    <xdr:from>
      <xdr:col>3</xdr:col>
      <xdr:colOff>893379</xdr:colOff>
      <xdr:row>7</xdr:row>
      <xdr:rowOff>105103</xdr:rowOff>
    </xdr:from>
    <xdr:to>
      <xdr:col>8</xdr:col>
      <xdr:colOff>546538</xdr:colOff>
      <xdr:row>14</xdr:row>
      <xdr:rowOff>157655</xdr:rowOff>
    </xdr:to>
    <xdr:sp macro="" textlink="">
      <xdr:nvSpPr>
        <xdr:cNvPr id="3" name="Rectangle: Rounded Corners 2">
          <a:extLst>
            <a:ext uri="{FF2B5EF4-FFF2-40B4-BE49-F238E27FC236}">
              <a16:creationId xmlns:a16="http://schemas.microsoft.com/office/drawing/2014/main" id="{4094753C-E11F-4048-B5AB-422BFD188DF5}"/>
            </a:ext>
          </a:extLst>
        </xdr:cNvPr>
        <xdr:cNvSpPr/>
      </xdr:nvSpPr>
      <xdr:spPr>
        <a:xfrm>
          <a:off x="3722413" y="1392620"/>
          <a:ext cx="5311228" cy="134006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b="0">
              <a:solidFill>
                <a:srgbClr val="FF0000"/>
              </a:solidFill>
            </a:rPr>
            <a:t>ModelYCampaig showed the biggest uplift </a:t>
          </a:r>
          <a:r>
            <a:rPr lang="en-US" sz="1600" b="1">
              <a:solidFill>
                <a:srgbClr val="FF0000"/>
              </a:solidFill>
            </a:rPr>
            <a:t>(13.14%) </a:t>
          </a:r>
          <a:r>
            <a:rPr lang="en-US" sz="1600" b="0">
              <a:solidFill>
                <a:srgbClr val="FF0000"/>
              </a:solidFill>
            </a:rPr>
            <a:t>indicating strong excitement during the launch.</a:t>
          </a:r>
        </a:p>
        <a:p>
          <a:pPr algn="l"/>
          <a:r>
            <a:rPr lang="en-US" sz="1600" b="1">
              <a:solidFill>
                <a:srgbClr val="6A6A00"/>
              </a:solidFill>
            </a:rPr>
            <a:t>Sustainability</a:t>
          </a:r>
          <a:r>
            <a:rPr lang="en-US" sz="1600" b="0">
              <a:solidFill>
                <a:srgbClr val="6A6A00"/>
              </a:solidFill>
            </a:rPr>
            <a:t>Driveshow low uplifts </a:t>
          </a:r>
          <a:r>
            <a:rPr lang="en-US" sz="1600" b="1">
              <a:solidFill>
                <a:srgbClr val="6A6A00"/>
              </a:solidFill>
            </a:rPr>
            <a:t>(-6.10%)</a:t>
          </a:r>
        </a:p>
      </xdr:txBody>
    </xdr:sp>
    <xdr:clientData/>
  </xdr:twoCellAnchor>
  <xdr:twoCellAnchor>
    <xdr:from>
      <xdr:col>11</xdr:col>
      <xdr:colOff>0</xdr:colOff>
      <xdr:row>7</xdr:row>
      <xdr:rowOff>0</xdr:rowOff>
    </xdr:from>
    <xdr:to>
      <xdr:col>14</xdr:col>
      <xdr:colOff>29692</xdr:colOff>
      <xdr:row>14</xdr:row>
      <xdr:rowOff>38363</xdr:rowOff>
    </xdr:to>
    <xdr:sp macro="" textlink="">
      <xdr:nvSpPr>
        <xdr:cNvPr id="4" name="Rectangle: Rounded Corners 3">
          <a:extLst>
            <a:ext uri="{FF2B5EF4-FFF2-40B4-BE49-F238E27FC236}">
              <a16:creationId xmlns:a16="http://schemas.microsoft.com/office/drawing/2014/main" id="{C2E4ABE8-5E0B-4E1A-94D1-BE3542D45E0D}"/>
            </a:ext>
          </a:extLst>
        </xdr:cNvPr>
        <xdr:cNvSpPr/>
      </xdr:nvSpPr>
      <xdr:spPr>
        <a:xfrm>
          <a:off x="12796345" y="1287517"/>
          <a:ext cx="5311140" cy="13258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b="1">
              <a:solidFill>
                <a:srgbClr val="C00000"/>
              </a:solidFill>
            </a:rPr>
            <a:t>SustainabilityDrive</a:t>
          </a:r>
          <a:r>
            <a:rPr lang="en-US" sz="1600">
              <a:solidFill>
                <a:srgbClr val="C00000"/>
              </a:solidFill>
            </a:rPr>
            <a:t> recorded the </a:t>
          </a:r>
          <a:r>
            <a:rPr lang="en-US" sz="1600" b="1">
              <a:solidFill>
                <a:srgbClr val="C00000"/>
              </a:solidFill>
            </a:rPr>
            <a:t> Highest ROI (Return</a:t>
          </a:r>
          <a:r>
            <a:rPr lang="en-US" sz="1600" b="1" baseline="0">
              <a:solidFill>
                <a:srgbClr val="C00000"/>
              </a:solidFill>
            </a:rPr>
            <a:t> on investment)(0.01685)</a:t>
          </a:r>
          <a:r>
            <a:rPr lang="en-US" sz="1600">
              <a:solidFill>
                <a:srgbClr val="C00000"/>
              </a:solidFill>
            </a:rPr>
            <a:t>. </a:t>
          </a:r>
          <a:r>
            <a:rPr lang="en-US" sz="1600" b="0">
              <a:solidFill>
                <a:srgbClr val="6A6A00"/>
              </a:solidFill>
              <a:effectLst/>
              <a:latin typeface="+mn-lt"/>
              <a:ea typeface="+mn-ea"/>
              <a:cs typeface="+mn-cs"/>
            </a:rPr>
            <a:t>ModelYCampaig campaign recorded</a:t>
          </a:r>
          <a:r>
            <a:rPr lang="en-US" sz="1600" b="0" baseline="0">
              <a:solidFill>
                <a:srgbClr val="6A6A00"/>
              </a:solidFill>
              <a:effectLst/>
              <a:latin typeface="+mn-lt"/>
              <a:ea typeface="+mn-ea"/>
              <a:cs typeface="+mn-cs"/>
            </a:rPr>
            <a:t> lowest ROI(0.00574).</a:t>
          </a:r>
          <a:endParaRPr lang="en-US" sz="1600">
            <a:solidFill>
              <a:srgbClr val="6A6A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243840</xdr:colOff>
      <xdr:row>9</xdr:row>
      <xdr:rowOff>144780</xdr:rowOff>
    </xdr:from>
    <xdr:to>
      <xdr:col>5</xdr:col>
      <xdr:colOff>502920</xdr:colOff>
      <xdr:row>17</xdr:row>
      <xdr:rowOff>7620</xdr:rowOff>
    </xdr:to>
    <xdr:sp macro="" textlink="">
      <xdr:nvSpPr>
        <xdr:cNvPr id="3" name="Rectangle: Rounded Corners 2">
          <a:extLst>
            <a:ext uri="{FF2B5EF4-FFF2-40B4-BE49-F238E27FC236}">
              <a16:creationId xmlns:a16="http://schemas.microsoft.com/office/drawing/2014/main" id="{963CB546-5DEE-41AD-B408-769C867A9FBD}"/>
            </a:ext>
          </a:extLst>
        </xdr:cNvPr>
        <xdr:cNvSpPr/>
      </xdr:nvSpPr>
      <xdr:spPr>
        <a:xfrm>
          <a:off x="243840" y="1836420"/>
          <a:ext cx="5311140" cy="13258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b="1">
              <a:solidFill>
                <a:schemeClr val="tx1"/>
              </a:solidFill>
            </a:rPr>
            <a:t>SustainabilityDrive</a:t>
          </a:r>
          <a:r>
            <a:rPr lang="en-US" sz="1600">
              <a:solidFill>
                <a:schemeClr val="tx1"/>
              </a:solidFill>
            </a:rPr>
            <a:t> recorded the </a:t>
          </a:r>
          <a:r>
            <a:rPr lang="en-US" sz="1600" b="1">
              <a:solidFill>
                <a:schemeClr val="tx1"/>
              </a:solidFill>
            </a:rPr>
            <a:t>highest clicks (10,672)</a:t>
          </a:r>
          <a:r>
            <a:rPr lang="en-US" sz="1600">
              <a:solidFill>
                <a:schemeClr val="tx1"/>
              </a:solidFill>
            </a:rPr>
            <a:t> and </a:t>
          </a:r>
          <a:r>
            <a:rPr lang="en-US" sz="1600" b="1">
              <a:solidFill>
                <a:schemeClr val="tx1"/>
              </a:solidFill>
            </a:rPr>
            <a:t>impressions (2,439,664)</a:t>
          </a:r>
          <a:r>
            <a:rPr lang="en-US" sz="1600">
              <a:solidFill>
                <a:schemeClr val="tx1"/>
              </a:solidFill>
            </a:rPr>
            <a:t>, indicating the best reach and engagement. </a:t>
          </a:r>
        </a:p>
      </xdr:txBody>
    </xdr:sp>
    <xdr:clientData/>
  </xdr:twoCellAnchor>
  <xdr:twoCellAnchor>
    <xdr:from>
      <xdr:col>6</xdr:col>
      <xdr:colOff>0</xdr:colOff>
      <xdr:row>10</xdr:row>
      <xdr:rowOff>0</xdr:rowOff>
    </xdr:from>
    <xdr:to>
      <xdr:col>15</xdr:col>
      <xdr:colOff>335280</xdr:colOff>
      <xdr:row>19</xdr:row>
      <xdr:rowOff>22860</xdr:rowOff>
    </xdr:to>
    <xdr:sp macro="" textlink="">
      <xdr:nvSpPr>
        <xdr:cNvPr id="4" name="Rectangle: Rounded Corners 3">
          <a:extLst>
            <a:ext uri="{FF2B5EF4-FFF2-40B4-BE49-F238E27FC236}">
              <a16:creationId xmlns:a16="http://schemas.microsoft.com/office/drawing/2014/main" id="{04C1D504-9A94-44D3-8B47-30D757AE2C49}"/>
            </a:ext>
          </a:extLst>
        </xdr:cNvPr>
        <xdr:cNvSpPr/>
      </xdr:nvSpPr>
      <xdr:spPr>
        <a:xfrm>
          <a:off x="6134100" y="1874520"/>
          <a:ext cx="6713220" cy="16687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r>
            <a:rPr lang="en-US" sz="1600">
              <a:solidFill>
                <a:schemeClr val="tx1"/>
              </a:solidFill>
            </a:rPr>
            <a:t>The </a:t>
          </a:r>
          <a:r>
            <a:rPr lang="en-US" sz="1600" b="1">
              <a:solidFill>
                <a:schemeClr val="tx1"/>
              </a:solidFill>
            </a:rPr>
            <a:t>SustainabilityDrive</a:t>
          </a:r>
          <a:r>
            <a:rPr lang="en-US" sz="1600">
              <a:solidFill>
                <a:schemeClr val="tx1"/>
              </a:solidFill>
            </a:rPr>
            <a:t> campaign achieved the </a:t>
          </a:r>
          <a:r>
            <a:rPr lang="en-US" sz="1600" b="1">
              <a:solidFill>
                <a:schemeClr val="tx1"/>
              </a:solidFill>
            </a:rPr>
            <a:t>highest reach</a:t>
          </a:r>
          <a:r>
            <a:rPr lang="en-US" sz="1600">
              <a:solidFill>
                <a:schemeClr val="tx1"/>
              </a:solidFill>
            </a:rPr>
            <a:t>, while </a:t>
          </a:r>
          <a:r>
            <a:rPr lang="en-US" sz="1600" b="1">
              <a:solidFill>
                <a:schemeClr val="tx1"/>
              </a:solidFill>
            </a:rPr>
            <a:t>ModelYCampaign</a:t>
          </a:r>
          <a:r>
            <a:rPr lang="en-US" sz="1600">
              <a:solidFill>
                <a:schemeClr val="tx1"/>
              </a:solidFill>
            </a:rPr>
            <a:t> had the </a:t>
          </a:r>
          <a:r>
            <a:rPr lang="en-US" sz="1600" b="1">
              <a:solidFill>
                <a:schemeClr val="tx1"/>
              </a:solidFill>
            </a:rPr>
            <a:t>best engagement efficiency</a:t>
          </a:r>
          <a:r>
            <a:rPr lang="en-US" sz="1600">
              <a:solidFill>
                <a:schemeClr val="tx1"/>
              </a:solidFill>
            </a:rPr>
            <a:t>. Tesla</a:t>
          </a:r>
          <a:r>
            <a:rPr lang="en-US" sz="1600" baseline="0">
              <a:solidFill>
                <a:schemeClr val="tx1"/>
              </a:solidFill>
            </a:rPr>
            <a:t> can combine in </a:t>
          </a:r>
          <a:r>
            <a:rPr lang="en-US" sz="1600">
              <a:solidFill>
                <a:schemeClr val="tx1"/>
              </a:solidFill>
            </a:rPr>
            <a:t>Future both campaigns </a:t>
          </a:r>
          <a:r>
            <a:rPr lang="en-US" sz="1600" b="1">
              <a:solidFill>
                <a:schemeClr val="tx1"/>
              </a:solidFill>
            </a:rPr>
            <a:t>SustainabilityDrive </a:t>
          </a:r>
          <a:r>
            <a:rPr lang="en-US" sz="1600">
              <a:solidFill>
                <a:schemeClr val="tx1"/>
              </a:solidFill>
            </a:rPr>
            <a:t>and </a:t>
          </a:r>
          <a:r>
            <a:rPr lang="en-US" sz="1600" b="1">
              <a:solidFill>
                <a:schemeClr val="tx1"/>
              </a:solidFill>
            </a:rPr>
            <a:t>ModelYCampaign</a:t>
          </a:r>
          <a:r>
            <a:rPr lang="en-US" sz="1600">
              <a:solidFill>
                <a:schemeClr val="tx1"/>
              </a:solidFill>
            </a:rPr>
            <a:t> to reach</a:t>
          </a:r>
          <a:r>
            <a:rPr lang="en-US" sz="1600" baseline="0">
              <a:solidFill>
                <a:schemeClr val="lt1"/>
              </a:solidFill>
            </a:rPr>
            <a:t> </a:t>
          </a:r>
          <a:r>
            <a:rPr lang="en-US" sz="1600">
              <a:solidFill>
                <a:schemeClr val="tx1"/>
              </a:solidFill>
            </a:rPr>
            <a:t>strategy and gave engaging content for optimal results.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236220</xdr:colOff>
      <xdr:row>2</xdr:row>
      <xdr:rowOff>7619</xdr:rowOff>
    </xdr:from>
    <xdr:to>
      <xdr:col>21</xdr:col>
      <xdr:colOff>505046</xdr:colOff>
      <xdr:row>22</xdr:row>
      <xdr:rowOff>35441</xdr:rowOff>
    </xdr:to>
    <xdr:graphicFrame macro="">
      <xdr:nvGraphicFramePr>
        <xdr:cNvPr id="2" name="Chart 1">
          <a:extLst>
            <a:ext uri="{FF2B5EF4-FFF2-40B4-BE49-F238E27FC236}">
              <a16:creationId xmlns:a16="http://schemas.microsoft.com/office/drawing/2014/main" id="{F100FF70-404B-7965-FE26-31E74FA11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388620</xdr:colOff>
      <xdr:row>2</xdr:row>
      <xdr:rowOff>53340</xdr:rowOff>
    </xdr:from>
    <xdr:to>
      <xdr:col>16</xdr:col>
      <xdr:colOff>175260</xdr:colOff>
      <xdr:row>19</xdr:row>
      <xdr:rowOff>91440</xdr:rowOff>
    </xdr:to>
    <xdr:graphicFrame macro="">
      <xdr:nvGraphicFramePr>
        <xdr:cNvPr id="2" name="Chart 1">
          <a:extLst>
            <a:ext uri="{FF2B5EF4-FFF2-40B4-BE49-F238E27FC236}">
              <a16:creationId xmlns:a16="http://schemas.microsoft.com/office/drawing/2014/main" id="{8F2DFAF5-9015-9D10-6793-FDC76518C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21</xdr:row>
      <xdr:rowOff>137160</xdr:rowOff>
    </xdr:from>
    <xdr:to>
      <xdr:col>11</xdr:col>
      <xdr:colOff>381000</xdr:colOff>
      <xdr:row>31</xdr:row>
      <xdr:rowOff>68580</xdr:rowOff>
    </xdr:to>
    <xdr:sp macro="" textlink="">
      <xdr:nvSpPr>
        <xdr:cNvPr id="3" name="Rectangle: Rounded Corners 2">
          <a:extLst>
            <a:ext uri="{FF2B5EF4-FFF2-40B4-BE49-F238E27FC236}">
              <a16:creationId xmlns:a16="http://schemas.microsoft.com/office/drawing/2014/main" id="{B0549743-9932-4F4D-B9F7-CCACCA9AD3B7}"/>
            </a:ext>
          </a:extLst>
        </xdr:cNvPr>
        <xdr:cNvSpPr/>
      </xdr:nvSpPr>
      <xdr:spPr>
        <a:xfrm>
          <a:off x="2773680" y="4023360"/>
          <a:ext cx="5318760" cy="17602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endParaRPr lang="en-US" sz="1600" b="1" u="sng">
            <a:solidFill>
              <a:sysClr val="windowText" lastClr="000000"/>
            </a:solidFill>
          </a:endParaRPr>
        </a:p>
        <a:p>
          <a:pPr algn="l"/>
          <a:r>
            <a:rPr lang="en-US" sz="1600">
              <a:solidFill>
                <a:sysClr val="windowText" lastClr="000000"/>
              </a:solidFill>
            </a:rPr>
            <a:t>The week of </a:t>
          </a:r>
          <a:r>
            <a:rPr lang="en-US" sz="1600" b="1">
              <a:solidFill>
                <a:sysClr val="windowText" lastClr="000000"/>
              </a:solidFill>
            </a:rPr>
            <a:t>December 30, 2024</a:t>
          </a:r>
          <a:r>
            <a:rPr lang="en-US" sz="1600">
              <a:solidFill>
                <a:sysClr val="windowText" lastClr="000000"/>
              </a:solidFill>
            </a:rPr>
            <a:t>, recorded the </a:t>
          </a:r>
          <a:r>
            <a:rPr lang="en-US" sz="1600" b="1">
              <a:solidFill>
                <a:sysClr val="windowText" lastClr="000000"/>
              </a:solidFill>
            </a:rPr>
            <a:t>highest follower growth (6,530 followers)</a:t>
          </a:r>
          <a:r>
            <a:rPr lang="en-US" sz="1600">
              <a:solidFill>
                <a:sysClr val="windowText" lastClr="000000"/>
              </a:solidFill>
            </a:rPr>
            <a:t> , indicating a strong peak in audience engagement during that period..</a:t>
          </a:r>
          <a:endParaRPr lang="en-US" sz="1600" b="0" u="sng">
            <a:solidFill>
              <a:sysClr val="windowText" lastClr="000000"/>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411480</xdr:colOff>
      <xdr:row>2</xdr:row>
      <xdr:rowOff>22860</xdr:rowOff>
    </xdr:from>
    <xdr:to>
      <xdr:col>12</xdr:col>
      <xdr:colOff>419100</xdr:colOff>
      <xdr:row>20</xdr:row>
      <xdr:rowOff>83820</xdr:rowOff>
    </xdr:to>
    <xdr:graphicFrame macro="">
      <xdr:nvGraphicFramePr>
        <xdr:cNvPr id="2" name="Chart 1">
          <a:extLst>
            <a:ext uri="{FF2B5EF4-FFF2-40B4-BE49-F238E27FC236}">
              <a16:creationId xmlns:a16="http://schemas.microsoft.com/office/drawing/2014/main" id="{8146C925-1B60-A585-EF39-AD74F773C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23</xdr:row>
      <xdr:rowOff>0</xdr:rowOff>
    </xdr:from>
    <xdr:to>
      <xdr:col>11</xdr:col>
      <xdr:colOff>441960</xdr:colOff>
      <xdr:row>32</xdr:row>
      <xdr:rowOff>114300</xdr:rowOff>
    </xdr:to>
    <xdr:sp macro="" textlink="">
      <xdr:nvSpPr>
        <xdr:cNvPr id="4" name="Rectangle: Rounded Corners 3">
          <a:extLst>
            <a:ext uri="{FF2B5EF4-FFF2-40B4-BE49-F238E27FC236}">
              <a16:creationId xmlns:a16="http://schemas.microsoft.com/office/drawing/2014/main" id="{F768E7B4-48A9-42C5-B006-5817F5BD95FA}"/>
            </a:ext>
          </a:extLst>
        </xdr:cNvPr>
        <xdr:cNvSpPr/>
      </xdr:nvSpPr>
      <xdr:spPr>
        <a:xfrm>
          <a:off x="2933700" y="4251960"/>
          <a:ext cx="5318760" cy="17602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Insights:</a:t>
          </a:r>
        </a:p>
        <a:p>
          <a:pPr algn="l"/>
          <a:endParaRPr lang="en-US" sz="1600" b="1" u="sng">
            <a:solidFill>
              <a:sysClr val="windowText" lastClr="000000"/>
            </a:solidFill>
          </a:endParaRPr>
        </a:p>
        <a:p>
          <a:pPr algn="l"/>
          <a:r>
            <a:rPr lang="en-US" sz="1600">
              <a:solidFill>
                <a:sysClr val="windowText" lastClr="000000"/>
              </a:solidFill>
            </a:rPr>
            <a:t>The week of </a:t>
          </a:r>
          <a:r>
            <a:rPr lang="en-US" sz="1600" b="1">
              <a:solidFill>
                <a:sysClr val="windowText" lastClr="000000"/>
              </a:solidFill>
            </a:rPr>
            <a:t>March 17, 2025</a:t>
          </a:r>
          <a:r>
            <a:rPr lang="en-US" sz="1600">
              <a:solidFill>
                <a:sysClr val="windowText" lastClr="000000"/>
              </a:solidFill>
            </a:rPr>
            <a:t>, recorded the </a:t>
          </a:r>
          <a:r>
            <a:rPr lang="en-US" sz="1600" b="1">
              <a:solidFill>
                <a:sysClr val="windowText" lastClr="000000"/>
              </a:solidFill>
            </a:rPr>
            <a:t>highest</a:t>
          </a:r>
          <a:r>
            <a:rPr lang="en-US" sz="1600">
              <a:solidFill>
                <a:sysClr val="windowText" lastClr="000000"/>
              </a:solidFill>
            </a:rPr>
            <a:t> </a:t>
          </a:r>
          <a:r>
            <a:rPr lang="en-US" sz="1600" b="1">
              <a:solidFill>
                <a:sysClr val="windowText" lastClr="000000"/>
              </a:solidFill>
            </a:rPr>
            <a:t>average of growth rate (4%)</a:t>
          </a:r>
          <a:r>
            <a:rPr lang="en-US" sz="1600">
              <a:solidFill>
                <a:sysClr val="windowText" lastClr="000000"/>
              </a:solidFill>
            </a:rPr>
            <a:t> , indicating a strong peak in audience engagement during that period..</a:t>
          </a:r>
          <a:endParaRPr lang="en-US" sz="1600" b="0" u="sng">
            <a:solidFill>
              <a:sysClr val="windowText" lastClr="00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9</xdr:row>
      <xdr:rowOff>34290</xdr:rowOff>
    </xdr:from>
    <xdr:to>
      <xdr:col>4</xdr:col>
      <xdr:colOff>60960</xdr:colOff>
      <xdr:row>24</xdr:row>
      <xdr:rowOff>34290</xdr:rowOff>
    </xdr:to>
    <xdr:graphicFrame macro="">
      <xdr:nvGraphicFramePr>
        <xdr:cNvPr id="3" name="Chart 2">
          <a:extLst>
            <a:ext uri="{FF2B5EF4-FFF2-40B4-BE49-F238E27FC236}">
              <a16:creationId xmlns:a16="http://schemas.microsoft.com/office/drawing/2014/main" id="{F688B96A-916D-B068-607B-61398A85F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xdr:row>
      <xdr:rowOff>0</xdr:rowOff>
    </xdr:from>
    <xdr:to>
      <xdr:col>18</xdr:col>
      <xdr:colOff>152400</xdr:colOff>
      <xdr:row>12</xdr:row>
      <xdr:rowOff>76200</xdr:rowOff>
    </xdr:to>
    <xdr:sp macro="" textlink="">
      <xdr:nvSpPr>
        <xdr:cNvPr id="2" name="Rectangle: Rounded Corners 1">
          <a:extLst>
            <a:ext uri="{FF2B5EF4-FFF2-40B4-BE49-F238E27FC236}">
              <a16:creationId xmlns:a16="http://schemas.microsoft.com/office/drawing/2014/main" id="{31893202-C5A6-4E39-AC8D-69348B73C861}"/>
            </a:ext>
          </a:extLst>
        </xdr:cNvPr>
        <xdr:cNvSpPr/>
      </xdr:nvSpPr>
      <xdr:spPr>
        <a:xfrm>
          <a:off x="5730240" y="411480"/>
          <a:ext cx="7467600" cy="19050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ysClr val="windowText" lastClr="000000"/>
              </a:solidFill>
            </a:rPr>
            <a:t>Findings:</a:t>
          </a:r>
        </a:p>
        <a:p>
          <a:pPr algn="l"/>
          <a:r>
            <a:rPr lang="en-US" sz="1600" b="1">
              <a:solidFill>
                <a:srgbClr val="C00000"/>
              </a:solidFill>
            </a:rPr>
            <a:t>Instagram</a:t>
          </a:r>
          <a:r>
            <a:rPr lang="en-US" sz="1600">
              <a:solidFill>
                <a:srgbClr val="C00000"/>
              </a:solidFill>
            </a:rPr>
            <a:t> has the </a:t>
          </a:r>
          <a:r>
            <a:rPr lang="en-US" sz="1600" b="1">
              <a:solidFill>
                <a:srgbClr val="C00000"/>
              </a:solidFill>
            </a:rPr>
            <a:t>highest follower gain  (960)</a:t>
          </a:r>
          <a:r>
            <a:rPr lang="en-US" sz="1600">
              <a:solidFill>
                <a:srgbClr val="C00000"/>
              </a:solidFill>
            </a:rPr>
            <a:t> with </a:t>
          </a:r>
          <a:r>
            <a:rPr lang="en-US" sz="1600" b="1">
              <a:solidFill>
                <a:srgbClr val="C00000"/>
              </a:solidFill>
            </a:rPr>
            <a:t>moderate  ad spend (₹23,287)</a:t>
          </a:r>
          <a:r>
            <a:rPr lang="en-US" sz="1600">
              <a:solidFill>
                <a:srgbClr val="C00000"/>
              </a:solidFill>
            </a:rPr>
            <a:t> showing it’s better</a:t>
          </a:r>
          <a:r>
            <a:rPr lang="en-US" sz="1600" baseline="0">
              <a:solidFill>
                <a:srgbClr val="C00000"/>
              </a:solidFill>
            </a:rPr>
            <a:t> </a:t>
          </a:r>
          <a:r>
            <a:rPr lang="en-US" sz="1600" b="1" baseline="0">
              <a:solidFill>
                <a:srgbClr val="C00000"/>
              </a:solidFill>
            </a:rPr>
            <a:t>ad effiency audience engagement</a:t>
          </a:r>
          <a:r>
            <a:rPr lang="en-US" sz="1600">
              <a:solidFill>
                <a:srgbClr val="AEAA16"/>
              </a:solidFill>
            </a:rPr>
            <a:t>.</a:t>
          </a:r>
          <a:r>
            <a:rPr lang="en-US" sz="1600" baseline="0">
              <a:solidFill>
                <a:srgbClr val="AEAA16"/>
              </a:solidFill>
            </a:rPr>
            <a:t> </a:t>
          </a:r>
          <a:r>
            <a:rPr lang="en-US" sz="1600" b="1" baseline="0">
              <a:solidFill>
                <a:srgbClr val="AEAA16"/>
              </a:solidFill>
            </a:rPr>
            <a:t>,</a:t>
          </a:r>
          <a:r>
            <a:rPr lang="en-US" sz="1600" b="1">
              <a:solidFill>
                <a:srgbClr val="AEAA16"/>
              </a:solidFill>
            </a:rPr>
            <a:t>Facebook and youtube </a:t>
          </a:r>
          <a:r>
            <a:rPr lang="en-US" sz="1600" b="1">
              <a:solidFill>
                <a:srgbClr val="888800"/>
              </a:solidFill>
            </a:rPr>
            <a:t>show</a:t>
          </a:r>
          <a:r>
            <a:rPr lang="en-US" sz="1600" b="1"/>
            <a:t> </a:t>
          </a:r>
          <a:r>
            <a:rPr lang="en-US" sz="1600" b="1">
              <a:solidFill>
                <a:srgbClr val="888800"/>
              </a:solidFill>
            </a:rPr>
            <a:t>with </a:t>
          </a:r>
          <a:r>
            <a:rPr lang="en-US" sz="1600">
              <a:solidFill>
                <a:srgbClr val="888800"/>
              </a:solidFill>
            </a:rPr>
            <a:t>higher ad spends (</a:t>
          </a:r>
          <a:r>
            <a:rPr lang="en-US" sz="1600" b="1">
              <a:solidFill>
                <a:srgbClr val="888800"/>
              </a:solidFill>
              <a:effectLst/>
              <a:latin typeface="+mn-lt"/>
              <a:ea typeface="+mn-ea"/>
              <a:cs typeface="+mn-cs"/>
            </a:rPr>
            <a:t>₹27591 and24573</a:t>
          </a:r>
          <a:r>
            <a:rPr lang="en-US" sz="1600">
              <a:solidFill>
                <a:srgbClr val="888800"/>
              </a:solidFill>
            </a:rPr>
            <a:t>)</a:t>
          </a:r>
          <a:r>
            <a:rPr lang="en-US" sz="1600"/>
            <a:t>  </a:t>
          </a:r>
          <a:r>
            <a:rPr lang="en-US" sz="1600" b="1">
              <a:solidFill>
                <a:srgbClr val="AEAA16"/>
              </a:solidFill>
            </a:rPr>
            <a:t>indicating</a:t>
          </a:r>
          <a:r>
            <a:rPr lang="en-US" sz="1600" b="1" baseline="0">
              <a:solidFill>
                <a:srgbClr val="AEAA16"/>
              </a:solidFill>
            </a:rPr>
            <a:t> lower ROI on these platform</a:t>
          </a:r>
          <a:r>
            <a:rPr lang="en-US" sz="1600">
              <a:solidFill>
                <a:srgbClr val="AEAA16"/>
              </a:solidFill>
            </a:rPr>
            <a:t>, </a:t>
          </a:r>
          <a:r>
            <a:rPr lang="en-US" sz="1600" b="1">
              <a:solidFill>
                <a:srgbClr val="C00000"/>
              </a:solidFill>
            </a:rPr>
            <a:t>Twitter maintained a balanced performance</a:t>
          </a:r>
          <a:r>
            <a:rPr lang="en-US" sz="1600">
              <a:solidFill>
                <a:srgbClr val="C00000"/>
              </a:solidFill>
            </a:rPr>
            <a:t> — achieving </a:t>
          </a:r>
          <a:r>
            <a:rPr lang="en-US" sz="1600" b="1">
              <a:solidFill>
                <a:srgbClr val="C00000"/>
              </a:solidFill>
            </a:rPr>
            <a:t>above-average followers (824)</a:t>
          </a:r>
          <a:r>
            <a:rPr lang="en-US" sz="1600">
              <a:solidFill>
                <a:srgbClr val="C00000"/>
              </a:solidFill>
            </a:rPr>
            <a:t> with the </a:t>
          </a:r>
          <a:r>
            <a:rPr lang="en-US" sz="1600" b="1">
              <a:solidFill>
                <a:srgbClr val="C00000"/>
              </a:solidFill>
            </a:rPr>
            <a:t>lowest ad spend (₹21,207)</a:t>
          </a:r>
          <a:r>
            <a:rPr lang="en-US" sz="1600">
              <a:solidFill>
                <a:srgbClr val="C00000"/>
              </a:solidFill>
            </a:rPr>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926619791666" createdVersion="8" refreshedVersion="8" minRefreshableVersion="3" recordCount="300" xr:uid="{B6DA3876-166F-46A1-8830-CC172FFD3B1E}">
  <cacheSource type="worksheet">
    <worksheetSource name="Table1"/>
  </cacheSource>
  <cacheFields count="15">
    <cacheField name="Post ID" numFmtId="0">
      <sharedItems/>
    </cacheField>
    <cacheField name="Platform" numFmtId="49">
      <sharedItems/>
    </cacheField>
    <cacheField name="Date" numFmtId="164">
      <sharedItems/>
    </cacheField>
    <cacheField name="Content Type" numFmtId="49">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0">
      <sharedItems containsBlank="1"/>
    </cacheField>
    <cacheField name="Hashtags 3" numFmtId="0">
      <sharedItems containsBlank="1"/>
    </cacheField>
    <cacheField name="Campaign_Name" numFmtId="0">
      <sharedItems containsBlank="1" count="6">
        <m/>
        <s v="FSDUpdate"/>
        <s v="SustainabilityDrive"/>
        <s v="ModelYCampaign"/>
        <s v="."/>
        <s v="CybertruckLaunc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92662002315" createdVersion="8" refreshedVersion="8" minRefreshableVersion="3" recordCount="200" xr:uid="{135452BD-101A-459E-A723-EFC1106FB546}">
  <cacheSource type="worksheet">
    <worksheetSource name="Table25"/>
  </cacheSource>
  <cacheFields count="9">
    <cacheField name="Week_Start_Date" numFmtId="164">
      <sharedItems count="50">
        <s v="2025-05-05"/>
        <s v="2024-10-07"/>
        <s v="2024-07-15"/>
        <s v="2024-12-30"/>
        <s v="2024-12-09"/>
        <s v="2025-02-10"/>
        <s v="2025-01-13"/>
        <s v="2025-02-24"/>
        <s v="2024-09-30"/>
        <s v="2024-12-02"/>
        <s v="2024-11-25"/>
        <s v="2024-09-23"/>
        <s v="2025-03-31"/>
        <s v="2024-07-08"/>
        <s v="2024-06-24"/>
        <s v="2024-08-19"/>
        <s v="2024-10-28"/>
        <s v="2025-05-12"/>
        <s v="2025-04-21"/>
        <s v="2024-08-26"/>
        <s v="2024-11-04"/>
        <s v="2025-02-17"/>
        <s v="2024-12-23"/>
        <s v="2024-09-09"/>
        <s v="2025-01-20"/>
        <s v="2025-04-28"/>
        <s v="2024-07-29"/>
        <s v="2024-10-21"/>
        <s v="2024-12-16"/>
        <s v="2025-01-27"/>
        <s v="2025-03-17"/>
        <s v="2024-06-17"/>
        <s v="2024-07-01"/>
        <s v="2025-03-10"/>
        <s v="2024-08-12"/>
        <s v="2024-07-22"/>
        <s v="2025-03-03"/>
        <s v="2024-06-10"/>
        <s v="2024-09-02"/>
        <s v="2024-10-14"/>
        <s v="2025-01-06"/>
        <s v="2024-11-11"/>
        <s v="2024-09-16"/>
        <s v="2024-06-03"/>
        <s v="2025-02-03"/>
        <s v="2025-04-07"/>
        <s v="2025-03-24"/>
        <s v="2024-11-18"/>
        <s v="2024-08-05"/>
        <s v="2025-04-14"/>
      </sharedItems>
    </cacheField>
    <cacheField name="Platform" numFmtId="49">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1">
      <sharedItems containsSemiMixedTypes="0" containsString="0" containsNumber="1" containsInteger="1" minValue="1083" maxValue="49772"/>
    </cacheField>
    <cacheField name="Followers gained" numFmtId="1">
      <sharedItems containsSemiMixedTypes="0" containsString="0" containsNumber="1" containsInteger="1" minValue="-337" maxValue="1881"/>
    </cacheField>
    <cacheField name="Growth Rate" numFmtId="9">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926620601851" createdVersion="8" refreshedVersion="8" minRefreshableVersion="3" recordCount="339" xr:uid="{98378C97-ED3A-484C-B22D-A5B38A6E5BDC}">
  <cacheSource type="worksheet">
    <worksheetSource name="Table1_1"/>
  </cacheSource>
  <cacheFields count="15">
    <cacheField name="Post ID" numFmtId="0">
      <sharedItems/>
    </cacheField>
    <cacheField name="Platform" numFmtId="49">
      <sharedItems count="4">
        <s v="Twitter"/>
        <s v="YouTube"/>
        <s v="Instagram"/>
        <s v="Facebook"/>
      </sharedItems>
    </cacheField>
    <cacheField name="Date" numFmtId="164">
      <sharedItems containsSemiMixedTypes="0" containsNonDate="0" containsDate="1" containsString="0" minDate="2024-06-01T00:00:00" maxDate="2025-05-15T00:00:00"/>
    </cacheField>
    <cacheField name="Content Type" numFmtId="49">
      <sharedItems count="6">
        <s v="Reel"/>
        <s v="Text"/>
        <s v="Story"/>
        <s v="Carousel"/>
        <s v="Image"/>
        <s v="Video"/>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49">
      <sharedItems count="6">
        <s v="#FutureOfDriving"/>
        <s v="#AnytimeIsTeslaTime"/>
        <s v="#TeslaCoInnovation"/>
        <s v="#BetterWithTesla"/>
        <s v="#EVRevolution"/>
        <s v="#SmoothLikeNitroTesla"/>
      </sharedItems>
    </cacheField>
    <cacheField name="Campaign_Name" numFmtId="49">
      <sharedItems containsBlank="1"/>
    </cacheField>
    <cacheField name=" Total Engagement" numFmtId="1">
      <sharedItems containsSemiMixedTypes="0" containsString="0" containsNumber="1" containsInteger="1" minValue="585" maxValue="6343"/>
    </cacheField>
    <cacheField name="Engagement rate" numFmtId="9">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54110444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926621180559" createdVersion="8" refreshedVersion="8" minRefreshableVersion="3" recordCount="200" xr:uid="{993B5E03-5F7D-400D-BE7A-E7AC61F1C180}">
  <cacheSource type="worksheet">
    <worksheetSource name="Table2"/>
  </cacheSource>
  <cacheFields count="9">
    <cacheField name="Week_Start_Date" numFmtId="164">
      <sharedItems count="50">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sharedItems>
    </cacheField>
    <cacheField name="Platform" numFmtId="49">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1">
      <sharedItems containsSemiMixedTypes="0" containsString="0" containsNumber="1" containsInteger="1" minValue="1083" maxValue="49772"/>
    </cacheField>
    <cacheField name="Followers gained" numFmtId="1">
      <sharedItems containsSemiMixedTypes="0" containsString="0" containsNumber="1" containsInteger="1" minValue="-337" maxValue="1881"/>
    </cacheField>
    <cacheField name="Growth Rate" numFmtId="9">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926621759259" createdVersion="8" refreshedVersion="8" minRefreshableVersion="3" recordCount="300" xr:uid="{C8681D38-E59A-4B43-B12A-1EABA442A476}">
  <cacheSource type="worksheet">
    <worksheetSource name="Table14"/>
  </cacheSource>
  <cacheFields count="17">
    <cacheField name="Post ID" numFmtId="0">
      <sharedItems/>
    </cacheField>
    <cacheField name="Platform" numFmtId="49">
      <sharedItems count="4">
        <s v="Facebook"/>
        <s v="Instagram"/>
        <s v="YouTube"/>
        <s v="Twitter"/>
      </sharedItems>
    </cacheField>
    <cacheField name="Date" numFmtId="164">
      <sharedItems/>
    </cacheField>
    <cacheField name="Content Type" numFmtId="49">
      <sharedItems count="6">
        <s v="Text"/>
        <s v="Image"/>
        <s v="Story"/>
        <s v="Reel"/>
        <s v="Video"/>
        <s v="Carousel"/>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2">
      <sharedItems containsSemiMixedTypes="0" containsString="0" containsNumber="1" containsInteger="1" minValue="10" maxValue="300"/>
    </cacheField>
    <cacheField name="Total Engagement" numFmtId="1">
      <sharedItems containsSemiMixedTypes="0" containsString="0" containsNumber="1" containsInteger="1" minValue="585" maxValue="6343"/>
    </cacheField>
    <cacheField name="Engagement Rate" numFmtId="9">
      <sharedItems containsSemiMixedTypes="0" containsString="0" containsNumber="1" minValue="5.2551586421122697E-2" maxValue="1.8129251700680271"/>
    </cacheField>
    <cacheField name="Hashtags 1" numFmtId="49">
      <sharedItems count="3">
        <s v="#TeslaCoInnovation"/>
        <s v="#EVRevolution"/>
        <s v="#FutureOfDriving"/>
      </sharedItems>
    </cacheField>
    <cacheField name="Hashtags 2" numFmtId="0">
      <sharedItems containsBlank="1" count="6">
        <m/>
        <s v="#AnytimeIsTeslaTime"/>
        <s v="#TeslaCoInnovation"/>
        <s v="#SmoothLikeNitroTesla"/>
        <s v="#EVRevolution"/>
        <s v="#BetterWithTesla"/>
      </sharedItems>
    </cacheField>
    <cacheField name="Hashtags 3" numFmtId="0">
      <sharedItems containsBlank="1" count="4">
        <m/>
        <s v="#AnytimeIsTeslaTime"/>
        <s v="#EVRevolution"/>
        <s v="#BetterWithTesla"/>
      </sharedItems>
    </cacheField>
    <cacheField name="Campaign_Name" numFmtId="0">
      <sharedItems containsBlank="1"/>
    </cacheField>
  </cacheFields>
  <extLst>
    <ext xmlns:x14="http://schemas.microsoft.com/office/spreadsheetml/2009/9/main" uri="{725AE2AE-9491-48be-B2B4-4EB974FC3084}">
      <x14:pivotCacheDefinition pivotCacheId="2045677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34"/>
    <s v="Facebook"/>
    <s v="2024-06-01"/>
    <s v="Text"/>
    <s v="Check out our latest text on facebook!"/>
    <n v="1272"/>
    <n v="465"/>
    <n v="99"/>
    <n v="24168"/>
    <n v="23719"/>
    <n v="42"/>
    <s v="#TeslaCoInnovation"/>
    <m/>
    <m/>
    <x v="0"/>
  </r>
  <r>
    <s v="P202"/>
    <s v="Facebook"/>
    <s v="2024-06-02"/>
    <s v="Image"/>
    <s v="Check out our latest image on facebook!"/>
    <n v="1871"/>
    <n v="252"/>
    <n v="335"/>
    <n v="29936"/>
    <n v="29576"/>
    <n v="288"/>
    <s v="#EVRevolution"/>
    <m/>
    <m/>
    <x v="1"/>
  </r>
  <r>
    <s v="P220"/>
    <s v="Instagram"/>
    <s v="2024-06-02"/>
    <s v="Story"/>
    <s v="Check out our latest story on instagram!"/>
    <n v="84"/>
    <n v="897"/>
    <n v="85"/>
    <n v="588"/>
    <n v="8"/>
    <n v="12"/>
    <s v="#EVRevolution"/>
    <m/>
    <m/>
    <x v="0"/>
  </r>
  <r>
    <s v="P090"/>
    <s v="Instagram"/>
    <s v="2024-06-03"/>
    <s v="Image"/>
    <s v="Check out our latest image on instagram!"/>
    <n v="3861"/>
    <n v="960"/>
    <n v="101"/>
    <n v="69498"/>
    <n v="68817"/>
    <n v="297"/>
    <s v="#TeslaCoInnovation"/>
    <m/>
    <m/>
    <x v="2"/>
  </r>
  <r>
    <s v="P146"/>
    <s v="YouTube"/>
    <s v="2024-06-05"/>
    <s v="Reel"/>
    <s v="Check out our latest reel on youtube!"/>
    <n v="3065"/>
    <n v="772"/>
    <n v="142"/>
    <n v="18390"/>
    <n v="17875"/>
    <n v="200"/>
    <s v="#EVRevolution"/>
    <s v="#AnytimeIsTeslaTime"/>
    <m/>
    <x v="0"/>
  </r>
  <r>
    <s v="P087"/>
    <s v="Twitter"/>
    <s v="2024-06-06"/>
    <s v="Video"/>
    <s v="Check out our latest video on twitter!"/>
    <n v="1436"/>
    <n v="765"/>
    <n v="496"/>
    <n v="12924"/>
    <n v="12701"/>
    <n v="197"/>
    <s v="#FutureOfDriving"/>
    <m/>
    <m/>
    <x v="1"/>
  </r>
  <r>
    <s v="P188"/>
    <s v="YouTube"/>
    <s v="2024-06-06"/>
    <s v="Reel"/>
    <s v="Check out our latest reel on youtube!"/>
    <n v="2728"/>
    <n v="533"/>
    <n v="215"/>
    <n v="40920"/>
    <n v="40816"/>
    <n v="137"/>
    <s v="#FutureOfDriving"/>
    <m/>
    <m/>
    <x v="3"/>
  </r>
  <r>
    <s v="P276"/>
    <s v="Twitter"/>
    <s v="2024-06-07"/>
    <s v="Carousel"/>
    <s v="Check out our latest carousel on twitter!"/>
    <n v="1556"/>
    <n v="195"/>
    <n v="131"/>
    <n v="9336"/>
    <n v="8875"/>
    <n v="137"/>
    <s v="#TeslaCoInnovation"/>
    <m/>
    <m/>
    <x v="3"/>
  </r>
  <r>
    <s v="P049"/>
    <s v="Twitter"/>
    <s v="2024-06-10"/>
    <s v="Story"/>
    <s v="Check out our latest story on twitter!"/>
    <n v="2164"/>
    <n v="549"/>
    <n v="274"/>
    <n v="28132"/>
    <n v="27361"/>
    <n v="177"/>
    <s v="#TeslaCoInnovation"/>
    <m/>
    <m/>
    <x v="2"/>
  </r>
  <r>
    <s v="P098"/>
    <s v="Twitter"/>
    <s v="2024-06-10"/>
    <s v="Story"/>
    <s v="Check out our latest story on twitter!"/>
    <n v="1575"/>
    <n v="771"/>
    <n v="486"/>
    <n v="25200"/>
    <n v="24826"/>
    <n v="17"/>
    <s v="#FutureOfDriving"/>
    <m/>
    <m/>
    <x v="4"/>
  </r>
  <r>
    <s v="P103"/>
    <s v="Facebook"/>
    <s v="2024-06-11"/>
    <s v="Image"/>
    <s v="Check out our latest image on facebook!"/>
    <n v="3689"/>
    <n v="48"/>
    <n v="306"/>
    <n v="40579"/>
    <n v="39588"/>
    <n v="212"/>
    <s v="#EVRevolution"/>
    <m/>
    <m/>
    <x v="3"/>
  </r>
  <r>
    <s v="P218"/>
    <s v="Facebook"/>
    <s v="2024-06-11"/>
    <s v="Carousel"/>
    <s v="Check out our latest carousel on facebook!"/>
    <n v="1869"/>
    <n v="453"/>
    <n v="490"/>
    <n v="14952"/>
    <n v="14309"/>
    <n v="275"/>
    <s v="#TeslaCoInnovation"/>
    <m/>
    <m/>
    <x v="2"/>
  </r>
  <r>
    <s v="P227"/>
    <s v="Instagram"/>
    <s v="2024-06-12"/>
    <s v="Text"/>
    <s v="Check out our latest text on instagram!"/>
    <n v="246"/>
    <n v="149"/>
    <n v="130"/>
    <n v="4674"/>
    <n v="4390"/>
    <n v="217"/>
    <s v="#FutureOfDriving"/>
    <m/>
    <m/>
    <x v="1"/>
  </r>
  <r>
    <s v="P051"/>
    <s v="Facebook"/>
    <s v="2024-06-13"/>
    <s v="Carousel"/>
    <s v="Check out our latest carousel on facebook!"/>
    <n v="2200"/>
    <n v="504"/>
    <n v="239"/>
    <n v="37400"/>
    <n v="36938"/>
    <n v="225"/>
    <s v="#FutureOfDriving"/>
    <m/>
    <m/>
    <x v="3"/>
  </r>
  <r>
    <s v="P080"/>
    <s v="Instagram"/>
    <s v="2024-06-13"/>
    <s v="Story"/>
    <s v="Check out our latest story on instagram!"/>
    <n v="2103"/>
    <n v="892"/>
    <n v="103"/>
    <n v="39957"/>
    <n v="39466"/>
    <n v="28"/>
    <s v="#FutureOfDriving"/>
    <m/>
    <m/>
    <x v="0"/>
  </r>
  <r>
    <s v="P105"/>
    <s v="Instagram"/>
    <s v="2024-06-14"/>
    <s v="Carousel"/>
    <s v="Check out our latest carousel on instagram!"/>
    <n v="498"/>
    <n v="38"/>
    <n v="42"/>
    <n v="4482"/>
    <n v="3647"/>
    <n v="32"/>
    <s v="#FutureOfDriving"/>
    <m/>
    <m/>
    <x v="5"/>
  </r>
  <r>
    <s v="P123"/>
    <s v="Instagram"/>
    <s v="2024-06-14"/>
    <s v="Story"/>
    <s v="Check out our latest story on instagram!"/>
    <n v="4363"/>
    <n v="649"/>
    <n v="140"/>
    <n v="21815"/>
    <n v="21481"/>
    <n v="157"/>
    <s v="#EVRevolution"/>
    <m/>
    <m/>
    <x v="5"/>
  </r>
  <r>
    <s v="P149"/>
    <s v="Twitter"/>
    <s v="2024-06-16"/>
    <s v="Video"/>
    <s v="Check out our latest video on twitter!"/>
    <n v="1702"/>
    <n v="750"/>
    <n v="179"/>
    <n v="34040"/>
    <n v="33174"/>
    <n v="76"/>
    <s v="#EVRevolution"/>
    <m/>
    <m/>
    <x v="5"/>
  </r>
  <r>
    <s v="P055"/>
    <s v="Facebook"/>
    <s v="2024-06-17"/>
    <s v="Image"/>
    <s v="Check out our latest image on facebook!"/>
    <n v="1226"/>
    <n v="119"/>
    <n v="7"/>
    <n v="14712"/>
    <n v="14049"/>
    <n v="123"/>
    <s v="#EVRevolution"/>
    <m/>
    <m/>
    <x v="2"/>
  </r>
  <r>
    <s v="P078"/>
    <s v="Twitter"/>
    <s v="2024-06-17"/>
    <s v="Image"/>
    <s v="Check out our latest image on twitter!"/>
    <n v="954"/>
    <n v="324"/>
    <n v="288"/>
    <n v="19080"/>
    <n v="18859"/>
    <n v="21"/>
    <s v="#FutureOfDriving"/>
    <m/>
    <m/>
    <x v="2"/>
  </r>
  <r>
    <s v="P294"/>
    <s v="Facebook"/>
    <s v="2024-06-19"/>
    <s v="Carousel"/>
    <s v="Check out our latest carousel on facebook!"/>
    <n v="4731"/>
    <n v="173"/>
    <n v="276"/>
    <n v="28386"/>
    <n v="28185"/>
    <n v="89"/>
    <s v="#EVRevolution"/>
    <m/>
    <m/>
    <x v="1"/>
  </r>
  <r>
    <s v="P176"/>
    <s v="Facebook"/>
    <s v="2024-06-20"/>
    <s v="Video"/>
    <s v="Check out our latest video on facebook!"/>
    <n v="3798"/>
    <n v="31"/>
    <n v="279"/>
    <n v="75960"/>
    <n v="75813"/>
    <n v="266"/>
    <s v="#TeslaCoInnovation"/>
    <m/>
    <m/>
    <x v="5"/>
  </r>
  <r>
    <s v="P225"/>
    <s v="Twitter"/>
    <s v="2024-06-20"/>
    <s v="Carousel"/>
    <s v="Check out our latest carousel on twitter!"/>
    <n v="4672"/>
    <n v="325"/>
    <n v="32"/>
    <n v="88768"/>
    <n v="87833"/>
    <n v="118"/>
    <s v="#EVRevolution"/>
    <m/>
    <m/>
    <x v="0"/>
  </r>
  <r>
    <s v="P107"/>
    <s v="YouTube"/>
    <s v="2024-06-21"/>
    <s v="Image"/>
    <s v="Check out our latest image on youtube!"/>
    <n v="4832"/>
    <n v="893"/>
    <n v="10"/>
    <n v="91808"/>
    <n v="91296"/>
    <n v="182"/>
    <s v="#TeslaCoInnovation"/>
    <m/>
    <m/>
    <x v="0"/>
  </r>
  <r>
    <s v="P059"/>
    <s v="Instagram"/>
    <s v="2024-06-22"/>
    <s v="Text"/>
    <s v="Check out our latest text on instagram!"/>
    <n v="2180"/>
    <n v="263"/>
    <n v="387"/>
    <n v="30520"/>
    <n v="30059"/>
    <n v="174"/>
    <s v="#EVRevolution"/>
    <m/>
    <m/>
    <x v="0"/>
  </r>
  <r>
    <s v="P174"/>
    <s v="Facebook"/>
    <s v="2024-06-22"/>
    <s v="Text"/>
    <s v="Check out our latest text on facebook!"/>
    <n v="3828"/>
    <n v="148"/>
    <n v="253"/>
    <n v="30624"/>
    <n v="30229"/>
    <n v="235"/>
    <s v="#EVRevolution"/>
    <m/>
    <m/>
    <x v="0"/>
  </r>
  <r>
    <s v="P250"/>
    <s v="Facebook"/>
    <s v="2024-06-22"/>
    <s v="Reel"/>
    <s v="Check out our latest reel on facebook!"/>
    <n v="3813"/>
    <n v="935"/>
    <n v="274"/>
    <n v="68634"/>
    <n v="68488"/>
    <n v="251"/>
    <s v="#FutureOfDriving"/>
    <m/>
    <m/>
    <x v="0"/>
  </r>
  <r>
    <s v="P019"/>
    <s v="Instagram"/>
    <s v="2024-06-23"/>
    <s v="Video"/>
    <s v="Check out our latest video on instagram!"/>
    <n v="1071"/>
    <n v="519"/>
    <n v="22"/>
    <n v="16065"/>
    <n v="15865"/>
    <n v="103"/>
    <s v="#TeslaCoInnovation"/>
    <m/>
    <m/>
    <x v="2"/>
  </r>
  <r>
    <s v="P007"/>
    <s v="Twitter"/>
    <s v="2024-06-24"/>
    <s v="Carousel"/>
    <s v="Check out our latest carousel on twitter!"/>
    <n v="3860"/>
    <n v="201"/>
    <n v="279"/>
    <n v="61760"/>
    <n v="61660"/>
    <n v="235"/>
    <s v="#TeslaCoInnovation"/>
    <m/>
    <m/>
    <x v="3"/>
  </r>
  <r>
    <s v="P206"/>
    <s v="Twitter"/>
    <s v="2024-06-24"/>
    <s v="Text"/>
    <s v="Check out our latest text on twitter!"/>
    <n v="941"/>
    <n v="121"/>
    <n v="458"/>
    <n v="14115"/>
    <n v="13838"/>
    <n v="87"/>
    <s v="#EVRevolution"/>
    <m/>
    <m/>
    <x v="5"/>
  </r>
  <r>
    <s v="P208"/>
    <s v="YouTube"/>
    <s v="2024-06-24"/>
    <s v="Video"/>
    <s v="Check out our latest video on youtube!"/>
    <n v="2949"/>
    <n v="476"/>
    <n v="403"/>
    <n v="44235"/>
    <n v="43705"/>
    <n v="135"/>
    <s v="#TeslaCoInnovation"/>
    <m/>
    <m/>
    <x v="3"/>
  </r>
  <r>
    <s v="P005"/>
    <s v="YouTube"/>
    <s v="2024-06-26"/>
    <s v="Reel"/>
    <s v="Check out our latest reel on youtube!"/>
    <n v="3557"/>
    <n v="687"/>
    <n v="424"/>
    <n v="71140"/>
    <n v="70701"/>
    <n v="224"/>
    <s v="#EVRevolution"/>
    <s v="#TeslaCoInnovation"/>
    <m/>
    <x v="5"/>
  </r>
  <r>
    <s v="P228"/>
    <s v="Instagram"/>
    <s v="2024-07-01"/>
    <s v="Story"/>
    <s v="Check out our latest story on instagram!"/>
    <n v="4808"/>
    <n v="772"/>
    <n v="320"/>
    <n v="72120"/>
    <n v="71696"/>
    <n v="195"/>
    <s v="#EVRevolution"/>
    <m/>
    <m/>
    <x v="5"/>
  </r>
  <r>
    <s v="P099"/>
    <s v="YouTube"/>
    <s v="2024-07-02"/>
    <s v="Carousel"/>
    <s v="Check out our latest carousel on youtube!"/>
    <n v="4171"/>
    <n v="548"/>
    <n v="86"/>
    <n v="66736"/>
    <n v="66634"/>
    <n v="173"/>
    <s v="#FutureOfDriving"/>
    <m/>
    <m/>
    <x v="1"/>
  </r>
  <r>
    <s v="P050"/>
    <s v="YouTube"/>
    <s v="2024-07-03"/>
    <s v="Story"/>
    <s v="Check out our latest story on youtube!"/>
    <n v="2754"/>
    <n v="130"/>
    <n v="90"/>
    <n v="22032"/>
    <n v="21288"/>
    <n v="112"/>
    <s v="#TeslaCoInnovation"/>
    <m/>
    <m/>
    <x v="1"/>
  </r>
  <r>
    <s v="P229"/>
    <s v="Instagram"/>
    <s v="2024-07-03"/>
    <s v="Carousel"/>
    <s v="Check out our latest carousel on instagram!"/>
    <n v="4799"/>
    <n v="694"/>
    <n v="289"/>
    <n v="43191"/>
    <n v="42228"/>
    <n v="118"/>
    <s v="#TeslaCoInnovation"/>
    <m/>
    <m/>
    <x v="0"/>
  </r>
  <r>
    <s v="P088"/>
    <s v="Facebook"/>
    <s v="2024-07-07"/>
    <s v="Story"/>
    <s v="Check out our latest story on facebook!"/>
    <n v="302"/>
    <n v="47"/>
    <n v="430"/>
    <n v="5738"/>
    <n v="4890"/>
    <n v="25"/>
    <s v="#TeslaCoInnovation"/>
    <m/>
    <m/>
    <x v="2"/>
  </r>
  <r>
    <s v="P242"/>
    <s v="Facebook"/>
    <s v="2024-07-07"/>
    <s v="Reel"/>
    <s v="Check out our latest reel on facebook!"/>
    <n v="4767"/>
    <n v="190"/>
    <n v="340"/>
    <n v="28602"/>
    <n v="28044"/>
    <n v="210"/>
    <s v="#EVRevolution"/>
    <m/>
    <m/>
    <x v="1"/>
  </r>
  <r>
    <s v="P177"/>
    <s v="Instagram"/>
    <s v="2024-07-10"/>
    <s v="Carousel"/>
    <s v="Check out our latest carousel on instagram!"/>
    <n v="3099"/>
    <n v="694"/>
    <n v="171"/>
    <n v="43386"/>
    <n v="42921"/>
    <n v="52"/>
    <s v="#TeslaCoInnovation"/>
    <m/>
    <m/>
    <x v="1"/>
  </r>
  <r>
    <s v="P136"/>
    <s v="Instagram"/>
    <s v="2024-07-11"/>
    <s v="Text"/>
    <s v="Check out our latest text on instagram!"/>
    <n v="3134"/>
    <n v="888"/>
    <n v="444"/>
    <n v="21938"/>
    <n v="21337"/>
    <n v="130"/>
    <s v="#EVRevolution"/>
    <m/>
    <m/>
    <x v="2"/>
  </r>
  <r>
    <s v="P008"/>
    <s v="YouTube"/>
    <s v="2024-07-13"/>
    <s v="Image"/>
    <s v="Check out our latest image on youtube!"/>
    <n v="3929"/>
    <n v="262"/>
    <n v="278"/>
    <n v="43219"/>
    <n v="42841"/>
    <n v="39"/>
    <s v="#EVRevolution"/>
    <m/>
    <m/>
    <x v="2"/>
  </r>
  <r>
    <s v="P140"/>
    <s v="Facebook"/>
    <s v="2024-07-15"/>
    <s v="Image"/>
    <s v="Check out our latest image on facebook!"/>
    <n v="2291"/>
    <n v="78"/>
    <n v="485"/>
    <n v="18328"/>
    <n v="18101"/>
    <n v="10"/>
    <s v="#EVRevolution"/>
    <s v="#SmoothLikeNitroTesla"/>
    <m/>
    <x v="3"/>
  </r>
  <r>
    <s v="P179"/>
    <s v="Facebook"/>
    <s v="2024-07-15"/>
    <s v="Carousel"/>
    <s v="Check out our latest carousel on facebook!"/>
    <n v="3796"/>
    <n v="667"/>
    <n v="395"/>
    <n v="64532"/>
    <n v="63550"/>
    <n v="292"/>
    <s v="#TeslaCoInnovation"/>
    <m/>
    <m/>
    <x v="0"/>
  </r>
  <r>
    <s v="P230"/>
    <s v="Facebook"/>
    <s v="2024-07-15"/>
    <s v="Reel"/>
    <s v="Check out our latest reel on facebook!"/>
    <n v="3663"/>
    <n v="17"/>
    <n v="295"/>
    <n v="51282"/>
    <n v="50567"/>
    <n v="84"/>
    <s v="#EVRevolution"/>
    <m/>
    <m/>
    <x v="1"/>
  </r>
  <r>
    <s v="P238"/>
    <s v="Twitter"/>
    <s v="2024-07-16"/>
    <s v="Text"/>
    <s v="Check out our latest text on twitter!"/>
    <n v="4725"/>
    <n v="400"/>
    <n v="362"/>
    <n v="75600"/>
    <n v="74927"/>
    <n v="43"/>
    <s v="#FutureOfDriving"/>
    <m/>
    <m/>
    <x v="2"/>
  </r>
  <r>
    <s v="P211"/>
    <s v="Twitter"/>
    <s v="2024-07-18"/>
    <s v="Carousel"/>
    <s v="Check out our latest carousel on twitter!"/>
    <n v="2120"/>
    <n v="38"/>
    <n v="212"/>
    <n v="12720"/>
    <n v="12564"/>
    <n v="21"/>
    <s v="#FutureOfDriving"/>
    <m/>
    <m/>
    <x v="2"/>
  </r>
  <r>
    <s v="P249"/>
    <s v="Twitter"/>
    <s v="2024-07-18"/>
    <s v="Image"/>
    <s v="Check out our latest image on twitter!"/>
    <n v="827"/>
    <n v="77"/>
    <n v="402"/>
    <n v="14886"/>
    <n v="14129"/>
    <n v="254"/>
    <s v="#EVRevolution"/>
    <m/>
    <m/>
    <x v="3"/>
  </r>
  <r>
    <s v="P285"/>
    <s v="YouTube"/>
    <s v="2024-07-18"/>
    <s v="Text"/>
    <s v="Check out our latest text on youtube!"/>
    <n v="4021"/>
    <n v="794"/>
    <n v="77"/>
    <n v="36189"/>
    <n v="35505"/>
    <n v="174"/>
    <s v="#EVRevolution"/>
    <m/>
    <m/>
    <x v="0"/>
  </r>
  <r>
    <s v="P012"/>
    <s v="Facebook"/>
    <s v="2024-07-21"/>
    <s v="Reel"/>
    <s v="Check out our latest reel on facebook!"/>
    <n v="1946"/>
    <n v="686"/>
    <n v="377"/>
    <n v="23352"/>
    <n v="22982"/>
    <n v="213"/>
    <s v="#FutureOfDriving"/>
    <m/>
    <m/>
    <x v="1"/>
  </r>
  <r>
    <s v="P129"/>
    <s v="Twitter"/>
    <s v="2024-07-21"/>
    <s v="Text"/>
    <s v="Check out our latest text on twitter!"/>
    <n v="2147"/>
    <n v="430"/>
    <n v="393"/>
    <n v="17176"/>
    <n v="16483"/>
    <n v="170"/>
    <s v="#TeslaCoInnovation"/>
    <m/>
    <m/>
    <x v="0"/>
  </r>
  <r>
    <s v="P157"/>
    <s v="YouTube"/>
    <s v="2024-07-23"/>
    <s v="Story"/>
    <s v="Check out our latest story on youtube!"/>
    <n v="4775"/>
    <n v="173"/>
    <n v="206"/>
    <n v="47750"/>
    <n v="47544"/>
    <n v="187"/>
    <s v="#FutureOfDriving"/>
    <m/>
    <m/>
    <x v="3"/>
  </r>
  <r>
    <s v="P082"/>
    <s v="Instagram"/>
    <s v="2024-07-24"/>
    <s v="Image"/>
    <s v="Check out our latest image on instagram!"/>
    <n v="725"/>
    <n v="88"/>
    <n v="428"/>
    <n v="14500"/>
    <n v="13637"/>
    <n v="200"/>
    <s v="#FutureOfDriving"/>
    <s v="#TeslaCoInnovation"/>
    <s v="#AnytimeIsTeslaTime"/>
    <x v="1"/>
  </r>
  <r>
    <s v="P066"/>
    <s v="Twitter"/>
    <s v="2024-07-26"/>
    <s v="Carousel"/>
    <s v="Check out our latest carousel on twitter!"/>
    <n v="432"/>
    <n v="171"/>
    <n v="280"/>
    <n v="3024"/>
    <n v="2285"/>
    <n v="184"/>
    <s v="#EVRevolution"/>
    <m/>
    <m/>
    <x v="5"/>
  </r>
  <r>
    <s v="P151"/>
    <s v="Instagram"/>
    <s v="2024-07-26"/>
    <s v="Image"/>
    <s v="Check out our latest image on instagram!"/>
    <n v="3559"/>
    <n v="59"/>
    <n v="289"/>
    <n v="35590"/>
    <n v="35105"/>
    <n v="122"/>
    <s v="#EVRevolution"/>
    <m/>
    <m/>
    <x v="5"/>
  </r>
  <r>
    <s v="P184"/>
    <s v="Twitter"/>
    <s v="2024-07-28"/>
    <s v="Image"/>
    <s v="Check out our latest image on twitter!"/>
    <n v="3215"/>
    <n v="960"/>
    <n v="202"/>
    <n v="32150"/>
    <n v="31404"/>
    <n v="251"/>
    <s v="#EVRevolution"/>
    <m/>
    <m/>
    <x v="5"/>
  </r>
  <r>
    <s v="P110"/>
    <s v="Instagram"/>
    <s v="2024-07-29"/>
    <s v="Reel"/>
    <s v="Check out our latest reel on instagram!"/>
    <n v="3523"/>
    <n v="753"/>
    <n v="482"/>
    <n v="38753"/>
    <n v="38579"/>
    <n v="270"/>
    <s v="#EVRevolution"/>
    <m/>
    <m/>
    <x v="3"/>
  </r>
  <r>
    <s v="P121"/>
    <s v="Instagram"/>
    <s v="2024-07-29"/>
    <s v="Story"/>
    <s v="Check out our latest story on instagram!"/>
    <n v="498"/>
    <n v="701"/>
    <n v="412"/>
    <n v="4980"/>
    <n v="4185"/>
    <n v="185"/>
    <s v="#FutureOfDriving"/>
    <m/>
    <m/>
    <x v="0"/>
  </r>
  <r>
    <s v="P216"/>
    <s v="YouTube"/>
    <s v="2024-07-29"/>
    <s v="Story"/>
    <s v="Check out our latest story on youtube!"/>
    <n v="1509"/>
    <n v="88"/>
    <n v="163"/>
    <n v="30180"/>
    <n v="29689"/>
    <n v="119"/>
    <s v="#EVRevolution"/>
    <m/>
    <m/>
    <x v="3"/>
  </r>
  <r>
    <s v="P032"/>
    <s v="Twitter"/>
    <s v="2024-07-31"/>
    <s v="Carousel"/>
    <s v="Check out our latest carousel on twitter!"/>
    <n v="2278"/>
    <n v="10"/>
    <n v="321"/>
    <n v="13668"/>
    <n v="12676"/>
    <n v="275"/>
    <s v="#EVRevolution"/>
    <m/>
    <m/>
    <x v="5"/>
  </r>
  <r>
    <s v="P063"/>
    <s v="Twitter"/>
    <s v="2024-07-31"/>
    <s v="Carousel"/>
    <s v="Check out our latest carousel on twitter!"/>
    <n v="4507"/>
    <n v="217"/>
    <n v="13"/>
    <n v="90140"/>
    <n v="89591"/>
    <n v="125"/>
    <s v="#FutureOfDriving"/>
    <m/>
    <m/>
    <x v="1"/>
  </r>
  <r>
    <s v="P137"/>
    <s v="Facebook"/>
    <s v="2024-07-31"/>
    <s v="Video"/>
    <s v="Check out our latest video on facebook!"/>
    <n v="3008"/>
    <n v="94"/>
    <n v="37"/>
    <n v="15040"/>
    <n v="14639"/>
    <n v="277"/>
    <s v="#FutureOfDriving"/>
    <m/>
    <m/>
    <x v="0"/>
  </r>
  <r>
    <s v="P182"/>
    <s v="Facebook"/>
    <s v="2024-07-31"/>
    <s v="Image"/>
    <s v="Check out our latest image on facebook!"/>
    <n v="4689"/>
    <n v="134"/>
    <n v="403"/>
    <n v="51579"/>
    <n v="50924"/>
    <n v="173"/>
    <s v="#TeslaCoInnovation"/>
    <m/>
    <m/>
    <x v="2"/>
  </r>
  <r>
    <s v="P075"/>
    <s v="Instagram"/>
    <s v="2024-08-01"/>
    <s v="Reel"/>
    <s v="Check out our latest reel on instagram!"/>
    <n v="1674"/>
    <n v="929"/>
    <n v="37"/>
    <n v="21762"/>
    <n v="20998"/>
    <n v="255"/>
    <s v="#TeslaCoInnovation"/>
    <m/>
    <m/>
    <x v="2"/>
  </r>
  <r>
    <s v="P253"/>
    <s v="Twitter"/>
    <s v="2024-08-03"/>
    <s v="Reel"/>
    <s v="Check out our latest reel on twitter!"/>
    <n v="3791"/>
    <n v="593"/>
    <n v="228"/>
    <n v="53074"/>
    <n v="52613"/>
    <n v="205"/>
    <s v="#EVRevolution"/>
    <m/>
    <m/>
    <x v="0"/>
  </r>
  <r>
    <s v="P258"/>
    <s v="Instagram"/>
    <s v="2024-08-05"/>
    <s v="Story"/>
    <s v="Check out our latest story on instagram!"/>
    <n v="3601"/>
    <n v="695"/>
    <n v="75"/>
    <n v="21606"/>
    <n v="21454"/>
    <n v="172"/>
    <s v="#EVRevolution"/>
    <m/>
    <m/>
    <x v="3"/>
  </r>
  <r>
    <s v="P275"/>
    <s v="Facebook"/>
    <s v="2024-08-05"/>
    <s v="Reel"/>
    <s v="Check out our latest reel on facebook!"/>
    <n v="1741"/>
    <n v="831"/>
    <n v="345"/>
    <n v="17410"/>
    <n v="16844"/>
    <n v="58"/>
    <s v="#EVRevolution"/>
    <m/>
    <m/>
    <x v="1"/>
  </r>
  <r>
    <s v="P226"/>
    <s v="Instagram"/>
    <s v="2024-08-07"/>
    <s v="Carousel"/>
    <s v="Check out our latest carousel on instagram!"/>
    <n v="1741"/>
    <n v="164"/>
    <n v="318"/>
    <n v="8705"/>
    <n v="8272"/>
    <n v="121"/>
    <s v="#TeslaCoInnovation"/>
    <m/>
    <m/>
    <x v="0"/>
  </r>
  <r>
    <s v="P109"/>
    <s v="Twitter"/>
    <s v="2024-08-08"/>
    <s v="Story"/>
    <s v="Check out our latest story on twitter!"/>
    <n v="3649"/>
    <n v="215"/>
    <n v="413"/>
    <n v="25543"/>
    <n v="24963"/>
    <n v="167"/>
    <s v="#FutureOfDriving"/>
    <m/>
    <m/>
    <x v="1"/>
  </r>
  <r>
    <s v="P158"/>
    <s v="Instagram"/>
    <s v="2024-08-11"/>
    <s v="Story"/>
    <s v="Check out our latest story on instagram!"/>
    <n v="1762"/>
    <n v="405"/>
    <n v="423"/>
    <n v="22906"/>
    <n v="21925"/>
    <n v="25"/>
    <s v="#TeslaCoInnovation"/>
    <m/>
    <m/>
    <x v="5"/>
  </r>
  <r>
    <s v="P004"/>
    <s v="Instagram"/>
    <s v="2024-08-12"/>
    <s v="Story"/>
    <s v="Check out our latest story on instagram!"/>
    <n v="2404"/>
    <n v="363"/>
    <n v="138"/>
    <n v="19232"/>
    <n v="18636"/>
    <n v="128"/>
    <s v="#EVRevolution"/>
    <m/>
    <m/>
    <x v="2"/>
  </r>
  <r>
    <s v="P145"/>
    <s v="Instagram"/>
    <s v="2024-08-12"/>
    <s v="Carousel"/>
    <s v="Check out our latest carousel on instagram!"/>
    <n v="1878"/>
    <n v="62"/>
    <n v="179"/>
    <n v="37560"/>
    <n v="36874"/>
    <n v="142"/>
    <s v="#TeslaCoInnovation"/>
    <m/>
    <m/>
    <x v="2"/>
  </r>
  <r>
    <s v="P097"/>
    <s v="Instagram"/>
    <s v="2024-08-13"/>
    <s v="Image"/>
    <s v="Check out our latest image on instagram!"/>
    <n v="4739"/>
    <n v="527"/>
    <n v="135"/>
    <n v="61607"/>
    <n v="61333"/>
    <n v="36"/>
    <s v="#TeslaCoInnovation"/>
    <s v="#AnytimeIsTeslaTime"/>
    <m/>
    <x v="3"/>
  </r>
  <r>
    <s v="P172"/>
    <s v="Facebook"/>
    <s v="2024-08-14"/>
    <s v="Carousel"/>
    <s v="Check out our latest carousel on facebook!"/>
    <n v="3073"/>
    <n v="553"/>
    <n v="174"/>
    <n v="52241"/>
    <n v="51605"/>
    <n v="246"/>
    <s v="#EVRevolution"/>
    <m/>
    <m/>
    <x v="1"/>
  </r>
  <r>
    <s v="P195"/>
    <s v="Instagram"/>
    <s v="2024-08-15"/>
    <s v="Carousel"/>
    <s v="Check out our latest carousel on instagram!"/>
    <n v="914"/>
    <n v="464"/>
    <n v="246"/>
    <n v="11882"/>
    <n v="11500"/>
    <n v="282"/>
    <s v="#FutureOfDriving"/>
    <s v="#TeslaCoInnovation"/>
    <s v="#AnytimeIsTeslaTime"/>
    <x v="2"/>
  </r>
  <r>
    <s v="P287"/>
    <s v="Instagram"/>
    <s v="2024-08-15"/>
    <s v="Reel"/>
    <s v="Check out our latest reel on instagram!"/>
    <n v="1164"/>
    <n v="616"/>
    <n v="324"/>
    <n v="6984"/>
    <n v="6636"/>
    <n v="82"/>
    <s v="#EVRevolution"/>
    <m/>
    <m/>
    <x v="5"/>
  </r>
  <r>
    <s v="P064"/>
    <s v="Facebook"/>
    <s v="2024-08-17"/>
    <s v="Image"/>
    <s v="Check out our latest image on facebook!"/>
    <n v="2878"/>
    <n v="248"/>
    <n v="416"/>
    <n v="43170"/>
    <n v="42667"/>
    <n v="75"/>
    <s v="#FutureOfDriving"/>
    <m/>
    <m/>
    <x v="1"/>
  </r>
  <r>
    <s v="P018"/>
    <s v="Instagram"/>
    <s v="2024-08-19"/>
    <s v="Reel"/>
    <s v="Check out our latest reel on instagram!"/>
    <n v="3000"/>
    <n v="382"/>
    <n v="325"/>
    <n v="36000"/>
    <n v="35819"/>
    <n v="19"/>
    <s v="#FutureOfDriving"/>
    <m/>
    <m/>
    <x v="5"/>
  </r>
  <r>
    <s v="P236"/>
    <s v="Facebook"/>
    <s v="2024-08-19"/>
    <s v="Text"/>
    <s v="Check out our latest text on facebook!"/>
    <n v="1257"/>
    <n v="19"/>
    <n v="351"/>
    <n v="12570"/>
    <n v="11660"/>
    <n v="194"/>
    <s v="#FutureOfDriving"/>
    <s v="#AnytimeIsTeslaTime"/>
    <s v="#EVRevolution"/>
    <x v="3"/>
  </r>
  <r>
    <s v="P263"/>
    <s v="Instagram"/>
    <s v="2024-08-20"/>
    <s v="Reel"/>
    <s v="Check out our latest reel on instagram!"/>
    <n v="2603"/>
    <n v="690"/>
    <n v="205"/>
    <n v="13015"/>
    <n v="12130"/>
    <n v="20"/>
    <s v="#FutureOfDriving"/>
    <m/>
    <m/>
    <x v="3"/>
  </r>
  <r>
    <s v="P033"/>
    <s v="Facebook"/>
    <s v="2024-08-21"/>
    <s v="Image"/>
    <s v="Check out our latest image on facebook!"/>
    <n v="1407"/>
    <n v="400"/>
    <n v="351"/>
    <n v="16884"/>
    <n v="15954"/>
    <n v="113"/>
    <s v="#TeslaCoInnovation"/>
    <m/>
    <m/>
    <x v="5"/>
  </r>
  <r>
    <s v="P150"/>
    <s v="YouTube"/>
    <s v="2024-08-22"/>
    <s v="Carousel"/>
    <s v="Check out our latest carousel on youtube!"/>
    <n v="4295"/>
    <n v="853"/>
    <n v="325"/>
    <n v="85900"/>
    <n v="85788"/>
    <n v="290"/>
    <s v="#TeslaCoInnovation"/>
    <m/>
    <m/>
    <x v="2"/>
  </r>
  <r>
    <s v="P160"/>
    <s v="Twitter"/>
    <s v="2024-08-24"/>
    <s v="Video"/>
    <s v="Check out our latest video on twitter!"/>
    <n v="1082"/>
    <n v="209"/>
    <n v="484"/>
    <n v="19476"/>
    <n v="18654"/>
    <n v="20"/>
    <s v="#TeslaCoInnovation"/>
    <m/>
    <m/>
    <x v="0"/>
  </r>
  <r>
    <s v="P186"/>
    <s v="Facebook"/>
    <s v="2024-08-24"/>
    <s v="Carousel"/>
    <s v="Check out our latest carousel on facebook!"/>
    <n v="4292"/>
    <n v="51"/>
    <n v="392"/>
    <n v="55796"/>
    <n v="54826"/>
    <n v="264"/>
    <s v="#EVRevolution"/>
    <m/>
    <m/>
    <x v="1"/>
  </r>
  <r>
    <s v="P016"/>
    <s v="Facebook"/>
    <s v="2024-08-26"/>
    <s v="Text"/>
    <s v="Check out our latest text on facebook!"/>
    <n v="3452"/>
    <n v="377"/>
    <n v="360"/>
    <n v="55232"/>
    <n v="55075"/>
    <n v="87"/>
    <s v="#FutureOfDriving"/>
    <m/>
    <m/>
    <x v="1"/>
  </r>
  <r>
    <s v="P240"/>
    <s v="Twitter"/>
    <s v="2024-08-26"/>
    <s v="Carousel"/>
    <s v="Check out our latest carousel on twitter!"/>
    <n v="929"/>
    <n v="192"/>
    <n v="322"/>
    <n v="16722"/>
    <n v="15996"/>
    <n v="145"/>
    <s v="#EVRevolution"/>
    <s v="#TeslaCoInnovation"/>
    <s v="#AnytimeIsTeslaTime"/>
    <x v="1"/>
  </r>
  <r>
    <s v="P299"/>
    <s v="Facebook"/>
    <s v="2024-08-26"/>
    <s v="Image"/>
    <s v="Check out our latest image on facebook!"/>
    <n v="2581"/>
    <n v="517"/>
    <n v="117"/>
    <n v="23229"/>
    <n v="22331"/>
    <n v="70"/>
    <s v="#FutureOfDriving"/>
    <m/>
    <m/>
    <x v="1"/>
  </r>
  <r>
    <s v="P247"/>
    <s v="Facebook"/>
    <s v="2024-08-27"/>
    <s v="Reel"/>
    <s v="Check out our latest reel on facebook!"/>
    <n v="3960"/>
    <n v="266"/>
    <n v="8"/>
    <n v="35640"/>
    <n v="34850"/>
    <n v="208"/>
    <s v="#FutureOfDriving"/>
    <s v="#EVRevolution"/>
    <s v="#BetterWithTesla"/>
    <x v="0"/>
  </r>
  <r>
    <s v="P009"/>
    <s v="Facebook"/>
    <s v="2024-08-30"/>
    <s v="Text"/>
    <s v="Check out our latest text on facebook!"/>
    <n v="3784"/>
    <n v="808"/>
    <n v="404"/>
    <n v="56760"/>
    <n v="56343"/>
    <n v="131"/>
    <s v="#TeslaCoInnovation"/>
    <m/>
    <m/>
    <x v="3"/>
  </r>
  <r>
    <s v="P141"/>
    <s v="Twitter"/>
    <s v="2024-08-31"/>
    <s v="Image"/>
    <s v="Check out our latest image on twitter!"/>
    <n v="3170"/>
    <n v="857"/>
    <n v="379"/>
    <n v="19020"/>
    <n v="18559"/>
    <n v="240"/>
    <s v="#FutureOfDriving"/>
    <m/>
    <m/>
    <x v="0"/>
  </r>
  <r>
    <s v="P300"/>
    <s v="Twitter"/>
    <s v="2024-08-31"/>
    <s v="Carousel"/>
    <s v="Check out our latest carousel on twitter!"/>
    <n v="4494"/>
    <n v="717"/>
    <n v="45"/>
    <n v="62916"/>
    <n v="62688"/>
    <n v="191"/>
    <s v="#TeslaCoInnovation"/>
    <s v="#EVRevolution"/>
    <s v="#BetterWithTesla"/>
    <x v="5"/>
  </r>
  <r>
    <s v="P071"/>
    <s v="YouTube"/>
    <s v="2024-09-02"/>
    <s v="Carousel"/>
    <s v="Check out our latest carousel on youtube!"/>
    <n v="2551"/>
    <n v="915"/>
    <n v="205"/>
    <n v="30612"/>
    <n v="30360"/>
    <n v="227"/>
    <s v="#TeslaCoInnovation"/>
    <m/>
    <m/>
    <x v="3"/>
  </r>
  <r>
    <s v="P279"/>
    <s v="YouTube"/>
    <s v="2024-09-02"/>
    <s v="Image"/>
    <s v="Check out our latest image on youtube!"/>
    <n v="4905"/>
    <n v="845"/>
    <n v="129"/>
    <n v="98100"/>
    <n v="97772"/>
    <n v="279"/>
    <s v="#TeslaCoInnovation"/>
    <m/>
    <m/>
    <x v="3"/>
  </r>
  <r>
    <s v="P061"/>
    <s v="Twitter"/>
    <s v="2024-09-05"/>
    <s v="Video"/>
    <s v="Check out our latest video on twitter!"/>
    <n v="4886"/>
    <n v="983"/>
    <n v="409"/>
    <n v="43974"/>
    <n v="43239"/>
    <n v="65"/>
    <s v="#TeslaCoInnovation"/>
    <m/>
    <m/>
    <x v="5"/>
  </r>
  <r>
    <s v="P125"/>
    <s v="Twitter"/>
    <s v="2024-09-08"/>
    <s v="Carousel"/>
    <s v="Check out our latest carousel on twitter!"/>
    <n v="3811"/>
    <n v="866"/>
    <n v="216"/>
    <n v="34299"/>
    <n v="34088"/>
    <n v="233"/>
    <s v="#TeslaCoInnovation"/>
    <m/>
    <m/>
    <x v="2"/>
  </r>
  <r>
    <s v="P020"/>
    <s v="Instagram"/>
    <s v="2024-09-09"/>
    <s v="Carousel"/>
    <s v="Check out our latest carousel on instagram!"/>
    <n v="4054"/>
    <n v="488"/>
    <n v="373"/>
    <n v="77026"/>
    <n v="76881"/>
    <n v="25"/>
    <s v="#TeslaCoInnovation"/>
    <m/>
    <m/>
    <x v="5"/>
  </r>
  <r>
    <s v="P096"/>
    <s v="Twitter"/>
    <s v="2024-09-10"/>
    <s v="Image"/>
    <s v="Check out our latest image on twitter!"/>
    <n v="1238"/>
    <n v="366"/>
    <n v="444"/>
    <n v="19808"/>
    <n v="19334"/>
    <n v="123"/>
    <s v="#FutureOfDriving"/>
    <m/>
    <m/>
    <x v="0"/>
  </r>
  <r>
    <s v="P193"/>
    <s v="Twitter"/>
    <s v="2024-09-11"/>
    <s v="Image"/>
    <s v="Check out our latest image on twitter!"/>
    <n v="4858"/>
    <n v="317"/>
    <n v="129"/>
    <n v="53438"/>
    <n v="52687"/>
    <n v="223"/>
    <s v="#EVRevolution"/>
    <m/>
    <m/>
    <x v="1"/>
  </r>
  <r>
    <s v="P198"/>
    <s v="Twitter"/>
    <s v="2024-09-14"/>
    <s v="Image"/>
    <s v="Check out our latest image on twitter!"/>
    <n v="1048"/>
    <n v="374"/>
    <n v="450"/>
    <n v="9432"/>
    <n v="8882"/>
    <n v="158"/>
    <s v="#TeslaCoInnovation"/>
    <m/>
    <m/>
    <x v="1"/>
  </r>
  <r>
    <s v="P027"/>
    <s v="YouTube"/>
    <s v="2024-09-17"/>
    <s v="Text"/>
    <s v="Check out our latest text on youtube!"/>
    <n v="2076"/>
    <n v="195"/>
    <n v="104"/>
    <n v="33216"/>
    <n v="32244"/>
    <n v="51"/>
    <s v="#FutureOfDriving"/>
    <m/>
    <m/>
    <x v="2"/>
  </r>
  <r>
    <s v="P284"/>
    <s v="Twitter"/>
    <s v="2024-09-17"/>
    <s v="Text"/>
    <s v="Check out our latest text on twitter!"/>
    <n v="571"/>
    <n v="190"/>
    <n v="352"/>
    <n v="9707"/>
    <n v="9418"/>
    <n v="231"/>
    <s v="#TeslaCoInnovation"/>
    <m/>
    <m/>
    <x v="2"/>
  </r>
  <r>
    <s v="P102"/>
    <s v="Twitter"/>
    <s v="2024-09-18"/>
    <s v="Reel"/>
    <s v="Check out our latest reel on twitter!"/>
    <n v="1000"/>
    <n v="978"/>
    <n v="162"/>
    <n v="6000"/>
    <n v="5221"/>
    <n v="223"/>
    <s v="#EVRevolution"/>
    <m/>
    <m/>
    <x v="3"/>
  </r>
  <r>
    <s v="P256"/>
    <s v="YouTube"/>
    <s v="2024-09-18"/>
    <s v="Carousel"/>
    <s v="Check out our latest carousel on youtube!"/>
    <n v="2143"/>
    <n v="12"/>
    <n v="204"/>
    <n v="40717"/>
    <n v="40125"/>
    <n v="248"/>
    <s v="#EVRevolution"/>
    <m/>
    <m/>
    <x v="3"/>
  </r>
  <r>
    <s v="P286"/>
    <s v="YouTube"/>
    <s v="2024-09-25"/>
    <s v="Video"/>
    <s v="Check out our latest video on youtube!"/>
    <n v="3389"/>
    <n v="344"/>
    <n v="229"/>
    <n v="20334"/>
    <n v="19443"/>
    <n v="228"/>
    <s v="#FutureOfDriving"/>
    <m/>
    <m/>
    <x v="1"/>
  </r>
  <r>
    <s v="P130"/>
    <s v="YouTube"/>
    <s v="2024-09-29"/>
    <s v="Reel"/>
    <s v="Check out our latest reel on youtube!"/>
    <n v="2936"/>
    <n v="439"/>
    <n v="44"/>
    <n v="38168"/>
    <n v="37571"/>
    <n v="22"/>
    <s v="#EVRevolution"/>
    <m/>
    <m/>
    <x v="2"/>
  </r>
  <r>
    <s v="P113"/>
    <s v="Twitter"/>
    <s v="2024-10-02"/>
    <s v="Carousel"/>
    <s v="Check out our latest carousel on twitter!"/>
    <n v="4419"/>
    <n v="236"/>
    <n v="369"/>
    <n v="44190"/>
    <n v="43582"/>
    <n v="10"/>
    <s v="#EVRevolution"/>
    <m/>
    <m/>
    <x v="5"/>
  </r>
  <r>
    <s v="P122"/>
    <s v="Instagram"/>
    <s v="2024-10-02"/>
    <s v="Text"/>
    <s v="Check out our latest text on instagram!"/>
    <n v="3432"/>
    <n v="869"/>
    <n v="123"/>
    <n v="54912"/>
    <n v="53916"/>
    <n v="264"/>
    <s v="#EVRevolution"/>
    <m/>
    <m/>
    <x v="3"/>
  </r>
  <r>
    <s v="P143"/>
    <s v="YouTube"/>
    <s v="2024-10-02"/>
    <s v="Carousel"/>
    <s v="Check out our latest carousel on youtube!"/>
    <n v="80"/>
    <n v="362"/>
    <n v="80"/>
    <n v="1040"/>
    <n v="349"/>
    <n v="117"/>
    <s v="#TeslaCoInnovation"/>
    <m/>
    <m/>
    <x v="1"/>
  </r>
  <r>
    <s v="P194"/>
    <s v="YouTube"/>
    <s v="2024-10-02"/>
    <s v="Story"/>
    <s v="Check out our latest story on youtube!"/>
    <n v="4350"/>
    <n v="771"/>
    <n v="7"/>
    <n v="60900"/>
    <n v="60592"/>
    <n v="195"/>
    <s v="#EVRevolution"/>
    <m/>
    <m/>
    <x v="5"/>
  </r>
  <r>
    <s v="P282"/>
    <s v="Instagram"/>
    <s v="2024-10-03"/>
    <s v="Video"/>
    <s v="Check out our latest video on instagram!"/>
    <n v="1488"/>
    <n v="417"/>
    <n v="168"/>
    <n v="19344"/>
    <n v="18395"/>
    <n v="30"/>
    <s v="#FutureOfDriving"/>
    <m/>
    <m/>
    <x v="1"/>
  </r>
  <r>
    <s v="P190"/>
    <s v="YouTube"/>
    <s v="2024-10-04"/>
    <s v="Text"/>
    <s v="Check out our latest text on youtube!"/>
    <n v="1963"/>
    <n v="213"/>
    <n v="19"/>
    <n v="39260"/>
    <n v="38771"/>
    <n v="145"/>
    <s v="#FutureOfDriving"/>
    <m/>
    <m/>
    <x v="0"/>
  </r>
  <r>
    <s v="P267"/>
    <s v="Twitter"/>
    <s v="2024-10-04"/>
    <s v="Reel"/>
    <s v="Check out our latest reel on twitter!"/>
    <n v="4187"/>
    <n v="66"/>
    <n v="31"/>
    <n v="66992"/>
    <n v="66614"/>
    <n v="62"/>
    <s v="#FutureOfDriving"/>
    <m/>
    <m/>
    <x v="0"/>
  </r>
  <r>
    <s v="P112"/>
    <s v="Twitter"/>
    <s v="2024-10-05"/>
    <s v="Story"/>
    <s v="Check out our latest story on twitter!"/>
    <n v="1957"/>
    <n v="877"/>
    <n v="238"/>
    <n v="17613"/>
    <n v="16865"/>
    <n v="297"/>
    <s v="#FutureOfDriving"/>
    <m/>
    <m/>
    <x v="1"/>
  </r>
  <r>
    <s v="P222"/>
    <s v="Facebook"/>
    <s v="2024-10-08"/>
    <s v="Reel"/>
    <s v="Check out our latest reel on facebook!"/>
    <n v="1814"/>
    <n v="653"/>
    <n v="363"/>
    <n v="25396"/>
    <n v="25286"/>
    <n v="39"/>
    <s v="#FutureOfDriving"/>
    <s v="#SmoothLikeNitroTesla"/>
    <m/>
    <x v="5"/>
  </r>
  <r>
    <s v="P079"/>
    <s v="Instagram"/>
    <s v="2024-10-09"/>
    <s v="Carousel"/>
    <s v="Check out our latest carousel on instagram!"/>
    <n v="3068"/>
    <n v="137"/>
    <n v="329"/>
    <n v="39884"/>
    <n v="39404"/>
    <n v="266"/>
    <s v="#EVRevolution"/>
    <m/>
    <m/>
    <x v="3"/>
  </r>
  <r>
    <s v="P154"/>
    <s v="Instagram"/>
    <s v="2024-10-09"/>
    <s v="Carousel"/>
    <s v="Check out our latest carousel on instagram!"/>
    <n v="985"/>
    <n v="932"/>
    <n v="287"/>
    <n v="6895"/>
    <n v="6757"/>
    <n v="64"/>
    <s v="#FutureOfDriving"/>
    <m/>
    <m/>
    <x v="2"/>
  </r>
  <r>
    <s v="P246"/>
    <s v="Facebook"/>
    <s v="2024-10-11"/>
    <s v="Image"/>
    <s v="Check out our latest image on facebook!"/>
    <n v="400"/>
    <n v="680"/>
    <n v="434"/>
    <n v="6400"/>
    <n v="5472"/>
    <n v="160"/>
    <s v="#FutureOfDriving"/>
    <m/>
    <m/>
    <x v="3"/>
  </r>
  <r>
    <s v="P273"/>
    <s v="YouTube"/>
    <s v="2024-10-12"/>
    <s v="Story"/>
    <s v="Check out our latest story on youtube!"/>
    <n v="3641"/>
    <n v="226"/>
    <n v="46"/>
    <n v="40051"/>
    <n v="39319"/>
    <n v="296"/>
    <s v="#EVRevolution"/>
    <m/>
    <m/>
    <x v="2"/>
  </r>
  <r>
    <s v="P083"/>
    <s v="YouTube"/>
    <s v="2024-10-15"/>
    <s v="Video"/>
    <s v="Check out our latest video on youtube!"/>
    <n v="1094"/>
    <n v="472"/>
    <n v="21"/>
    <n v="9846"/>
    <n v="9609"/>
    <n v="112"/>
    <s v="#EVRevolution"/>
    <m/>
    <m/>
    <x v="0"/>
  </r>
  <r>
    <s v="P271"/>
    <s v="Instagram"/>
    <s v="2024-10-17"/>
    <s v="Video"/>
    <s v="Check out our latest video on instagram!"/>
    <n v="3575"/>
    <n v="749"/>
    <n v="111"/>
    <n v="21450"/>
    <n v="20785"/>
    <n v="195"/>
    <s v="#EVRevolution"/>
    <m/>
    <m/>
    <x v="3"/>
  </r>
  <r>
    <s v="P073"/>
    <s v="Facebook"/>
    <s v="2024-10-18"/>
    <s v="Story"/>
    <s v="Check out our latest story on facebook!"/>
    <n v="4126"/>
    <n v="426"/>
    <n v="486"/>
    <n v="78394"/>
    <n v="77798"/>
    <n v="88"/>
    <s v="#FutureOfDriving"/>
    <m/>
    <m/>
    <x v="2"/>
  </r>
  <r>
    <s v="P101"/>
    <s v="YouTube"/>
    <s v="2024-10-18"/>
    <s v="Video"/>
    <s v="Check out our latest video on youtube!"/>
    <n v="4450"/>
    <n v="983"/>
    <n v="143"/>
    <n v="75650"/>
    <n v="75008"/>
    <n v="12"/>
    <s v="#FutureOfDriving"/>
    <m/>
    <m/>
    <x v="1"/>
  </r>
  <r>
    <s v="P081"/>
    <s v="Instagram"/>
    <s v="2024-10-19"/>
    <s v="Story"/>
    <s v="Check out our latest story on instagram!"/>
    <n v="1816"/>
    <n v="29"/>
    <n v="41"/>
    <n v="19976"/>
    <n v="19262"/>
    <n v="283"/>
    <s v="#TeslaCoInnovation"/>
    <m/>
    <m/>
    <x v="1"/>
  </r>
  <r>
    <s v="P057"/>
    <s v="Twitter"/>
    <s v="2024-10-21"/>
    <s v="Video"/>
    <s v="Check out our latest video on twitter!"/>
    <n v="2825"/>
    <n v="535"/>
    <n v="295"/>
    <n v="45200"/>
    <n v="44739"/>
    <n v="169"/>
    <s v="#TeslaCoInnovation"/>
    <m/>
    <m/>
    <x v="5"/>
  </r>
  <r>
    <s v="P092"/>
    <s v="Twitter"/>
    <s v="2024-10-21"/>
    <s v="Story"/>
    <s v="Check out our latest story on twitter!"/>
    <n v="3801"/>
    <n v="967"/>
    <n v="401"/>
    <n v="38010"/>
    <n v="37625"/>
    <n v="236"/>
    <s v="#FutureOfDriving"/>
    <m/>
    <m/>
    <x v="1"/>
  </r>
  <r>
    <s v="P120"/>
    <s v="Facebook"/>
    <s v="2024-10-21"/>
    <s v="Story"/>
    <s v="Check out our latest story on facebook!"/>
    <n v="780"/>
    <n v="928"/>
    <n v="301"/>
    <n v="8580"/>
    <n v="8081"/>
    <n v="91"/>
    <s v="#EVRevolution"/>
    <m/>
    <m/>
    <x v="1"/>
  </r>
  <r>
    <s v="P131"/>
    <s v="Instagram"/>
    <s v="2024-10-21"/>
    <s v="Reel"/>
    <s v="Check out our latest reel on instagram!"/>
    <n v="4840"/>
    <n v="658"/>
    <n v="211"/>
    <n v="43560"/>
    <n v="43225"/>
    <n v="57"/>
    <s v="#FutureOfDriving"/>
    <m/>
    <m/>
    <x v="1"/>
  </r>
  <r>
    <s v="P147"/>
    <s v="Instagram"/>
    <s v="2024-10-21"/>
    <s v="Reel"/>
    <s v="Check out our latest reel on instagram!"/>
    <n v="3256"/>
    <n v="459"/>
    <n v="266"/>
    <n v="26048"/>
    <n v="25529"/>
    <n v="143"/>
    <s v="#TeslaCoInnovation"/>
    <m/>
    <m/>
    <x v="3"/>
  </r>
  <r>
    <s v="P280"/>
    <s v="YouTube"/>
    <s v="2024-10-21"/>
    <s v="Video"/>
    <s v="Check out our latest video on youtube!"/>
    <n v="4275"/>
    <n v="680"/>
    <n v="385"/>
    <n v="64125"/>
    <n v="63650"/>
    <n v="104"/>
    <s v="#EVRevolution"/>
    <s v="#TeslaCoInnovation"/>
    <s v="#AnytimeIsTeslaTime"/>
    <x v="2"/>
  </r>
  <r>
    <s v="P156"/>
    <s v="Facebook"/>
    <s v="2024-10-22"/>
    <s v="Carousel"/>
    <s v="Check out our latest carousel on facebook!"/>
    <n v="3352"/>
    <n v="941"/>
    <n v="482"/>
    <n v="43576"/>
    <n v="43338"/>
    <n v="240"/>
    <s v="#FutureOfDriving"/>
    <m/>
    <m/>
    <x v="3"/>
  </r>
  <r>
    <s v="P197"/>
    <s v="Twitter"/>
    <s v="2024-10-22"/>
    <s v="Reel"/>
    <s v="Check out our latest reel on twitter!"/>
    <n v="4782"/>
    <n v="721"/>
    <n v="82"/>
    <n v="86076"/>
    <n v="85339"/>
    <n v="19"/>
    <s v="#EVRevolution"/>
    <m/>
    <m/>
    <x v="5"/>
  </r>
  <r>
    <s v="P237"/>
    <s v="Instagram"/>
    <s v="2024-10-22"/>
    <s v="Story"/>
    <s v="Check out our latest story on instagram!"/>
    <n v="3770"/>
    <n v="917"/>
    <n v="129"/>
    <n v="71630"/>
    <n v="71322"/>
    <n v="76"/>
    <s v="#FutureOfDriving"/>
    <m/>
    <m/>
    <x v="5"/>
  </r>
  <r>
    <s v="P015"/>
    <s v="Facebook"/>
    <s v="2024-10-24"/>
    <s v="Video"/>
    <s v="Check out our latest video on facebook!"/>
    <n v="3888"/>
    <n v="604"/>
    <n v="128"/>
    <n v="77760"/>
    <n v="77167"/>
    <n v="20"/>
    <s v="#FutureOfDriving"/>
    <m/>
    <m/>
    <x v="5"/>
  </r>
  <r>
    <s v="P298"/>
    <s v="Facebook"/>
    <s v="2024-10-24"/>
    <s v="Image"/>
    <s v="Check out our latest image on facebook!"/>
    <n v="4303"/>
    <n v="451"/>
    <n v="286"/>
    <n v="86060"/>
    <n v="85823"/>
    <n v="14"/>
    <s v="#TeslaCoInnovation"/>
    <m/>
    <m/>
    <x v="1"/>
  </r>
  <r>
    <s v="P244"/>
    <s v="YouTube"/>
    <s v="2024-10-25"/>
    <s v="Video"/>
    <s v="Check out our latest video on youtube!"/>
    <n v="4661"/>
    <n v="935"/>
    <n v="433"/>
    <n v="23305"/>
    <n v="22583"/>
    <n v="63"/>
    <s v="#FutureOfDriving"/>
    <m/>
    <m/>
    <x v="1"/>
  </r>
  <r>
    <s v="P261"/>
    <s v="Instagram"/>
    <s v="2024-10-27"/>
    <s v="Image"/>
    <s v="Check out our latest image on instagram!"/>
    <n v="4853"/>
    <n v="837"/>
    <n v="340"/>
    <n v="72795"/>
    <n v="72237"/>
    <n v="170"/>
    <s v="#EVRevolution"/>
    <m/>
    <m/>
    <x v="5"/>
  </r>
  <r>
    <s v="P074"/>
    <s v="YouTube"/>
    <s v="2024-10-28"/>
    <s v="Reel"/>
    <s v="Check out our latest reel on youtube!"/>
    <n v="1855"/>
    <n v="200"/>
    <n v="174"/>
    <n v="16695"/>
    <n v="16330"/>
    <n v="123"/>
    <s v="#TeslaCoInnovation"/>
    <m/>
    <m/>
    <x v="1"/>
  </r>
  <r>
    <s v="P144"/>
    <s v="YouTube"/>
    <s v="2024-10-28"/>
    <s v="Story"/>
    <s v="Check out our latest story on youtube!"/>
    <n v="4929"/>
    <n v="749"/>
    <n v="452"/>
    <n v="93651"/>
    <n v="92810"/>
    <n v="66"/>
    <s v="#EVRevolution"/>
    <m/>
    <m/>
    <x v="2"/>
  </r>
  <r>
    <s v="P139"/>
    <s v="YouTube"/>
    <s v="2024-10-29"/>
    <s v="Text"/>
    <s v="Check out our latest text on youtube!"/>
    <n v="2746"/>
    <n v="156"/>
    <n v="203"/>
    <n v="32952"/>
    <n v="32147"/>
    <n v="147"/>
    <s v="#EVRevolution"/>
    <m/>
    <m/>
    <x v="5"/>
  </r>
  <r>
    <s v="P006"/>
    <s v="Facebook"/>
    <s v="2024-10-31"/>
    <s v="Carousel"/>
    <s v="Check out our latest carousel on facebook!"/>
    <n v="2945"/>
    <n v="930"/>
    <n v="355"/>
    <n v="23560"/>
    <n v="23275"/>
    <n v="256"/>
    <s v="#TeslaCoInnovation"/>
    <m/>
    <m/>
    <x v="3"/>
  </r>
  <r>
    <s v="P045"/>
    <s v="Facebook"/>
    <s v="2024-11-01"/>
    <s v="Video"/>
    <s v="Check out our latest video on facebook!"/>
    <n v="3371"/>
    <n v="106"/>
    <n v="327"/>
    <n v="50565"/>
    <n v="49816"/>
    <n v="176"/>
    <s v="#FutureOfDriving"/>
    <m/>
    <m/>
    <x v="5"/>
  </r>
  <r>
    <s v="P117"/>
    <s v="Twitter"/>
    <s v="2024-11-04"/>
    <s v="Image"/>
    <s v="Check out our latest image on twitter!"/>
    <n v="1606"/>
    <n v="451"/>
    <n v="405"/>
    <n v="20878"/>
    <n v="20190"/>
    <n v="219"/>
    <s v="#EVRevolution"/>
    <m/>
    <m/>
    <x v="2"/>
  </r>
  <r>
    <s v="P118"/>
    <s v="Facebook"/>
    <s v="2024-11-04"/>
    <s v="Image"/>
    <s v="Check out our latest image on facebook!"/>
    <n v="4551"/>
    <n v="714"/>
    <n v="207"/>
    <n v="68265"/>
    <n v="67754"/>
    <n v="57"/>
    <s v="#FutureOfDriving"/>
    <m/>
    <m/>
    <x v="1"/>
  </r>
  <r>
    <s v="P269"/>
    <s v="Instagram"/>
    <s v="2024-11-05"/>
    <s v="Video"/>
    <s v="Check out our latest video on instagram!"/>
    <n v="4561"/>
    <n v="51"/>
    <n v="441"/>
    <n v="22805"/>
    <n v="21890"/>
    <n v="45"/>
    <s v="#TeslaCoInnovation"/>
    <m/>
    <m/>
    <x v="3"/>
  </r>
  <r>
    <s v="P023"/>
    <s v="Facebook"/>
    <s v="2024-11-06"/>
    <s v="Video"/>
    <s v="Check out our latest video on facebook!"/>
    <n v="1606"/>
    <n v="547"/>
    <n v="316"/>
    <n v="32120"/>
    <n v="31736"/>
    <n v="225"/>
    <s v="#TeslaCoInnovation"/>
    <s v="#AnytimeIsTeslaTime"/>
    <m/>
    <x v="3"/>
  </r>
  <r>
    <s v="P291"/>
    <s v="Facebook"/>
    <s v="2024-11-06"/>
    <s v="Video"/>
    <s v="Check out our latest video on facebook!"/>
    <n v="4663"/>
    <n v="145"/>
    <n v="225"/>
    <n v="69945"/>
    <n v="69596"/>
    <n v="35"/>
    <s v="#EVRevolution"/>
    <m/>
    <m/>
    <x v="2"/>
  </r>
  <r>
    <s v="P076"/>
    <s v="Twitter"/>
    <s v="2024-11-07"/>
    <s v="Story"/>
    <s v="Check out our latest story on twitter!"/>
    <n v="1121"/>
    <n v="135"/>
    <n v="18"/>
    <n v="15694"/>
    <n v="14957"/>
    <n v="99"/>
    <s v="#TeslaCoInnovation"/>
    <m/>
    <m/>
    <x v="2"/>
  </r>
  <r>
    <s v="P094"/>
    <s v="Instagram"/>
    <s v="2024-11-07"/>
    <s v="Image"/>
    <s v="Check out our latest image on instagram!"/>
    <n v="2647"/>
    <n v="304"/>
    <n v="170"/>
    <n v="18529"/>
    <n v="17841"/>
    <n v="46"/>
    <s v="#FutureOfDriving"/>
    <m/>
    <m/>
    <x v="1"/>
  </r>
  <r>
    <s v="P178"/>
    <s v="Instagram"/>
    <s v="2024-11-07"/>
    <s v="Video"/>
    <s v="Check out our latest video on instagram!"/>
    <n v="129"/>
    <n v="643"/>
    <n v="136"/>
    <n v="1290"/>
    <n v="839"/>
    <n v="238"/>
    <s v="#TeslaCoInnovation"/>
    <m/>
    <m/>
    <x v="2"/>
  </r>
  <r>
    <s v="P095"/>
    <s v="Instagram"/>
    <s v="2024-11-08"/>
    <s v="Text"/>
    <s v="Check out our latest text on instagram!"/>
    <n v="3182"/>
    <n v="559"/>
    <n v="160"/>
    <n v="57276"/>
    <n v="56890"/>
    <n v="163"/>
    <s v="#FutureOfDriving"/>
    <m/>
    <m/>
    <x v="2"/>
  </r>
  <r>
    <s v="P168"/>
    <s v="Facebook"/>
    <s v="2024-11-12"/>
    <s v="Text"/>
    <s v="Check out our latest text on facebook!"/>
    <n v="2418"/>
    <n v="754"/>
    <n v="54"/>
    <n v="43524"/>
    <n v="42743"/>
    <n v="182"/>
    <s v="#EVRevolution"/>
    <m/>
    <m/>
    <x v="5"/>
  </r>
  <r>
    <s v="P223"/>
    <s v="Twitter"/>
    <s v="2024-11-12"/>
    <s v="Image"/>
    <s v="Check out our latest image on twitter!"/>
    <n v="3338"/>
    <n v="277"/>
    <n v="118"/>
    <n v="60084"/>
    <n v="59842"/>
    <n v="252"/>
    <s v="#TeslaCoInnovation"/>
    <m/>
    <m/>
    <x v="0"/>
  </r>
  <r>
    <s v="P114"/>
    <s v="Twitter"/>
    <s v="2024-11-14"/>
    <s v="Story"/>
    <s v="Check out our latest story on twitter!"/>
    <n v="4000"/>
    <n v="689"/>
    <n v="488"/>
    <n v="40000"/>
    <n v="39569"/>
    <n v="44"/>
    <s v="#FutureOfDriving"/>
    <m/>
    <m/>
    <x v="5"/>
  </r>
  <r>
    <s v="P292"/>
    <s v="Facebook"/>
    <s v="2024-11-17"/>
    <s v="Text"/>
    <s v="Check out our latest text on facebook!"/>
    <n v="880"/>
    <n v="297"/>
    <n v="345"/>
    <n v="12320"/>
    <n v="11978"/>
    <n v="238"/>
    <s v="#TeslaCoInnovation"/>
    <s v="#AnytimeIsTeslaTime"/>
    <m/>
    <x v="0"/>
  </r>
  <r>
    <s v="P013"/>
    <s v="YouTube"/>
    <s v="2024-11-18"/>
    <s v="Carousel"/>
    <s v="Check out our latest carousel on youtube!"/>
    <n v="1171"/>
    <n v="286"/>
    <n v="231"/>
    <n v="22249"/>
    <n v="21282"/>
    <n v="114"/>
    <s v="#EVRevolution"/>
    <m/>
    <m/>
    <x v="5"/>
  </r>
  <r>
    <s v="P203"/>
    <s v="Instagram"/>
    <s v="2024-11-21"/>
    <s v="Carousel"/>
    <s v="Check out our latest carousel on instagram!"/>
    <n v="3773"/>
    <n v="299"/>
    <n v="38"/>
    <n v="71687"/>
    <n v="71447"/>
    <n v="286"/>
    <s v="#FutureOfDriving"/>
    <m/>
    <m/>
    <x v="5"/>
  </r>
  <r>
    <s v="P062"/>
    <s v="Twitter"/>
    <s v="2024-11-22"/>
    <s v="Carousel"/>
    <s v="Check out our latest carousel on twitter!"/>
    <n v="53"/>
    <n v="81"/>
    <n v="379"/>
    <n v="954"/>
    <n v="7"/>
    <n v="148"/>
    <s v="#TeslaCoInnovation"/>
    <m/>
    <m/>
    <x v="1"/>
  </r>
  <r>
    <s v="P111"/>
    <s v="YouTube"/>
    <s v="2024-11-23"/>
    <s v="Image"/>
    <s v="Check out our latest image on youtube!"/>
    <n v="2719"/>
    <n v="17"/>
    <n v="285"/>
    <n v="40785"/>
    <n v="40281"/>
    <n v="40"/>
    <s v="#TeslaCoInnovation"/>
    <m/>
    <m/>
    <x v="3"/>
  </r>
  <r>
    <s v="P039"/>
    <s v="Facebook"/>
    <s v="2024-11-25"/>
    <s v="Image"/>
    <s v="Check out our latest image on facebook!"/>
    <n v="3564"/>
    <n v="629"/>
    <n v="177"/>
    <n v="60588"/>
    <n v="59627"/>
    <n v="92"/>
    <s v="#TeslaCoInnovation"/>
    <m/>
    <m/>
    <x v="0"/>
  </r>
  <r>
    <s v="P159"/>
    <s v="Facebook"/>
    <s v="2024-11-25"/>
    <s v="Story"/>
    <s v="Check out our latest story on facebook!"/>
    <n v="2120"/>
    <n v="158"/>
    <n v="488"/>
    <n v="12720"/>
    <n v="12085"/>
    <n v="17"/>
    <s v="#FutureOfDriving"/>
    <m/>
    <m/>
    <x v="3"/>
  </r>
  <r>
    <s v="P266"/>
    <s v="Facebook"/>
    <s v="2024-11-25"/>
    <s v="Story"/>
    <s v="Check out our latest story on facebook!"/>
    <n v="4182"/>
    <n v="640"/>
    <n v="240"/>
    <n v="50184"/>
    <n v="49351"/>
    <n v="10"/>
    <s v="#TeslaCoInnovation"/>
    <m/>
    <m/>
    <x v="1"/>
  </r>
  <r>
    <s v="P278"/>
    <s v="Twitter"/>
    <s v="2024-11-26"/>
    <s v="Text"/>
    <s v="Check out our latest text on twitter!"/>
    <n v="4516"/>
    <n v="836"/>
    <n v="169"/>
    <n v="49676"/>
    <n v="49257"/>
    <n v="282"/>
    <s v="#EVRevolution"/>
    <m/>
    <m/>
    <x v="2"/>
  </r>
  <r>
    <s v="P135"/>
    <s v="Facebook"/>
    <s v="2024-11-28"/>
    <s v="Text"/>
    <s v="Check out our latest text on facebook!"/>
    <n v="4213"/>
    <n v="253"/>
    <n v="434"/>
    <n v="75834"/>
    <n v="75437"/>
    <n v="272"/>
    <s v="#FutureOfDriving"/>
    <m/>
    <m/>
    <x v="2"/>
  </r>
  <r>
    <s v="P167"/>
    <s v="Instagram"/>
    <s v="2024-11-28"/>
    <s v="Text"/>
    <s v="Check out our latest text on instagram!"/>
    <n v="4771"/>
    <n v="818"/>
    <n v="56"/>
    <n v="57252"/>
    <n v="56378"/>
    <n v="150"/>
    <s v="#FutureOfDriving"/>
    <m/>
    <m/>
    <x v="0"/>
  </r>
  <r>
    <s v="P289"/>
    <s v="Facebook"/>
    <s v="2024-11-28"/>
    <s v="Carousel"/>
    <s v="Check out our latest carousel on facebook!"/>
    <n v="2751"/>
    <n v="33"/>
    <n v="430"/>
    <n v="44016"/>
    <n v="43415"/>
    <n v="129"/>
    <s v="#FutureOfDriving"/>
    <m/>
    <m/>
    <x v="0"/>
  </r>
  <r>
    <s v="P192"/>
    <s v="Instagram"/>
    <s v="2024-11-29"/>
    <s v="Video"/>
    <s v="Check out our latest video on instagram!"/>
    <n v="1176"/>
    <n v="464"/>
    <n v="394"/>
    <n v="14112"/>
    <n v="13588"/>
    <n v="272"/>
    <s v="#EVRevolution"/>
    <m/>
    <m/>
    <x v="0"/>
  </r>
  <r>
    <s v="P035"/>
    <s v="Instagram"/>
    <s v="2024-11-30"/>
    <s v="Video"/>
    <s v="Check out our latest video on instagram!"/>
    <n v="3775"/>
    <n v="16"/>
    <n v="239"/>
    <n v="33975"/>
    <n v="33310"/>
    <n v="271"/>
    <s v="#FutureOfDriving"/>
    <m/>
    <m/>
    <x v="3"/>
  </r>
  <r>
    <s v="P199"/>
    <s v="YouTube"/>
    <s v="2024-11-30"/>
    <s v="Carousel"/>
    <s v="Check out our latest carousel on youtube!"/>
    <n v="2509"/>
    <n v="324"/>
    <n v="171"/>
    <n v="35126"/>
    <n v="34685"/>
    <n v="277"/>
    <s v="#TeslaCoInnovation"/>
    <m/>
    <m/>
    <x v="3"/>
  </r>
  <r>
    <s v="P169"/>
    <s v="YouTube"/>
    <s v="2024-12-03"/>
    <s v="Video"/>
    <s v="Check out our latest video on youtube!"/>
    <n v="3809"/>
    <n v="273"/>
    <n v="200"/>
    <n v="34281"/>
    <n v="33534"/>
    <n v="83"/>
    <s v="#EVRevolution"/>
    <m/>
    <m/>
    <x v="5"/>
  </r>
  <r>
    <s v="P180"/>
    <s v="YouTube"/>
    <s v="2024-12-03"/>
    <s v="Text"/>
    <s v="Check out our latest text on youtube!"/>
    <n v="3711"/>
    <n v="352"/>
    <n v="290"/>
    <n v="48243"/>
    <n v="47579"/>
    <n v="11"/>
    <s v="#TeslaCoInnovation"/>
    <m/>
    <m/>
    <x v="5"/>
  </r>
  <r>
    <s v="P191"/>
    <s v="YouTube"/>
    <s v="2024-12-03"/>
    <s v="Story"/>
    <s v="Check out our latest story on youtube!"/>
    <n v="4285"/>
    <n v="886"/>
    <n v="376"/>
    <n v="55705"/>
    <n v="55556"/>
    <n v="51"/>
    <s v="#FutureOfDriving"/>
    <m/>
    <m/>
    <x v="1"/>
  </r>
  <r>
    <s v="P217"/>
    <s v="Facebook"/>
    <s v="2024-12-03"/>
    <s v="Image"/>
    <s v="Check out our latest image on facebook!"/>
    <n v="4606"/>
    <n v="931"/>
    <n v="230"/>
    <n v="92120"/>
    <n v="91440"/>
    <n v="56"/>
    <s v="#TeslaCoInnovation"/>
    <m/>
    <m/>
    <x v="0"/>
  </r>
  <r>
    <s v="P173"/>
    <s v="Twitter"/>
    <s v="2024-12-05"/>
    <s v="Video"/>
    <s v="Check out our latest video on twitter!"/>
    <n v="1330"/>
    <n v="925"/>
    <n v="35"/>
    <n v="15960"/>
    <n v="15379"/>
    <n v="229"/>
    <s v="#FutureOfDriving"/>
    <m/>
    <m/>
    <x v="1"/>
  </r>
  <r>
    <s v="P068"/>
    <s v="Instagram"/>
    <s v="2024-12-08"/>
    <s v="Story"/>
    <s v="Check out our latest story on instagram!"/>
    <n v="2610"/>
    <n v="126"/>
    <n v="288"/>
    <n v="15660"/>
    <n v="15145"/>
    <n v="73"/>
    <s v="#EVRevolution"/>
    <m/>
    <m/>
    <x v="0"/>
  </r>
  <r>
    <s v="P084"/>
    <s v="Facebook"/>
    <s v="2024-12-09"/>
    <s v="Image"/>
    <s v="Check out our latest image on facebook!"/>
    <n v="1841"/>
    <n v="851"/>
    <n v="342"/>
    <n v="34979"/>
    <n v="34154"/>
    <n v="255"/>
    <s v="#FutureOfDriving"/>
    <m/>
    <m/>
    <x v="2"/>
  </r>
  <r>
    <s v="P093"/>
    <s v="Instagram"/>
    <s v="2024-12-11"/>
    <s v="Video"/>
    <s v="Check out our latest video on instagram!"/>
    <n v="1431"/>
    <n v="951"/>
    <n v="26"/>
    <n v="8586"/>
    <n v="8396"/>
    <n v="150"/>
    <s v="#EVRevolution"/>
    <m/>
    <m/>
    <x v="1"/>
  </r>
  <r>
    <s v="P165"/>
    <s v="Twitter"/>
    <s v="2024-12-11"/>
    <s v="Text"/>
    <s v="Check out our latest text on twitter!"/>
    <n v="3239"/>
    <n v="43"/>
    <n v="211"/>
    <n v="22673"/>
    <n v="22171"/>
    <n v="230"/>
    <s v="#TeslaCoInnovation"/>
    <m/>
    <m/>
    <x v="3"/>
  </r>
  <r>
    <s v="P043"/>
    <s v="Instagram"/>
    <s v="2024-12-14"/>
    <s v="Carousel"/>
    <s v="Check out our latest carousel on instagram!"/>
    <n v="2174"/>
    <n v="658"/>
    <n v="15"/>
    <n v="13044"/>
    <n v="12206"/>
    <n v="137"/>
    <s v="#TeslaCoInnovation"/>
    <m/>
    <m/>
    <x v="1"/>
  </r>
  <r>
    <s v="P031"/>
    <s v="Instagram"/>
    <s v="2024-12-16"/>
    <s v="Text"/>
    <s v="Check out our latest text on instagram!"/>
    <n v="438"/>
    <n v="153"/>
    <n v="275"/>
    <n v="3066"/>
    <n v="2701"/>
    <n v="282"/>
    <s v="#TeslaCoInnovation"/>
    <m/>
    <m/>
    <x v="3"/>
  </r>
  <r>
    <s v="P183"/>
    <s v="Instagram"/>
    <s v="2024-12-17"/>
    <s v="Story"/>
    <s v="Check out our latest story on instagram!"/>
    <n v="360"/>
    <n v="590"/>
    <n v="393"/>
    <n v="4680"/>
    <n v="4322"/>
    <n v="208"/>
    <s v="#FutureOfDriving"/>
    <m/>
    <m/>
    <x v="3"/>
  </r>
  <r>
    <s v="P056"/>
    <s v="Facebook"/>
    <s v="2024-12-18"/>
    <s v="Carousel"/>
    <s v="Check out our latest carousel on facebook!"/>
    <n v="2946"/>
    <n v="498"/>
    <n v="367"/>
    <n v="29460"/>
    <n v="28527"/>
    <n v="60"/>
    <s v="#FutureOfDriving"/>
    <m/>
    <m/>
    <x v="1"/>
  </r>
  <r>
    <s v="P196"/>
    <s v="Instagram"/>
    <s v="2024-12-19"/>
    <s v="Text"/>
    <s v="Check out our latest text on instagram!"/>
    <n v="1813"/>
    <n v="623"/>
    <n v="72"/>
    <n v="19943"/>
    <n v="18959"/>
    <n v="85"/>
    <s v="#EVRevolution"/>
    <m/>
    <m/>
    <x v="1"/>
  </r>
  <r>
    <s v="P290"/>
    <s v="Instagram"/>
    <s v="2024-12-20"/>
    <s v="Carousel"/>
    <s v="Check out our latest carousel on instagram!"/>
    <n v="2107"/>
    <n v="550"/>
    <n v="349"/>
    <n v="35819"/>
    <n v="35340"/>
    <n v="191"/>
    <s v="#EVRevolution"/>
    <m/>
    <m/>
    <x v="2"/>
  </r>
  <r>
    <s v="P155"/>
    <s v="YouTube"/>
    <s v="2024-12-21"/>
    <s v="Image"/>
    <s v="Check out our latest image on youtube!"/>
    <n v="2283"/>
    <n v="210"/>
    <n v="130"/>
    <n v="22830"/>
    <n v="22617"/>
    <n v="143"/>
    <s v="#FutureOfDriving"/>
    <m/>
    <m/>
    <x v="3"/>
  </r>
  <r>
    <s v="P187"/>
    <s v="Twitter"/>
    <s v="2024-12-22"/>
    <s v="Reel"/>
    <s v="Check out our latest reel on twitter!"/>
    <n v="1644"/>
    <n v="546"/>
    <n v="150"/>
    <n v="27948"/>
    <n v="27184"/>
    <n v="300"/>
    <s v="#EVRevolution"/>
    <m/>
    <m/>
    <x v="1"/>
  </r>
  <r>
    <s v="P235"/>
    <s v="Facebook"/>
    <s v="2024-12-22"/>
    <s v="Image"/>
    <s v="Check out our latest image on facebook!"/>
    <n v="3196"/>
    <n v="941"/>
    <n v="376"/>
    <n v="35156"/>
    <n v="34444"/>
    <n v="241"/>
    <s v="#TeslaCoInnovation"/>
    <m/>
    <m/>
    <x v="1"/>
  </r>
  <r>
    <s v="P001"/>
    <s v="Twitter"/>
    <s v="2024-12-23"/>
    <s v="Reel"/>
    <s v="Check out our latest reel on twitter!"/>
    <n v="1461"/>
    <n v="184"/>
    <n v="344"/>
    <n v="21915"/>
    <n v="21675"/>
    <n v="15"/>
    <s v="#FutureOfDriving"/>
    <s v="#AnytimeIsTeslaTime"/>
    <m/>
    <x v="5"/>
  </r>
  <r>
    <s v="P214"/>
    <s v="Instagram"/>
    <s v="2024-12-23"/>
    <s v="Image"/>
    <s v="Check out our latest image on instagram!"/>
    <n v="521"/>
    <n v="746"/>
    <n v="315"/>
    <n v="4168"/>
    <n v="3399"/>
    <n v="282"/>
    <s v="#FutureOfDriving"/>
    <m/>
    <m/>
    <x v="3"/>
  </r>
  <r>
    <s v="P297"/>
    <s v="Twitter"/>
    <s v="2024-12-24"/>
    <s v="Text"/>
    <s v="Check out our latest text on twitter!"/>
    <n v="2166"/>
    <n v="354"/>
    <n v="117"/>
    <n v="10830"/>
    <n v="10245"/>
    <n v="24"/>
    <s v="#EVRevolution"/>
    <m/>
    <m/>
    <x v="2"/>
  </r>
  <r>
    <s v="P207"/>
    <s v="Twitter"/>
    <s v="2024-12-29"/>
    <s v="Carousel"/>
    <s v="Check out our latest carousel on twitter!"/>
    <n v="4274"/>
    <n v="340"/>
    <n v="281"/>
    <n v="34192"/>
    <n v="33446"/>
    <n v="129"/>
    <s v="#TeslaCoInnovation"/>
    <s v="#SmoothLikeNitroTesla"/>
    <m/>
    <x v="1"/>
  </r>
  <r>
    <s v="P171"/>
    <s v="YouTube"/>
    <s v="2024-12-31"/>
    <s v="Video"/>
    <s v="Check out our latest video on youtube!"/>
    <n v="1018"/>
    <n v="447"/>
    <n v="332"/>
    <n v="18324"/>
    <n v="18164"/>
    <n v="38"/>
    <s v="#FutureOfDriving"/>
    <m/>
    <m/>
    <x v="3"/>
  </r>
  <r>
    <s v="P153"/>
    <s v="Twitter"/>
    <s v="2025-01-01"/>
    <s v="Video"/>
    <s v="Check out our latest video on twitter!"/>
    <n v="754"/>
    <n v="197"/>
    <n v="257"/>
    <n v="6786"/>
    <n v="6221"/>
    <n v="212"/>
    <s v="#TeslaCoInnovation"/>
    <m/>
    <m/>
    <x v="1"/>
  </r>
  <r>
    <s v="P204"/>
    <s v="Instagram"/>
    <s v="2025-01-01"/>
    <s v="Carousel"/>
    <s v="Check out our latest carousel on instagram!"/>
    <n v="2234"/>
    <n v="653"/>
    <n v="432"/>
    <n v="11170"/>
    <n v="10569"/>
    <n v="198"/>
    <s v="#FutureOfDriving"/>
    <m/>
    <m/>
    <x v="1"/>
  </r>
  <r>
    <s v="P274"/>
    <s v="Twitter"/>
    <s v="2025-01-01"/>
    <s v="Carousel"/>
    <s v="Check out our latest carousel on twitter!"/>
    <n v="3535"/>
    <n v="494"/>
    <n v="152"/>
    <n v="53025"/>
    <n v="52791"/>
    <n v="44"/>
    <s v="#TeslaCoInnovation"/>
    <m/>
    <m/>
    <x v="2"/>
  </r>
  <r>
    <s v="P052"/>
    <s v="Facebook"/>
    <s v="2025-01-03"/>
    <s v="Image"/>
    <s v="Check out our latest image on facebook!"/>
    <n v="947"/>
    <n v="338"/>
    <n v="350"/>
    <n v="10417"/>
    <n v="9730"/>
    <n v="34"/>
    <s v="#TeslaCoInnovation"/>
    <m/>
    <m/>
    <x v="2"/>
  </r>
  <r>
    <s v="P021"/>
    <s v="Instagram"/>
    <s v="2025-01-04"/>
    <s v="Reel"/>
    <s v="Check out our latest reel on instagram!"/>
    <n v="4838"/>
    <n v="640"/>
    <n v="128"/>
    <n v="72570"/>
    <n v="72396"/>
    <n v="83"/>
    <s v="#FutureOfDriving"/>
    <m/>
    <m/>
    <x v="2"/>
  </r>
  <r>
    <s v="P037"/>
    <s v="Facebook"/>
    <s v="2025-01-06"/>
    <s v="Carousel"/>
    <s v="Check out our latest carousel on facebook!"/>
    <n v="3024"/>
    <n v="925"/>
    <n v="350"/>
    <n v="24192"/>
    <n v="23518"/>
    <n v="36"/>
    <s v="#EVRevolution"/>
    <m/>
    <m/>
    <x v="3"/>
  </r>
  <r>
    <s v="P089"/>
    <s v="Twitter"/>
    <s v="2025-01-10"/>
    <s v="Image"/>
    <s v="Check out our latest image on twitter!"/>
    <n v="2214"/>
    <n v="249"/>
    <n v="152"/>
    <n v="15498"/>
    <n v="14800"/>
    <n v="180"/>
    <s v="#EVRevolution"/>
    <m/>
    <m/>
    <x v="0"/>
  </r>
  <r>
    <s v="P128"/>
    <s v="Twitter"/>
    <s v="2025-01-10"/>
    <s v="Image"/>
    <s v="Check out our latest image on twitter!"/>
    <n v="3092"/>
    <n v="106"/>
    <n v="291"/>
    <n v="27828"/>
    <n v="27217"/>
    <n v="102"/>
    <s v="#FutureOfDriving"/>
    <m/>
    <m/>
    <x v="0"/>
  </r>
  <r>
    <s v="P185"/>
    <s v="Instagram"/>
    <s v="2025-01-11"/>
    <s v="Carousel"/>
    <s v="Check out our latest carousel on instagram!"/>
    <n v="4523"/>
    <n v="61"/>
    <n v="157"/>
    <n v="49753"/>
    <n v="49329"/>
    <n v="71"/>
    <s v="#EVRevolution"/>
    <m/>
    <m/>
    <x v="0"/>
  </r>
  <r>
    <s v="P245"/>
    <s v="Facebook"/>
    <s v="2025-01-12"/>
    <s v="Reel"/>
    <s v="Check out our latest reel on facebook!"/>
    <n v="4134"/>
    <n v="824"/>
    <n v="99"/>
    <n v="41340"/>
    <n v="41050"/>
    <n v="177"/>
    <s v="#EVRevolution"/>
    <m/>
    <m/>
    <x v="5"/>
  </r>
  <r>
    <s v="P254"/>
    <s v="Twitter"/>
    <s v="2025-01-14"/>
    <s v="Image"/>
    <s v="Check out our latest image on twitter!"/>
    <n v="2692"/>
    <n v="115"/>
    <n v="64"/>
    <n v="21536"/>
    <n v="21120"/>
    <n v="224"/>
    <s v="#FutureOfDriving"/>
    <m/>
    <m/>
    <x v="3"/>
  </r>
  <r>
    <s v="P201"/>
    <s v="Twitter"/>
    <s v="2025-01-15"/>
    <s v="Reel"/>
    <s v="Check out our latest reel on twitter!"/>
    <n v="802"/>
    <n v="262"/>
    <n v="244"/>
    <n v="14436"/>
    <n v="14280"/>
    <n v="49"/>
    <s v="#EVRevolution"/>
    <m/>
    <m/>
    <x v="5"/>
  </r>
  <r>
    <s v="P270"/>
    <s v="YouTube"/>
    <s v="2025-01-15"/>
    <s v="Reel"/>
    <s v="Check out our latest reel on youtube!"/>
    <n v="3774"/>
    <n v="239"/>
    <n v="39"/>
    <n v="60384"/>
    <n v="59490"/>
    <n v="241"/>
    <s v="#TeslaCoInnovation"/>
    <m/>
    <m/>
    <x v="1"/>
  </r>
  <r>
    <s v="P175"/>
    <s v="Instagram"/>
    <s v="2025-01-17"/>
    <s v="Reel"/>
    <s v="Check out our latest reel on instagram!"/>
    <n v="142"/>
    <n v="784"/>
    <n v="183"/>
    <n v="1704"/>
    <n v="995"/>
    <n v="154"/>
    <s v="#FutureOfDriving"/>
    <m/>
    <m/>
    <x v="2"/>
  </r>
  <r>
    <s v="P241"/>
    <s v="Facebook"/>
    <s v="2025-01-18"/>
    <s v="Story"/>
    <s v="Check out our latest story on facebook!"/>
    <n v="4321"/>
    <n v="874"/>
    <n v="172"/>
    <n v="30247"/>
    <n v="29254"/>
    <n v="122"/>
    <s v="#TeslaCoInnovation"/>
    <m/>
    <m/>
    <x v="2"/>
  </r>
  <r>
    <s v="P262"/>
    <s v="YouTube"/>
    <s v="2025-01-18"/>
    <s v="Image"/>
    <s v="Check out our latest image on youtube!"/>
    <n v="1206"/>
    <n v="238"/>
    <n v="36"/>
    <n v="9648"/>
    <n v="9417"/>
    <n v="237"/>
    <s v="#TeslaCoInnovation"/>
    <m/>
    <m/>
    <x v="0"/>
  </r>
  <r>
    <s v="P024"/>
    <s v="Facebook"/>
    <s v="2025-01-23"/>
    <s v="Video"/>
    <s v="Check out our latest video on facebook!"/>
    <n v="3961"/>
    <n v="761"/>
    <n v="131"/>
    <n v="67337"/>
    <n v="66615"/>
    <n v="161"/>
    <s v="#FutureOfDriving"/>
    <m/>
    <m/>
    <x v="1"/>
  </r>
  <r>
    <s v="P086"/>
    <s v="YouTube"/>
    <s v="2025-01-27"/>
    <s v="Text"/>
    <s v="Check out our latest text on youtube!"/>
    <n v="3428"/>
    <n v="305"/>
    <n v="85"/>
    <n v="58276"/>
    <n v="58052"/>
    <n v="242"/>
    <s v="#EVRevolution"/>
    <s v="#BetterWithTesla"/>
    <m/>
    <x v="2"/>
  </r>
  <r>
    <s v="P127"/>
    <s v="Facebook"/>
    <s v="2025-01-27"/>
    <s v="Reel"/>
    <s v="Check out our latest reel on facebook!"/>
    <n v="3452"/>
    <n v="652"/>
    <n v="442"/>
    <n v="65588"/>
    <n v="65049"/>
    <n v="158"/>
    <s v="#FutureOfDriving"/>
    <m/>
    <m/>
    <x v="1"/>
  </r>
  <r>
    <s v="P060"/>
    <s v="Instagram"/>
    <s v="2025-01-28"/>
    <s v="Video"/>
    <s v="Check out our latest video on instagram!"/>
    <n v="904"/>
    <n v="973"/>
    <n v="63"/>
    <n v="11752"/>
    <n v="11580"/>
    <n v="84"/>
    <s v="#EVRevolution"/>
    <s v="#TeslaCoInnovation"/>
    <s v="#AnytimeIsTeslaTime"/>
    <x v="1"/>
  </r>
  <r>
    <s v="P219"/>
    <s v="Twitter"/>
    <s v="2025-01-28"/>
    <s v="Reel"/>
    <s v="Check out our latest reel on twitter!"/>
    <n v="1188"/>
    <n v="470"/>
    <n v="174"/>
    <n v="7128"/>
    <n v="6145"/>
    <n v="270"/>
    <s v="#TeslaCoInnovation"/>
    <m/>
    <m/>
    <x v="2"/>
  </r>
  <r>
    <s v="P264"/>
    <s v="Twitter"/>
    <s v="2025-01-30"/>
    <s v="Image"/>
    <s v="Check out our latest image on twitter!"/>
    <n v="59"/>
    <n v="163"/>
    <n v="93"/>
    <n v="590"/>
    <n v="475"/>
    <n v="293"/>
    <s v="#TeslaCoInnovation"/>
    <m/>
    <m/>
    <x v="3"/>
  </r>
  <r>
    <s v="P029"/>
    <s v="Instagram"/>
    <s v="2025-01-31"/>
    <s v="Carousel"/>
    <s v="Check out our latest carousel on instagram!"/>
    <n v="2566"/>
    <n v="118"/>
    <n v="37"/>
    <n v="12830"/>
    <n v="12264"/>
    <n v="221"/>
    <s v="#FutureOfDriving"/>
    <m/>
    <m/>
    <x v="1"/>
  </r>
  <r>
    <s v="P011"/>
    <s v="Instagram"/>
    <s v="2025-02-02"/>
    <s v="Story"/>
    <s v="Check out our latest story on instagram!"/>
    <n v="1792"/>
    <n v="614"/>
    <n v="497"/>
    <n v="25088"/>
    <n v="24675"/>
    <n v="65"/>
    <s v="#FutureOfDriving"/>
    <m/>
    <m/>
    <x v="2"/>
  </r>
  <r>
    <s v="P248"/>
    <s v="Facebook"/>
    <s v="2025-02-02"/>
    <s v="Story"/>
    <s v="Check out our latest story on facebook!"/>
    <n v="886"/>
    <n v="126"/>
    <n v="153"/>
    <n v="4430"/>
    <n v="4037"/>
    <n v="212"/>
    <s v="#EVRevolution"/>
    <m/>
    <m/>
    <x v="0"/>
  </r>
  <r>
    <s v="P106"/>
    <s v="Instagram"/>
    <s v="2025-02-04"/>
    <s v="Image"/>
    <s v="Check out our latest image on instagram!"/>
    <n v="4619"/>
    <n v="821"/>
    <n v="499"/>
    <n v="69285"/>
    <n v="69141"/>
    <n v="298"/>
    <s v="#TeslaCoInnovation"/>
    <m/>
    <m/>
    <x v="2"/>
  </r>
  <r>
    <s v="P133"/>
    <s v="Facebook"/>
    <s v="2025-02-06"/>
    <s v="Image"/>
    <s v="Check out our latest image on facebook!"/>
    <n v="2072"/>
    <n v="532"/>
    <n v="71"/>
    <n v="37296"/>
    <n v="36467"/>
    <n v="25"/>
    <s v="#TeslaCoInnovation"/>
    <m/>
    <m/>
    <x v="2"/>
  </r>
  <r>
    <s v="P119"/>
    <s v="Instagram"/>
    <s v="2025-02-07"/>
    <s v="Reel"/>
    <s v="Check out our latest reel on instagram!"/>
    <n v="1970"/>
    <n v="675"/>
    <n v="478"/>
    <n v="9850"/>
    <n v="8924"/>
    <n v="117"/>
    <s v="#FutureOfDriving"/>
    <m/>
    <m/>
    <x v="0"/>
  </r>
  <r>
    <s v="P100"/>
    <s v="YouTube"/>
    <s v="2025-02-10"/>
    <s v="Video"/>
    <s v="Check out our latest video on youtube!"/>
    <n v="1766"/>
    <n v="92"/>
    <n v="424"/>
    <n v="24724"/>
    <n v="24333"/>
    <n v="52"/>
    <s v="#EVRevolution"/>
    <m/>
    <m/>
    <x v="0"/>
  </r>
  <r>
    <s v="P259"/>
    <s v="Facebook"/>
    <s v="2025-02-10"/>
    <s v="Text"/>
    <s v="Check out our latest text on facebook!"/>
    <n v="562"/>
    <n v="158"/>
    <n v="149"/>
    <n v="3372"/>
    <n v="2940"/>
    <n v="93"/>
    <s v="#TeslaCoInnovation"/>
    <m/>
    <m/>
    <x v="5"/>
  </r>
  <r>
    <s v="P296"/>
    <s v="Twitter"/>
    <s v="2025-02-11"/>
    <s v="Video"/>
    <s v="Check out our latest video on twitter!"/>
    <n v="3440"/>
    <n v="13"/>
    <n v="20"/>
    <n v="58480"/>
    <n v="58146"/>
    <n v="210"/>
    <s v="#TeslaCoInnovation"/>
    <s v="#SmoothLikeNitroTesla"/>
    <m/>
    <x v="2"/>
  </r>
  <r>
    <s v="P260"/>
    <s v="Instagram"/>
    <s v="2025-02-12"/>
    <s v="Story"/>
    <s v="Check out our latest story on instagram!"/>
    <n v="4332"/>
    <n v="771"/>
    <n v="219"/>
    <n v="60648"/>
    <n v="60397"/>
    <n v="10"/>
    <s v="#TeslaCoInnovation"/>
    <s v="#EVRevolution"/>
    <s v="#BetterWithTesla"/>
    <x v="1"/>
  </r>
  <r>
    <s v="P014"/>
    <s v="Facebook"/>
    <s v="2025-02-16"/>
    <s v="Story"/>
    <s v="Check out our latest story on facebook!"/>
    <n v="4242"/>
    <n v="555"/>
    <n v="131"/>
    <n v="33936"/>
    <n v="33802"/>
    <n v="265"/>
    <s v="#FutureOfDriving"/>
    <m/>
    <m/>
    <x v="0"/>
  </r>
  <r>
    <s v="P166"/>
    <s v="Twitter"/>
    <s v="2025-02-16"/>
    <s v="Reel"/>
    <s v="Check out our latest reel on twitter!"/>
    <n v="1076"/>
    <n v="313"/>
    <n v="306"/>
    <n v="11836"/>
    <n v="11596"/>
    <n v="104"/>
    <s v="#FutureOfDriving"/>
    <m/>
    <m/>
    <x v="5"/>
  </r>
  <r>
    <s v="P038"/>
    <s v="YouTube"/>
    <s v="2025-02-17"/>
    <s v="Reel"/>
    <s v="Check out our latest reel on youtube!"/>
    <n v="3138"/>
    <n v="123"/>
    <n v="291"/>
    <n v="28242"/>
    <n v="27550"/>
    <n v="87"/>
    <s v="#TeslaCoInnovation"/>
    <m/>
    <m/>
    <x v="2"/>
  </r>
  <r>
    <s v="P161"/>
    <s v="Twitter"/>
    <s v="2025-02-19"/>
    <s v="Text"/>
    <s v="Check out our latest text on twitter!"/>
    <n v="4671"/>
    <n v="876"/>
    <n v="366"/>
    <n v="51381"/>
    <n v="50565"/>
    <n v="245"/>
    <s v="#TeslaCoInnovation"/>
    <m/>
    <m/>
    <x v="2"/>
  </r>
  <r>
    <s v="P210"/>
    <s v="YouTube"/>
    <s v="2025-02-19"/>
    <s v="Image"/>
    <s v="Check out our latest image on youtube!"/>
    <n v="257"/>
    <n v="966"/>
    <n v="398"/>
    <n v="3341"/>
    <n v="2753"/>
    <n v="287"/>
    <s v="#FutureOfDriving"/>
    <m/>
    <m/>
    <x v="5"/>
  </r>
  <r>
    <s v="P265"/>
    <s v="Twitter"/>
    <s v="2025-02-20"/>
    <s v="Carousel"/>
    <s v="Check out our latest carousel on twitter!"/>
    <n v="1877"/>
    <n v="745"/>
    <n v="225"/>
    <n v="11262"/>
    <n v="10967"/>
    <n v="41"/>
    <s v="#EVRevolution"/>
    <m/>
    <m/>
    <x v="2"/>
  </r>
  <r>
    <s v="P047"/>
    <s v="Twitter"/>
    <s v="2025-02-24"/>
    <s v="Carousel"/>
    <s v="Check out our latest carousel on twitter!"/>
    <n v="2704"/>
    <n v="752"/>
    <n v="153"/>
    <n v="21632"/>
    <n v="20792"/>
    <n v="127"/>
    <s v="#FutureOfDriving"/>
    <m/>
    <m/>
    <x v="0"/>
  </r>
  <r>
    <s v="P053"/>
    <s v="YouTube"/>
    <s v="2025-02-24"/>
    <s v="Carousel"/>
    <s v="Check out our latest carousel on youtube!"/>
    <n v="804"/>
    <n v="639"/>
    <n v="43"/>
    <n v="4020"/>
    <n v="3144"/>
    <n v="11"/>
    <s v="#EVRevolution"/>
    <s v="#BetterWithTesla"/>
    <m/>
    <x v="0"/>
  </r>
  <r>
    <s v="P239"/>
    <s v="YouTube"/>
    <s v="2025-02-24"/>
    <s v="Text"/>
    <s v="Check out our latest text on youtube!"/>
    <n v="4188"/>
    <n v="942"/>
    <n v="118"/>
    <n v="20940"/>
    <n v="20471"/>
    <n v="102"/>
    <s v="#FutureOfDriving"/>
    <m/>
    <m/>
    <x v="0"/>
  </r>
  <r>
    <s v="P030"/>
    <s v="Instagram"/>
    <s v="2025-02-25"/>
    <s v="Video"/>
    <s v="Check out our latest video on instagram!"/>
    <n v="3095"/>
    <n v="39"/>
    <n v="78"/>
    <n v="55710"/>
    <n v="54808"/>
    <n v="93"/>
    <s v="#EVRevolution"/>
    <m/>
    <m/>
    <x v="0"/>
  </r>
  <r>
    <s v="P022"/>
    <s v="Facebook"/>
    <s v="2025-02-27"/>
    <s v="Text"/>
    <s v="Check out our latest text on facebook!"/>
    <n v="1570"/>
    <n v="187"/>
    <n v="260"/>
    <n v="25120"/>
    <n v="24613"/>
    <n v="133"/>
    <s v="#TeslaCoInnovation"/>
    <m/>
    <m/>
    <x v="2"/>
  </r>
  <r>
    <s v="P164"/>
    <s v="YouTube"/>
    <s v="2025-02-27"/>
    <s v="Text"/>
    <s v="Check out our latest text on youtube!"/>
    <n v="4934"/>
    <n v="971"/>
    <n v="156"/>
    <n v="39472"/>
    <n v="39025"/>
    <n v="169"/>
    <s v="#TeslaCoInnovation"/>
    <s v="#AnytimeIsTeslaTime"/>
    <m/>
    <x v="2"/>
  </r>
  <r>
    <s v="P044"/>
    <s v="Twitter"/>
    <s v="2025-03-02"/>
    <s v="Image"/>
    <s v="Check out our latest image on twitter!"/>
    <n v="2358"/>
    <n v="784"/>
    <n v="344"/>
    <n v="35370"/>
    <n v="34475"/>
    <n v="216"/>
    <s v="#TeslaCoInnovation"/>
    <m/>
    <m/>
    <x v="0"/>
  </r>
  <r>
    <s v="P072"/>
    <s v="YouTube"/>
    <s v="2025-03-03"/>
    <s v="Reel"/>
    <s v="Check out our latest reel on youtube!"/>
    <n v="296"/>
    <n v="60"/>
    <n v="141"/>
    <n v="5624"/>
    <n v="5239"/>
    <n v="88"/>
    <s v="#EVRevolution"/>
    <m/>
    <m/>
    <x v="3"/>
  </r>
  <r>
    <s v="P212"/>
    <s v="YouTube"/>
    <s v="2025-03-03"/>
    <s v="Video"/>
    <s v="Check out our latest video on youtube!"/>
    <n v="3874"/>
    <n v="884"/>
    <n v="19"/>
    <n v="38740"/>
    <n v="38552"/>
    <n v="219"/>
    <s v="#TeslaCoInnovation"/>
    <m/>
    <m/>
    <x v="3"/>
  </r>
  <r>
    <s v="P028"/>
    <s v="Instagram"/>
    <s v="2025-03-04"/>
    <s v="Video"/>
    <s v="Check out our latest video on instagram!"/>
    <n v="432"/>
    <n v="624"/>
    <n v="123"/>
    <n v="6912"/>
    <n v="6259"/>
    <n v="79"/>
    <s v="#FutureOfDriving"/>
    <m/>
    <m/>
    <x v="2"/>
  </r>
  <r>
    <s v="P077"/>
    <s v="Facebook"/>
    <s v="2025-03-04"/>
    <s v="Story"/>
    <s v="Check out our latest story on facebook!"/>
    <n v="1249"/>
    <n v="116"/>
    <n v="420"/>
    <n v="8743"/>
    <n v="8538"/>
    <n v="63"/>
    <s v="#TeslaCoInnovation"/>
    <m/>
    <m/>
    <x v="0"/>
  </r>
  <r>
    <s v="P132"/>
    <s v="Instagram"/>
    <s v="2025-03-04"/>
    <s v="Story"/>
    <s v="Check out our latest story on instagram!"/>
    <n v="1947"/>
    <n v="842"/>
    <n v="101"/>
    <n v="21417"/>
    <n v="20967"/>
    <n v="186"/>
    <s v="#FutureOfDriving"/>
    <m/>
    <m/>
    <x v="3"/>
  </r>
  <r>
    <s v="P042"/>
    <s v="YouTube"/>
    <s v="2025-03-05"/>
    <s v="Reel"/>
    <s v="Check out our latest reel on youtube!"/>
    <n v="1543"/>
    <n v="820"/>
    <n v="333"/>
    <n v="12344"/>
    <n v="11496"/>
    <n v="241"/>
    <s v="#EVRevolution"/>
    <m/>
    <m/>
    <x v="0"/>
  </r>
  <r>
    <s v="P243"/>
    <s v="Twitter"/>
    <s v="2025-03-06"/>
    <s v="Image"/>
    <s v="Check out our latest image on twitter!"/>
    <n v="3592"/>
    <n v="911"/>
    <n v="375"/>
    <n v="50288"/>
    <n v="49490"/>
    <n v="32"/>
    <s v="#FutureOfDriving"/>
    <m/>
    <m/>
    <x v="2"/>
  </r>
  <r>
    <s v="P040"/>
    <s v="Twitter"/>
    <s v="2025-03-07"/>
    <s v="Image"/>
    <s v="Check out our latest image on twitter!"/>
    <n v="4750"/>
    <n v="151"/>
    <n v="415"/>
    <n v="38000"/>
    <n v="37792"/>
    <n v="299"/>
    <s v="#EVRevolution"/>
    <m/>
    <m/>
    <x v="2"/>
  </r>
  <r>
    <s v="P041"/>
    <s v="Instagram"/>
    <s v="2025-03-08"/>
    <s v="Reel"/>
    <s v="Check out our latest reel on instagram!"/>
    <n v="456"/>
    <n v="629"/>
    <n v="428"/>
    <n v="8208"/>
    <n v="7377"/>
    <n v="205"/>
    <s v="#FutureOfDriving"/>
    <m/>
    <m/>
    <x v="2"/>
  </r>
  <r>
    <s v="P069"/>
    <s v="Twitter"/>
    <s v="2025-03-08"/>
    <s v="Text"/>
    <s v="Check out our latest text on twitter!"/>
    <n v="1292"/>
    <n v="626"/>
    <n v="496"/>
    <n v="25840"/>
    <n v="24916"/>
    <n v="149"/>
    <s v="#FutureOfDriving"/>
    <m/>
    <m/>
    <x v="1"/>
  </r>
  <r>
    <s v="P233"/>
    <s v="Facebook"/>
    <s v="2025-03-08"/>
    <s v="Image"/>
    <s v="Check out our latest image on facebook!"/>
    <n v="2382"/>
    <n v="265"/>
    <n v="134"/>
    <n v="38112"/>
    <n v="37437"/>
    <n v="249"/>
    <s v="#FutureOfDriving"/>
    <m/>
    <m/>
    <x v="2"/>
  </r>
  <r>
    <s v="P010"/>
    <s v="Facebook"/>
    <s v="2025-03-11"/>
    <s v="Image"/>
    <s v="Check out our latest image on facebook!"/>
    <n v="4241"/>
    <n v="902"/>
    <n v="47"/>
    <n v="72097"/>
    <n v="71598"/>
    <n v="167"/>
    <s v="#TeslaCoInnovation"/>
    <m/>
    <m/>
    <x v="3"/>
  </r>
  <r>
    <s v="P048"/>
    <s v="Twitter"/>
    <s v="2025-03-11"/>
    <s v="Story"/>
    <s v="Check out our latest story on twitter!"/>
    <n v="1950"/>
    <n v="295"/>
    <n v="478"/>
    <n v="37050"/>
    <n v="36272"/>
    <n v="119"/>
    <s v="#TeslaCoInnovation"/>
    <m/>
    <m/>
    <x v="0"/>
  </r>
  <r>
    <s v="P054"/>
    <s v="YouTube"/>
    <s v="2025-03-13"/>
    <s v="Carousel"/>
    <s v="Check out our latest carousel on youtube!"/>
    <n v="1686"/>
    <n v="904"/>
    <n v="472"/>
    <n v="18546"/>
    <n v="18171"/>
    <n v="52"/>
    <s v="#FutureOfDriving"/>
    <m/>
    <m/>
    <x v="3"/>
  </r>
  <r>
    <s v="P116"/>
    <s v="YouTube"/>
    <s v="2025-03-18"/>
    <s v="Reel"/>
    <s v="Check out our latest reel on youtube!"/>
    <n v="3704"/>
    <n v="186"/>
    <n v="458"/>
    <n v="25928"/>
    <n v="25081"/>
    <n v="131"/>
    <s v="#TeslaCoInnovation"/>
    <m/>
    <m/>
    <x v="0"/>
  </r>
  <r>
    <s v="P209"/>
    <s v="Twitter"/>
    <s v="2025-03-19"/>
    <s v="Video"/>
    <s v="Check out our latest video on twitter!"/>
    <n v="3160"/>
    <n v="204"/>
    <n v="297"/>
    <n v="44240"/>
    <n v="43666"/>
    <n v="49"/>
    <s v="#FutureOfDriving"/>
    <s v="#AnytimeIsTeslaTime"/>
    <m/>
    <x v="2"/>
  </r>
  <r>
    <s v="P181"/>
    <s v="YouTube"/>
    <s v="2025-03-21"/>
    <s v="Image"/>
    <s v="Check out our latest image on youtube!"/>
    <n v="606"/>
    <n v="789"/>
    <n v="470"/>
    <n v="7878"/>
    <n v="7389"/>
    <n v="239"/>
    <s v="#EVRevolution"/>
    <m/>
    <m/>
    <x v="1"/>
  </r>
  <r>
    <s v="P281"/>
    <s v="YouTube"/>
    <s v="2025-03-22"/>
    <s v="Image"/>
    <s v="Check out our latest image on youtube!"/>
    <n v="3166"/>
    <n v="90"/>
    <n v="341"/>
    <n v="56988"/>
    <n v="56125"/>
    <n v="135"/>
    <s v="#EVRevolution"/>
    <m/>
    <m/>
    <x v="3"/>
  </r>
  <r>
    <s v="P104"/>
    <s v="YouTube"/>
    <s v="2025-03-23"/>
    <s v="Story"/>
    <s v="Check out our latest story on youtube!"/>
    <n v="3655"/>
    <n v="568"/>
    <n v="286"/>
    <n v="32895"/>
    <n v="32015"/>
    <n v="199"/>
    <s v="#TeslaCoInnovation"/>
    <m/>
    <m/>
    <x v="1"/>
  </r>
  <r>
    <s v="P221"/>
    <s v="Facebook"/>
    <s v="2025-03-23"/>
    <s v="Video"/>
    <s v="Check out our latest video on facebook!"/>
    <n v="4453"/>
    <n v="111"/>
    <n v="420"/>
    <n v="31171"/>
    <n v="30565"/>
    <n v="23"/>
    <s v="#TeslaCoInnovation"/>
    <m/>
    <m/>
    <x v="0"/>
  </r>
  <r>
    <s v="P091"/>
    <s v="Facebook"/>
    <s v="2025-03-24"/>
    <s v="Image"/>
    <s v="Check out our latest image on facebook!"/>
    <n v="1263"/>
    <n v="397"/>
    <n v="357"/>
    <n v="25260"/>
    <n v="24615"/>
    <n v="137"/>
    <s v="#EVRevolution"/>
    <m/>
    <m/>
    <x v="2"/>
  </r>
  <r>
    <s v="P189"/>
    <s v="Facebook"/>
    <s v="2025-03-24"/>
    <s v="Reel"/>
    <s v="Check out our latest reel on facebook!"/>
    <n v="3360"/>
    <n v="525"/>
    <n v="500"/>
    <n v="60480"/>
    <n v="59610"/>
    <n v="192"/>
    <s v="#TeslaCoInnovation"/>
    <m/>
    <m/>
    <x v="5"/>
  </r>
  <r>
    <s v="P108"/>
    <s v="Twitter"/>
    <s v="2025-03-25"/>
    <s v="Video"/>
    <s v="Check out our latest video on twitter!"/>
    <n v="4050"/>
    <n v="871"/>
    <n v="347"/>
    <n v="52650"/>
    <n v="51755"/>
    <n v="209"/>
    <s v="#TeslaCoInnovation"/>
    <m/>
    <m/>
    <x v="3"/>
  </r>
  <r>
    <s v="P142"/>
    <s v="YouTube"/>
    <s v="2025-03-25"/>
    <s v="Story"/>
    <s v="Check out our latest story on youtube!"/>
    <n v="2070"/>
    <n v="275"/>
    <n v="386"/>
    <n v="39330"/>
    <n v="38627"/>
    <n v="114"/>
    <s v="#FutureOfDriving"/>
    <m/>
    <m/>
    <x v="2"/>
  </r>
  <r>
    <s v="P034"/>
    <s v="Facebook"/>
    <s v="2025-03-26"/>
    <s v="Text"/>
    <s v="Check out our latest text on facebook!"/>
    <n v="1652"/>
    <n v="89"/>
    <n v="357"/>
    <n v="29736"/>
    <n v="28771"/>
    <n v="215"/>
    <s v="#TeslaCoInnovation"/>
    <m/>
    <m/>
    <x v="1"/>
  </r>
  <r>
    <s v="P251"/>
    <s v="Instagram"/>
    <s v="2025-03-27"/>
    <s v="Carousel"/>
    <s v="Check out our latest carousel on instagram!"/>
    <n v="1377"/>
    <n v="796"/>
    <n v="387"/>
    <n v="22032"/>
    <n v="21869"/>
    <n v="189"/>
    <s v="#FutureOfDriving"/>
    <m/>
    <m/>
    <x v="0"/>
  </r>
  <r>
    <s v="P272"/>
    <s v="Instagram"/>
    <s v="2025-03-27"/>
    <s v="Text"/>
    <s v="Check out our latest text on instagram!"/>
    <n v="4941"/>
    <n v="414"/>
    <n v="266"/>
    <n v="39528"/>
    <n v="39154"/>
    <n v="217"/>
    <s v="#TeslaCoInnovation"/>
    <m/>
    <m/>
    <x v="1"/>
  </r>
  <r>
    <s v="P065"/>
    <s v="Instagram"/>
    <s v="2025-03-28"/>
    <s v="Story"/>
    <s v="Check out our latest story on instagram!"/>
    <n v="1881"/>
    <n v="501"/>
    <n v="99"/>
    <n v="20691"/>
    <n v="19987"/>
    <n v="289"/>
    <s v="#EVRevolution"/>
    <m/>
    <m/>
    <x v="0"/>
  </r>
  <r>
    <s v="P126"/>
    <s v="Instagram"/>
    <s v="2025-03-28"/>
    <s v="Carousel"/>
    <s v="Check out our latest carousel on instagram!"/>
    <n v="4158"/>
    <n v="167"/>
    <n v="241"/>
    <n v="45738"/>
    <n v="45183"/>
    <n v="142"/>
    <s v="#FutureOfDriving"/>
    <m/>
    <m/>
    <x v="0"/>
  </r>
  <r>
    <s v="P067"/>
    <s v="Facebook"/>
    <s v="2025-03-29"/>
    <s v="Carousel"/>
    <s v="Check out our latest carousel on facebook!"/>
    <n v="4712"/>
    <n v="568"/>
    <n v="127"/>
    <n v="84816"/>
    <n v="84691"/>
    <n v="100"/>
    <s v="#EVRevolution"/>
    <m/>
    <m/>
    <x v="1"/>
  </r>
  <r>
    <s v="P138"/>
    <s v="Twitter"/>
    <s v="2025-03-29"/>
    <s v="Image"/>
    <s v="Check out our latest image on twitter!"/>
    <n v="305"/>
    <n v="187"/>
    <n v="243"/>
    <n v="4575"/>
    <n v="3704"/>
    <n v="234"/>
    <s v="#FutureOfDriving"/>
    <m/>
    <m/>
    <x v="1"/>
  </r>
  <r>
    <s v="P162"/>
    <s v="Facebook"/>
    <s v="2025-04-01"/>
    <s v="Story"/>
    <s v="Check out our latest story on facebook!"/>
    <n v="3430"/>
    <n v="566"/>
    <n v="164"/>
    <n v="48020"/>
    <n v="47305"/>
    <n v="120"/>
    <s v="#FutureOfDriving"/>
    <m/>
    <m/>
    <x v="0"/>
  </r>
  <r>
    <s v="P070"/>
    <s v="Facebook"/>
    <s v="2025-04-02"/>
    <s v="Video"/>
    <s v="Check out our latest video on facebook!"/>
    <n v="199"/>
    <n v="772"/>
    <n v="400"/>
    <n v="3582"/>
    <n v="2988"/>
    <n v="43"/>
    <s v="#TeslaCoInnovation"/>
    <m/>
    <m/>
    <x v="0"/>
  </r>
  <r>
    <s v="P002"/>
    <s v="Twitter"/>
    <s v="2025-04-03"/>
    <s v="Text"/>
    <s v="Check out our latest text on twitter!"/>
    <n v="4054"/>
    <n v="389"/>
    <n v="493"/>
    <n v="64864"/>
    <n v="64383"/>
    <n v="117"/>
    <s v="#TeslaCoInnovation"/>
    <s v="#BetterWithTesla"/>
    <m/>
    <x v="3"/>
  </r>
  <r>
    <s v="P255"/>
    <s v="Facebook"/>
    <s v="2025-04-03"/>
    <s v="Story"/>
    <s v="Check out our latest story on facebook!"/>
    <n v="3767"/>
    <n v="514"/>
    <n v="238"/>
    <n v="37670"/>
    <n v="36807"/>
    <n v="226"/>
    <s v="#FutureOfDriving"/>
    <m/>
    <m/>
    <x v="2"/>
  </r>
  <r>
    <s v="P026"/>
    <s v="YouTube"/>
    <s v="2025-04-05"/>
    <s v="Reel"/>
    <s v="Check out our latest reel on youtube!"/>
    <n v="3009"/>
    <n v="413"/>
    <n v="358"/>
    <n v="42126"/>
    <n v="41309"/>
    <n v="211"/>
    <s v="#FutureOfDriving"/>
    <m/>
    <m/>
    <x v="3"/>
  </r>
  <r>
    <s v="P124"/>
    <s v="YouTube"/>
    <s v="2025-04-06"/>
    <s v="Carousel"/>
    <s v="Check out our latest carousel on youtube!"/>
    <n v="736"/>
    <n v="771"/>
    <n v="225"/>
    <n v="5152"/>
    <n v="4706"/>
    <n v="19"/>
    <s v="#EVRevolution"/>
    <m/>
    <m/>
    <x v="5"/>
  </r>
  <r>
    <s v="P257"/>
    <s v="Facebook"/>
    <s v="2025-04-06"/>
    <s v="Image"/>
    <s v="Check out our latest image on facebook!"/>
    <n v="3090"/>
    <n v="697"/>
    <n v="164"/>
    <n v="49440"/>
    <n v="48524"/>
    <n v="25"/>
    <s v="#EVRevolution"/>
    <s v="#EVRevolution"/>
    <s v="#BetterWithTesla"/>
    <x v="3"/>
  </r>
  <r>
    <s v="P277"/>
    <s v="Facebook"/>
    <s v="2025-04-06"/>
    <s v="Image"/>
    <s v="Check out our latest image on facebook!"/>
    <n v="4236"/>
    <n v="711"/>
    <n v="298"/>
    <n v="21180"/>
    <n v="20516"/>
    <n v="238"/>
    <s v="#FutureOfDriving"/>
    <m/>
    <m/>
    <x v="5"/>
  </r>
  <r>
    <s v="P200"/>
    <s v="Facebook"/>
    <s v="2025-04-07"/>
    <s v="Reel"/>
    <s v="Check out our latest reel on facebook!"/>
    <n v="3718"/>
    <n v="385"/>
    <n v="310"/>
    <n v="70642"/>
    <n v="69749"/>
    <n v="233"/>
    <s v="#TeslaCoInnovation"/>
    <m/>
    <m/>
    <x v="3"/>
  </r>
  <r>
    <s v="P163"/>
    <s v="Instagram"/>
    <s v="2025-04-08"/>
    <s v="Image"/>
    <s v="Check out our latest image on instagram!"/>
    <n v="4501"/>
    <n v="375"/>
    <n v="323"/>
    <n v="22505"/>
    <n v="21836"/>
    <n v="132"/>
    <s v="#TeslaCoInnovation"/>
    <m/>
    <m/>
    <x v="3"/>
  </r>
  <r>
    <s v="P025"/>
    <s v="Twitter"/>
    <s v="2025-04-10"/>
    <s v="Carousel"/>
    <s v="Check out our latest carousel on twitter!"/>
    <n v="3128"/>
    <n v="211"/>
    <n v="197"/>
    <n v="59432"/>
    <n v="59182"/>
    <n v="238"/>
    <s v="#EVRevolution"/>
    <m/>
    <m/>
    <x v="0"/>
  </r>
  <r>
    <s v="P268"/>
    <s v="Instagram"/>
    <s v="2025-04-13"/>
    <s v="Reel"/>
    <s v="Check out our latest reel on instagram!"/>
    <n v="4579"/>
    <n v="125"/>
    <n v="300"/>
    <n v="59527"/>
    <n v="59400"/>
    <n v="269"/>
    <s v="#EVRevolution"/>
    <m/>
    <m/>
    <x v="5"/>
  </r>
  <r>
    <s v="P058"/>
    <s v="Instagram"/>
    <s v="2025-04-15"/>
    <s v="Reel"/>
    <s v="Check out our latest reel on instagram!"/>
    <n v="103"/>
    <n v="770"/>
    <n v="19"/>
    <n v="1030"/>
    <n v="410"/>
    <n v="262"/>
    <s v="#TeslaCoInnovation"/>
    <m/>
    <m/>
    <x v="2"/>
  </r>
  <r>
    <s v="P148"/>
    <s v="Instagram"/>
    <s v="2025-04-15"/>
    <s v="Video"/>
    <s v="Check out our latest video on instagram!"/>
    <n v="4133"/>
    <n v="466"/>
    <n v="327"/>
    <n v="24798"/>
    <n v="24620"/>
    <n v="176"/>
    <s v="#EVRevolution"/>
    <m/>
    <m/>
    <x v="2"/>
  </r>
  <r>
    <s v="P288"/>
    <s v="YouTube"/>
    <s v="2025-04-17"/>
    <s v="Carousel"/>
    <s v="Check out our latest carousel on youtube!"/>
    <n v="4780"/>
    <n v="691"/>
    <n v="380"/>
    <n v="86040"/>
    <n v="85743"/>
    <n v="262"/>
    <s v="#FutureOfDriving"/>
    <m/>
    <m/>
    <x v="1"/>
  </r>
  <r>
    <s v="P036"/>
    <s v="Instagram"/>
    <s v="2025-04-19"/>
    <s v="Story"/>
    <s v="Check out our latest story on instagram!"/>
    <n v="4518"/>
    <n v="285"/>
    <n v="383"/>
    <n v="67770"/>
    <n v="67621"/>
    <n v="31"/>
    <s v="#EVRevolution"/>
    <m/>
    <m/>
    <x v="3"/>
  </r>
  <r>
    <s v="P085"/>
    <s v="Instagram"/>
    <s v="2025-04-19"/>
    <s v="Image"/>
    <s v="Check out our latest image on instagram!"/>
    <n v="4177"/>
    <n v="569"/>
    <n v="55"/>
    <n v="25062"/>
    <n v="24847"/>
    <n v="230"/>
    <s v="#FutureOfDriving"/>
    <m/>
    <m/>
    <x v="5"/>
  </r>
  <r>
    <s v="P152"/>
    <s v="Facebook"/>
    <s v="2025-04-22"/>
    <s v="Image"/>
    <s v="Check out our latest image on facebook!"/>
    <n v="4804"/>
    <n v="550"/>
    <n v="270"/>
    <n v="28824"/>
    <n v="28370"/>
    <n v="47"/>
    <s v="#EVRevolution"/>
    <m/>
    <m/>
    <x v="2"/>
  </r>
  <r>
    <s v="P134"/>
    <s v="Twitter"/>
    <s v="2025-04-24"/>
    <s v="Reel"/>
    <s v="Check out our latest reel on twitter!"/>
    <n v="3731"/>
    <n v="115"/>
    <n v="135"/>
    <n v="55965"/>
    <n v="55436"/>
    <n v="103"/>
    <s v="#TeslaCoInnovation"/>
    <m/>
    <m/>
    <x v="5"/>
  </r>
  <r>
    <s v="P205"/>
    <s v="Twitter"/>
    <s v="2025-04-24"/>
    <s v="Video"/>
    <s v="Check out our latest video on twitter!"/>
    <n v="3820"/>
    <n v="697"/>
    <n v="268"/>
    <n v="45840"/>
    <n v="45631"/>
    <n v="171"/>
    <s v="#TeslaCoInnovation"/>
    <s v="#SmoothLikeNitroTesla"/>
    <m/>
    <x v="2"/>
  </r>
  <r>
    <s v="P170"/>
    <s v="Twitter"/>
    <s v="2025-04-28"/>
    <s v="Text"/>
    <s v="Check out our latest text on twitter!"/>
    <n v="3577"/>
    <n v="596"/>
    <n v="493"/>
    <n v="67963"/>
    <n v="67839"/>
    <n v="53"/>
    <s v="#TeslaCoInnovation"/>
    <m/>
    <m/>
    <x v="1"/>
  </r>
  <r>
    <s v="P252"/>
    <s v="Facebook"/>
    <s v="2025-04-28"/>
    <s v="Carousel"/>
    <s v="Check out our latest carousel on facebook!"/>
    <n v="2089"/>
    <n v="476"/>
    <n v="69"/>
    <n v="16712"/>
    <n v="16309"/>
    <n v="64"/>
    <s v="#FutureOfDriving"/>
    <m/>
    <m/>
    <x v="1"/>
  </r>
  <r>
    <s v="P232"/>
    <s v="Twitter"/>
    <s v="2025-04-29"/>
    <s v="Story"/>
    <s v="Check out our latest story on twitter!"/>
    <n v="249"/>
    <n v="592"/>
    <n v="230"/>
    <n v="1494"/>
    <n v="1044"/>
    <n v="201"/>
    <s v="#EVRevolution"/>
    <m/>
    <m/>
    <x v="2"/>
  </r>
  <r>
    <s v="P213"/>
    <s v="Facebook"/>
    <s v="2025-05-01"/>
    <s v="Carousel"/>
    <s v="Check out our latest carousel on facebook!"/>
    <n v="2696"/>
    <n v="628"/>
    <n v="443"/>
    <n v="45832"/>
    <n v="45632"/>
    <n v="248"/>
    <s v="#EVRevolution"/>
    <m/>
    <m/>
    <x v="2"/>
  </r>
  <r>
    <s v="P231"/>
    <s v="Instagram"/>
    <s v="2025-05-01"/>
    <s v="Text"/>
    <s v="Check out our latest text on instagram!"/>
    <n v="1430"/>
    <n v="376"/>
    <n v="33"/>
    <n v="21450"/>
    <n v="20509"/>
    <n v="251"/>
    <s v="#FutureOfDriving"/>
    <m/>
    <m/>
    <x v="5"/>
  </r>
  <r>
    <s v="P046"/>
    <s v="Twitter"/>
    <s v="2025-05-02"/>
    <s v="Video"/>
    <s v="Check out our latest video on twitter!"/>
    <n v="1108"/>
    <n v="177"/>
    <n v="212"/>
    <n v="8864"/>
    <n v="8710"/>
    <n v="97"/>
    <s v="#TeslaCoInnovation"/>
    <m/>
    <m/>
    <x v="2"/>
  </r>
  <r>
    <s v="P017"/>
    <s v="Facebook"/>
    <s v="2025-05-05"/>
    <s v="Text"/>
    <s v="Check out our latest text on facebook!"/>
    <n v="4441"/>
    <n v="511"/>
    <n v="70"/>
    <n v="53292"/>
    <n v="53082"/>
    <n v="159"/>
    <s v="#EVRevolution"/>
    <m/>
    <m/>
    <x v="2"/>
  </r>
  <r>
    <s v="P215"/>
    <s v="Facebook"/>
    <s v="2025-05-06"/>
    <s v="Image"/>
    <s v="Check out our latest image on facebook!"/>
    <n v="4872"/>
    <n v="925"/>
    <n v="176"/>
    <n v="82824"/>
    <n v="82543"/>
    <n v="89"/>
    <s v="#EVRevolution"/>
    <m/>
    <m/>
    <x v="3"/>
  </r>
  <r>
    <s v="P295"/>
    <s v="Twitter"/>
    <s v="2025-05-06"/>
    <s v="Image"/>
    <s v="Check out our latest image on twitter!"/>
    <n v="1952"/>
    <n v="344"/>
    <n v="287"/>
    <n v="15616"/>
    <n v="15403"/>
    <n v="235"/>
    <s v="#FutureOfDriving"/>
    <s v="#TeslaCoInnovation"/>
    <s v="#AnytimeIsTeslaTime"/>
    <x v="3"/>
  </r>
  <r>
    <s v="P283"/>
    <s v="Twitter"/>
    <s v="2025-05-09"/>
    <s v="Reel"/>
    <s v="Check out our latest reel on twitter!"/>
    <n v="3367"/>
    <n v="302"/>
    <n v="57"/>
    <n v="63973"/>
    <n v="63789"/>
    <n v="157"/>
    <s v="#FutureOfDriving"/>
    <m/>
    <m/>
    <x v="3"/>
  </r>
  <r>
    <s v="P115"/>
    <s v="Twitter"/>
    <s v="2025-05-11"/>
    <s v="Image"/>
    <s v="Check out our latest image on twitter!"/>
    <n v="2493"/>
    <n v="97"/>
    <n v="44"/>
    <n v="42381"/>
    <n v="41991"/>
    <n v="242"/>
    <s v="#TeslaCoInnovation"/>
    <s v="#AnytimeIsTeslaTime"/>
    <m/>
    <x v="2"/>
  </r>
  <r>
    <s v="P003"/>
    <s v="YouTube"/>
    <s v="2025-05-12"/>
    <s v="Reel"/>
    <s v="Check out our latest reel on youtube!"/>
    <n v="2795"/>
    <n v="105"/>
    <n v="49"/>
    <n v="53105"/>
    <n v="52307"/>
    <n v="204"/>
    <s v="#TeslaCoInnovation"/>
    <m/>
    <m/>
    <x v="1"/>
  </r>
  <r>
    <s v="P224"/>
    <s v="Facebook"/>
    <s v="2025-05-13"/>
    <s v="Image"/>
    <s v="Check out our latest image on facebook!"/>
    <n v="602"/>
    <n v="594"/>
    <n v="156"/>
    <n v="4214"/>
    <n v="3363"/>
    <n v="164"/>
    <s v="#TeslaCoInnovation"/>
    <m/>
    <m/>
    <x v="1"/>
  </r>
  <r>
    <s v="P293"/>
    <s v="Facebook"/>
    <s v="2025-05-14"/>
    <s v="Text"/>
    <s v="Check out our latest text on facebook!"/>
    <n v="2634"/>
    <n v="726"/>
    <n v="241"/>
    <n v="28974"/>
    <n v="28102"/>
    <n v="277"/>
    <s v="#EVRevolution"/>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957"/>
    <n v="76"/>
    <n v="447902"/>
    <n v="6.09"/>
    <n v="33381"/>
    <n v="1881"/>
    <n v="4.1995793722733989E-3"/>
  </r>
  <r>
    <x v="1"/>
    <x v="0"/>
    <n v="1939"/>
    <n v="67"/>
    <n v="187183"/>
    <n v="6.25"/>
    <n v="41215"/>
    <n v="1872"/>
    <n v="1.0000908202133741E-2"/>
  </r>
  <r>
    <x v="2"/>
    <x v="0"/>
    <n v="1960"/>
    <n v="115"/>
    <n v="154169"/>
    <n v="3.74"/>
    <n v="10740"/>
    <n v="1845"/>
    <n v="1.1967386439556591E-2"/>
  </r>
  <r>
    <x v="3"/>
    <x v="1"/>
    <n v="1980"/>
    <n v="204"/>
    <n v="379431"/>
    <n v="3.09"/>
    <n v="25140"/>
    <n v="1776"/>
    <n v="4.6806929323118035E-3"/>
  </r>
  <r>
    <x v="3"/>
    <x v="0"/>
    <n v="1814"/>
    <n v="49"/>
    <n v="140804"/>
    <n v="1.76"/>
    <n v="4313"/>
    <n v="1765"/>
    <n v="1.253515525127127E-2"/>
  </r>
  <r>
    <x v="4"/>
    <x v="2"/>
    <n v="1937"/>
    <n v="210"/>
    <n v="20607"/>
    <n v="4.2"/>
    <n v="20861"/>
    <n v="1727"/>
    <n v="8.3806473528412681E-2"/>
  </r>
  <r>
    <x v="5"/>
    <x v="0"/>
    <n v="1957"/>
    <n v="234"/>
    <n v="222126"/>
    <n v="4.6100000000000003"/>
    <n v="3314"/>
    <n v="1723"/>
    <n v="7.7568587198256845E-3"/>
  </r>
  <r>
    <x v="6"/>
    <x v="0"/>
    <n v="1855"/>
    <n v="133"/>
    <n v="349413"/>
    <n v="3.3"/>
    <n v="14548"/>
    <n v="1722"/>
    <n v="4.9282654051223049E-3"/>
  </r>
  <r>
    <x v="7"/>
    <x v="1"/>
    <n v="1884"/>
    <n v="177"/>
    <n v="230448"/>
    <n v="7.8"/>
    <n v="22713"/>
    <n v="1707"/>
    <n v="7.4073109768798169E-3"/>
  </r>
  <r>
    <x v="8"/>
    <x v="3"/>
    <n v="1918"/>
    <n v="212"/>
    <n v="94360"/>
    <n v="7.36"/>
    <n v="36851"/>
    <n v="1706"/>
    <n v="1.8079694785926241E-2"/>
  </r>
  <r>
    <x v="9"/>
    <x v="1"/>
    <n v="1902"/>
    <n v="196"/>
    <n v="470269"/>
    <n v="4.79"/>
    <n v="26103"/>
    <n v="1706"/>
    <n v="3.6277109484146308E-3"/>
  </r>
  <r>
    <x v="10"/>
    <x v="0"/>
    <n v="1854"/>
    <n v="161"/>
    <n v="282466"/>
    <n v="5.17"/>
    <n v="1810"/>
    <n v="1693"/>
    <n v="5.9936417126309005E-3"/>
  </r>
  <r>
    <x v="11"/>
    <x v="2"/>
    <n v="1911"/>
    <n v="231"/>
    <n v="268516"/>
    <n v="8.5500000000000007"/>
    <n v="24018"/>
    <n v="1680"/>
    <n v="6.2566104068286429E-3"/>
  </r>
  <r>
    <x v="12"/>
    <x v="2"/>
    <n v="1946"/>
    <n v="270"/>
    <n v="198350"/>
    <n v="7.5"/>
    <n v="11805"/>
    <n v="1676"/>
    <n v="8.4497101083942528E-3"/>
  </r>
  <r>
    <x v="13"/>
    <x v="0"/>
    <n v="1757"/>
    <n v="85"/>
    <n v="58223"/>
    <n v="8.74"/>
    <n v="22728"/>
    <n v="1672"/>
    <n v="2.8717173625543171E-2"/>
  </r>
  <r>
    <x v="14"/>
    <x v="1"/>
    <n v="1779"/>
    <n v="109"/>
    <n v="26295"/>
    <n v="9.1199999999999992"/>
    <n v="30635"/>
    <n v="1670"/>
    <n v="6.3510173036698994E-2"/>
  </r>
  <r>
    <x v="15"/>
    <x v="2"/>
    <n v="1751"/>
    <n v="86"/>
    <n v="188655"/>
    <n v="7.24"/>
    <n v="22206"/>
    <n v="1665"/>
    <n v="8.825634093981077E-3"/>
  </r>
  <r>
    <x v="1"/>
    <x v="1"/>
    <n v="1929"/>
    <n v="267"/>
    <n v="379363"/>
    <n v="1.75"/>
    <n v="43836"/>
    <n v="1662"/>
    <n v="4.3810281972675247E-3"/>
  </r>
  <r>
    <x v="16"/>
    <x v="3"/>
    <n v="1814"/>
    <n v="157"/>
    <n v="305827"/>
    <n v="1.99"/>
    <n v="46643"/>
    <n v="1657"/>
    <n v="5.4180958515762179E-3"/>
  </r>
  <r>
    <x v="17"/>
    <x v="0"/>
    <n v="1765"/>
    <n v="109"/>
    <n v="468301"/>
    <n v="1.82"/>
    <n v="20042"/>
    <n v="1656"/>
    <n v="3.5361871958419907E-3"/>
  </r>
  <r>
    <x v="18"/>
    <x v="3"/>
    <n v="1707"/>
    <n v="74"/>
    <n v="270958"/>
    <n v="3.09"/>
    <n v="14090"/>
    <n v="1633"/>
    <n v="6.0267642955734836E-3"/>
  </r>
  <r>
    <x v="9"/>
    <x v="0"/>
    <n v="1696"/>
    <n v="71"/>
    <n v="421957"/>
    <n v="3.79"/>
    <n v="36103"/>
    <n v="1625"/>
    <n v="3.8511033114748661E-3"/>
  </r>
  <r>
    <x v="19"/>
    <x v="0"/>
    <n v="1685"/>
    <n v="76"/>
    <n v="453799"/>
    <n v="5.71"/>
    <n v="24913"/>
    <n v="1609"/>
    <n v="3.5456226214689766E-3"/>
  </r>
  <r>
    <x v="20"/>
    <x v="2"/>
    <n v="1821"/>
    <n v="218"/>
    <n v="439080"/>
    <n v="5.68"/>
    <n v="36095"/>
    <n v="1603"/>
    <n v="3.6508153411678964E-3"/>
  </r>
  <r>
    <x v="21"/>
    <x v="1"/>
    <n v="1895"/>
    <n v="305"/>
    <n v="104967"/>
    <n v="3.85"/>
    <n v="31853"/>
    <n v="1590"/>
    <n v="1.5147617822744291E-2"/>
  </r>
  <r>
    <x v="22"/>
    <x v="3"/>
    <n v="1900"/>
    <n v="311"/>
    <n v="25177"/>
    <n v="2.89"/>
    <n v="14154"/>
    <n v="1589"/>
    <n v="6.3113158835445049E-2"/>
  </r>
  <r>
    <x v="23"/>
    <x v="0"/>
    <n v="1592"/>
    <n v="20"/>
    <n v="378054"/>
    <n v="9.09"/>
    <n v="26663"/>
    <n v="1572"/>
    <n v="4.1581361392816901E-3"/>
  </r>
  <r>
    <x v="24"/>
    <x v="0"/>
    <n v="1748"/>
    <n v="176"/>
    <n v="383681"/>
    <n v="9.24"/>
    <n v="43122"/>
    <n v="1572"/>
    <n v="4.0971536250166149E-3"/>
  </r>
  <r>
    <x v="25"/>
    <x v="0"/>
    <n v="1693"/>
    <n v="154"/>
    <n v="445944"/>
    <n v="5.69"/>
    <n v="14216"/>
    <n v="1539"/>
    <n v="3.4511059684624078E-3"/>
  </r>
  <r>
    <x v="3"/>
    <x v="2"/>
    <n v="1786"/>
    <n v="257"/>
    <n v="274831"/>
    <n v="4.68"/>
    <n v="9118"/>
    <n v="1529"/>
    <n v="5.5634189738421064E-3"/>
  </r>
  <r>
    <x v="0"/>
    <x v="2"/>
    <n v="1581"/>
    <n v="71"/>
    <n v="484364"/>
    <n v="3.55"/>
    <n v="16149"/>
    <n v="1510"/>
    <n v="3.1174901520344203E-3"/>
  </r>
  <r>
    <x v="26"/>
    <x v="2"/>
    <n v="1756"/>
    <n v="261"/>
    <n v="287574"/>
    <n v="4.3600000000000003"/>
    <n v="39272"/>
    <n v="1495"/>
    <n v="5.1986619096302169E-3"/>
  </r>
  <r>
    <x v="27"/>
    <x v="3"/>
    <n v="1707"/>
    <n v="223"/>
    <n v="256910"/>
    <n v="5.41"/>
    <n v="44321"/>
    <n v="1484"/>
    <n v="5.7763419096181542E-3"/>
  </r>
  <r>
    <x v="12"/>
    <x v="3"/>
    <n v="1957"/>
    <n v="490"/>
    <n v="435726"/>
    <n v="4.7300000000000004"/>
    <n v="15969"/>
    <n v="1467"/>
    <n v="3.3667947287974553E-3"/>
  </r>
  <r>
    <x v="3"/>
    <x v="3"/>
    <n v="1495"/>
    <n v="35"/>
    <n v="136845"/>
    <n v="4.4800000000000004"/>
    <n v="39931"/>
    <n v="1460"/>
    <n v="1.0669005078738719E-2"/>
  </r>
  <r>
    <x v="5"/>
    <x v="3"/>
    <n v="1707"/>
    <n v="263"/>
    <n v="485280"/>
    <n v="9.0299999999999994"/>
    <n v="24494"/>
    <n v="1444"/>
    <n v="2.9756017144741179E-3"/>
  </r>
  <r>
    <x v="28"/>
    <x v="0"/>
    <n v="1502"/>
    <n v="70"/>
    <n v="465553"/>
    <n v="3.32"/>
    <n v="20692"/>
    <n v="1432"/>
    <n v="3.0759118725472716E-3"/>
  </r>
  <r>
    <x v="23"/>
    <x v="1"/>
    <n v="1842"/>
    <n v="414"/>
    <n v="307524"/>
    <n v="1.76"/>
    <n v="40478"/>
    <n v="1428"/>
    <n v="4.6435400163889647E-3"/>
  </r>
  <r>
    <x v="29"/>
    <x v="2"/>
    <n v="1501"/>
    <n v="75"/>
    <n v="262569"/>
    <n v="2.0099999999999998"/>
    <n v="19119"/>
    <n v="1426"/>
    <n v="5.4309533874905263E-3"/>
  </r>
  <r>
    <x v="20"/>
    <x v="0"/>
    <n v="1466"/>
    <n v="69"/>
    <n v="54935"/>
    <n v="6.85"/>
    <n v="36484"/>
    <n v="1397"/>
    <n v="2.5430053699827069E-2"/>
  </r>
  <r>
    <x v="30"/>
    <x v="3"/>
    <n v="1596"/>
    <n v="211"/>
    <n v="17380"/>
    <n v="8.64"/>
    <n v="35801"/>
    <n v="1385"/>
    <n v="7.9689298043728429E-2"/>
  </r>
  <r>
    <x v="31"/>
    <x v="1"/>
    <n v="1753"/>
    <n v="371"/>
    <n v="169496"/>
    <n v="8.11"/>
    <n v="46670"/>
    <n v="1382"/>
    <n v="8.1535847453627231E-3"/>
  </r>
  <r>
    <x v="28"/>
    <x v="1"/>
    <n v="1623"/>
    <n v="246"/>
    <n v="415815"/>
    <n v="8.11"/>
    <n v="18656"/>
    <n v="1377"/>
    <n v="3.311568846722701E-3"/>
  </r>
  <r>
    <x v="7"/>
    <x v="0"/>
    <n v="1440"/>
    <n v="65"/>
    <n v="126524"/>
    <n v="4.34"/>
    <n v="49772"/>
    <n v="1375"/>
    <n v="1.0867503398564699E-2"/>
  </r>
  <r>
    <x v="4"/>
    <x v="1"/>
    <n v="1514"/>
    <n v="141"/>
    <n v="35842"/>
    <n v="7.47"/>
    <n v="18601"/>
    <n v="1373"/>
    <n v="3.8307014117515761E-2"/>
  </r>
  <r>
    <x v="28"/>
    <x v="2"/>
    <n v="1592"/>
    <n v="233"/>
    <n v="327183"/>
    <n v="6.66"/>
    <n v="13316"/>
    <n v="1359"/>
    <n v="4.1536387893013997E-3"/>
  </r>
  <r>
    <x v="32"/>
    <x v="2"/>
    <n v="1420"/>
    <n v="63"/>
    <n v="315305"/>
    <n v="6.19"/>
    <n v="5914"/>
    <n v="1357"/>
    <n v="4.3037693661692649E-3"/>
  </r>
  <r>
    <x v="33"/>
    <x v="2"/>
    <n v="1399"/>
    <n v="49"/>
    <n v="12471"/>
    <n v="5.12"/>
    <n v="14722"/>
    <n v="1350"/>
    <n v="0.10825114265095021"/>
  </r>
  <r>
    <x v="34"/>
    <x v="1"/>
    <n v="1534"/>
    <n v="200"/>
    <n v="307612"/>
    <n v="6.01"/>
    <n v="37903"/>
    <n v="1334"/>
    <n v="4.3366318609156986E-3"/>
  </r>
  <r>
    <x v="10"/>
    <x v="1"/>
    <n v="1710"/>
    <n v="378"/>
    <n v="336661"/>
    <n v="6.2"/>
    <n v="28498"/>
    <n v="1332"/>
    <n v="3.9565022381564839E-3"/>
  </r>
  <r>
    <x v="34"/>
    <x v="0"/>
    <n v="1528"/>
    <n v="203"/>
    <n v="489188"/>
    <n v="6.23"/>
    <n v="47101"/>
    <n v="1325"/>
    <n v="2.7085701202809553E-3"/>
  </r>
  <r>
    <x v="35"/>
    <x v="2"/>
    <n v="1701"/>
    <n v="385"/>
    <n v="198278"/>
    <n v="5.34"/>
    <n v="32763"/>
    <n v="1316"/>
    <n v="6.6371458255580548E-3"/>
  </r>
  <r>
    <x v="36"/>
    <x v="0"/>
    <n v="1371"/>
    <n v="56"/>
    <n v="257579"/>
    <n v="8.6199999999999992"/>
    <n v="33799"/>
    <n v="1315"/>
    <n v="5.1052298518124532E-3"/>
  </r>
  <r>
    <x v="31"/>
    <x v="2"/>
    <n v="1335"/>
    <n v="40"/>
    <n v="122732"/>
    <n v="8.19"/>
    <n v="22482"/>
    <n v="1295"/>
    <n v="1.0551445425805821E-2"/>
  </r>
  <r>
    <x v="37"/>
    <x v="1"/>
    <n v="1697"/>
    <n v="414"/>
    <n v="316555"/>
    <n v="2.37"/>
    <n v="7924"/>
    <n v="1283"/>
    <n v="4.0530081660374974E-3"/>
  </r>
  <r>
    <x v="38"/>
    <x v="0"/>
    <n v="1429"/>
    <n v="182"/>
    <n v="101332"/>
    <n v="7.16"/>
    <n v="37829"/>
    <n v="1247"/>
    <n v="1.2306082974775983E-2"/>
  </r>
  <r>
    <x v="33"/>
    <x v="3"/>
    <n v="1658"/>
    <n v="416"/>
    <n v="98397"/>
    <n v="6.11"/>
    <n v="11383"/>
    <n v="1242"/>
    <n v="1.2622336046830695E-2"/>
  </r>
  <r>
    <x v="19"/>
    <x v="2"/>
    <n v="1300"/>
    <n v="71"/>
    <n v="186454"/>
    <n v="3.91"/>
    <n v="9942"/>
    <n v="1229"/>
    <n v="6.5914381026955706E-3"/>
  </r>
  <r>
    <x v="29"/>
    <x v="3"/>
    <n v="1411"/>
    <n v="186"/>
    <n v="461669"/>
    <n v="3.72"/>
    <n v="43999"/>
    <n v="1225"/>
    <n v="2.6534161921203288E-3"/>
  </r>
  <r>
    <x v="39"/>
    <x v="0"/>
    <n v="1527"/>
    <n v="303"/>
    <n v="388555"/>
    <n v="8.9"/>
    <n v="36397"/>
    <n v="1224"/>
    <n v="3.1501331857780751E-3"/>
  </r>
  <r>
    <x v="5"/>
    <x v="2"/>
    <n v="1587"/>
    <n v="385"/>
    <n v="126582"/>
    <n v="6.99"/>
    <n v="42832"/>
    <n v="1202"/>
    <n v="9.4958208908059605E-3"/>
  </r>
  <r>
    <x v="40"/>
    <x v="2"/>
    <n v="1633"/>
    <n v="445"/>
    <n v="371156"/>
    <n v="2.2200000000000002"/>
    <n v="2798"/>
    <n v="1188"/>
    <n v="3.2008104408927781E-3"/>
  </r>
  <r>
    <x v="21"/>
    <x v="3"/>
    <n v="1662"/>
    <n v="487"/>
    <n v="105980"/>
    <n v="9.08"/>
    <n v="22996"/>
    <n v="1175"/>
    <n v="1.1086997546706926E-2"/>
  </r>
  <r>
    <x v="9"/>
    <x v="2"/>
    <n v="1441"/>
    <n v="268"/>
    <n v="309904"/>
    <n v="6.37"/>
    <n v="3455"/>
    <n v="1173"/>
    <n v="3.7850431101244257E-3"/>
  </r>
  <r>
    <x v="41"/>
    <x v="2"/>
    <n v="1487"/>
    <n v="337"/>
    <n v="87305"/>
    <n v="2.46"/>
    <n v="30428"/>
    <n v="1150"/>
    <n v="1.3172212358971423E-2"/>
  </r>
  <r>
    <x v="42"/>
    <x v="2"/>
    <n v="1472"/>
    <n v="347"/>
    <n v="392355"/>
    <n v="8.59"/>
    <n v="30270"/>
    <n v="1125"/>
    <n v="2.8673012960201858E-3"/>
  </r>
  <r>
    <x v="4"/>
    <x v="0"/>
    <n v="1494"/>
    <n v="375"/>
    <n v="220616"/>
    <n v="1.81"/>
    <n v="22724"/>
    <n v="1119"/>
    <n v="5.0721615839286359E-3"/>
  </r>
  <r>
    <x v="30"/>
    <x v="1"/>
    <n v="1358"/>
    <n v="242"/>
    <n v="342129"/>
    <n v="4.9400000000000004"/>
    <n v="29116"/>
    <n v="1116"/>
    <n v="3.2619275185675578E-3"/>
  </r>
  <r>
    <x v="23"/>
    <x v="3"/>
    <n v="1409"/>
    <n v="309"/>
    <n v="64583"/>
    <n v="8.99"/>
    <n v="10217"/>
    <n v="1100"/>
    <n v="1.7032345973398571E-2"/>
  </r>
  <r>
    <x v="43"/>
    <x v="3"/>
    <n v="1535"/>
    <n v="445"/>
    <n v="395536"/>
    <n v="4.1100000000000003"/>
    <n v="30671"/>
    <n v="1090"/>
    <n v="2.7557542170624167E-3"/>
  </r>
  <r>
    <x v="44"/>
    <x v="0"/>
    <n v="1556"/>
    <n v="476"/>
    <n v="351556"/>
    <n v="3.89"/>
    <n v="10825"/>
    <n v="1080"/>
    <n v="3.0720567989168156E-3"/>
  </r>
  <r>
    <x v="15"/>
    <x v="1"/>
    <n v="1078"/>
    <n v="20"/>
    <n v="183924"/>
    <n v="8.84"/>
    <n v="14203"/>
    <n v="1058"/>
    <n v="5.7523759813836147E-3"/>
  </r>
  <r>
    <x v="43"/>
    <x v="0"/>
    <n v="1135"/>
    <n v="88"/>
    <n v="344084"/>
    <n v="8.06"/>
    <n v="5904"/>
    <n v="1047"/>
    <n v="3.0428616268120576E-3"/>
  </r>
  <r>
    <x v="38"/>
    <x v="1"/>
    <n v="1520"/>
    <n v="475"/>
    <n v="496982"/>
    <n v="6.41"/>
    <n v="24384"/>
    <n v="1045"/>
    <n v="2.1026918479944948E-3"/>
  </r>
  <r>
    <x v="18"/>
    <x v="1"/>
    <n v="1375"/>
    <n v="330"/>
    <n v="377382"/>
    <n v="2.6"/>
    <n v="7875"/>
    <n v="1045"/>
    <n v="2.7690774864725927E-3"/>
  </r>
  <r>
    <x v="20"/>
    <x v="3"/>
    <n v="1507"/>
    <n v="463"/>
    <n v="258944"/>
    <n v="6.08"/>
    <n v="16443"/>
    <n v="1044"/>
    <n v="4.0317597627286209E-3"/>
  </r>
  <r>
    <x v="34"/>
    <x v="3"/>
    <n v="1210"/>
    <n v="178"/>
    <n v="102042"/>
    <n v="5.42"/>
    <n v="6915"/>
    <n v="1032"/>
    <n v="1.011348268360087E-2"/>
  </r>
  <r>
    <x v="45"/>
    <x v="1"/>
    <n v="1307"/>
    <n v="278"/>
    <n v="98596"/>
    <n v="2.4900000000000002"/>
    <n v="47603"/>
    <n v="1029"/>
    <n v="1.0436528865268368E-2"/>
  </r>
  <r>
    <x v="8"/>
    <x v="0"/>
    <n v="1433"/>
    <n v="408"/>
    <n v="370269"/>
    <n v="3.3"/>
    <n v="30575"/>
    <n v="1025"/>
    <n v="2.7682576721248606E-3"/>
  </r>
  <r>
    <x v="7"/>
    <x v="3"/>
    <n v="1063"/>
    <n v="47"/>
    <n v="464239"/>
    <n v="6.58"/>
    <n v="39031"/>
    <n v="1016"/>
    <n v="2.1885278918832756E-3"/>
  </r>
  <r>
    <x v="45"/>
    <x v="2"/>
    <n v="1432"/>
    <n v="425"/>
    <n v="29589"/>
    <n v="4.5"/>
    <n v="42964"/>
    <n v="1007"/>
    <n v="3.4032917638311531E-2"/>
  </r>
  <r>
    <x v="11"/>
    <x v="3"/>
    <n v="1218"/>
    <n v="212"/>
    <n v="63177"/>
    <n v="8.1300000000000008"/>
    <n v="38883"/>
    <n v="1006"/>
    <n v="1.592351646960128E-2"/>
  </r>
  <r>
    <x v="43"/>
    <x v="1"/>
    <n v="1312"/>
    <n v="310"/>
    <n v="42654"/>
    <n v="4.9800000000000004"/>
    <n v="9566"/>
    <n v="1002"/>
    <n v="2.3491348994232664E-2"/>
  </r>
  <r>
    <x v="37"/>
    <x v="3"/>
    <n v="1197"/>
    <n v="203"/>
    <n v="413878"/>
    <n v="3.16"/>
    <n v="21205"/>
    <n v="994"/>
    <n v="2.4016739232334168E-3"/>
  </r>
  <r>
    <x v="21"/>
    <x v="0"/>
    <n v="1138"/>
    <n v="173"/>
    <n v="453243"/>
    <n v="2.86"/>
    <n v="44097"/>
    <n v="965"/>
    <n v="2.1291007252180398E-3"/>
  </r>
  <r>
    <x v="35"/>
    <x v="1"/>
    <n v="1391"/>
    <n v="430"/>
    <n v="295032"/>
    <n v="7.86"/>
    <n v="26067"/>
    <n v="961"/>
    <n v="3.2572737872501967E-3"/>
  </r>
  <r>
    <x v="25"/>
    <x v="2"/>
    <n v="1222"/>
    <n v="274"/>
    <n v="487289"/>
    <n v="3.16"/>
    <n v="32500"/>
    <n v="948"/>
    <n v="1.9454574184929272E-3"/>
  </r>
  <r>
    <x v="5"/>
    <x v="1"/>
    <n v="1294"/>
    <n v="382"/>
    <n v="309914"/>
    <n v="8.0299999999999994"/>
    <n v="23489"/>
    <n v="912"/>
    <n v="2.9427518601934728E-3"/>
  </r>
  <r>
    <x v="22"/>
    <x v="2"/>
    <n v="1137"/>
    <n v="226"/>
    <n v="81119"/>
    <n v="7.74"/>
    <n v="35359"/>
    <n v="911"/>
    <n v="1.1230414576116569E-2"/>
  </r>
  <r>
    <x v="33"/>
    <x v="1"/>
    <n v="1098"/>
    <n v="190"/>
    <n v="340842"/>
    <n v="9.39"/>
    <n v="21539"/>
    <n v="908"/>
    <n v="2.6639909400836752E-3"/>
  </r>
  <r>
    <x v="40"/>
    <x v="0"/>
    <n v="1013"/>
    <n v="110"/>
    <n v="466382"/>
    <n v="5.3"/>
    <n v="37132"/>
    <n v="903"/>
    <n v="1.9361810704529763E-3"/>
  </r>
  <r>
    <x v="41"/>
    <x v="0"/>
    <n v="1075"/>
    <n v="173"/>
    <n v="51395"/>
    <n v="4.66"/>
    <n v="47812"/>
    <n v="902"/>
    <n v="1.7550345364335054E-2"/>
  </r>
  <r>
    <x v="6"/>
    <x v="3"/>
    <n v="1331"/>
    <n v="430"/>
    <n v="14437"/>
    <n v="3.29"/>
    <n v="40868"/>
    <n v="901"/>
    <n v="6.2409087760615087E-2"/>
  </r>
  <r>
    <x v="36"/>
    <x v="2"/>
    <n v="946"/>
    <n v="47"/>
    <n v="466575"/>
    <n v="8.33"/>
    <n v="10002"/>
    <n v="899"/>
    <n v="1.9268070513850934E-3"/>
  </r>
  <r>
    <x v="29"/>
    <x v="1"/>
    <n v="1249"/>
    <n v="351"/>
    <n v="321307"/>
    <n v="6.37"/>
    <n v="20560"/>
    <n v="898"/>
    <n v="2.7948348464241365E-3"/>
  </r>
  <r>
    <x v="31"/>
    <x v="0"/>
    <n v="1048"/>
    <n v="155"/>
    <n v="456946"/>
    <n v="2.46"/>
    <n v="11329"/>
    <n v="893"/>
    <n v="1.9542790614208243E-3"/>
  </r>
  <r>
    <x v="24"/>
    <x v="2"/>
    <n v="1040"/>
    <n v="149"/>
    <n v="124404"/>
    <n v="5.23"/>
    <n v="45380"/>
    <n v="891"/>
    <n v="7.1621491270377159E-3"/>
  </r>
  <r>
    <x v="10"/>
    <x v="3"/>
    <n v="1293"/>
    <n v="408"/>
    <n v="62535"/>
    <n v="8.9"/>
    <n v="37876"/>
    <n v="885"/>
    <n v="1.4152074838090669E-2"/>
  </r>
  <r>
    <x v="28"/>
    <x v="3"/>
    <n v="1004"/>
    <n v="128"/>
    <n v="488901"/>
    <n v="8.09"/>
    <n v="49558"/>
    <n v="876"/>
    <n v="1.7917737946946315E-3"/>
  </r>
  <r>
    <x v="0"/>
    <x v="3"/>
    <n v="1035"/>
    <n v="171"/>
    <n v="148477"/>
    <n v="5.21"/>
    <n v="7541"/>
    <n v="864"/>
    <n v="5.8190830903102836E-3"/>
  </r>
  <r>
    <x v="30"/>
    <x v="2"/>
    <n v="1077"/>
    <n v="216"/>
    <n v="12447"/>
    <n v="1.8"/>
    <n v="14068"/>
    <n v="861"/>
    <n v="6.9173294769824048E-2"/>
  </r>
  <r>
    <x v="40"/>
    <x v="3"/>
    <n v="891"/>
    <n v="45"/>
    <n v="95410"/>
    <n v="8.33"/>
    <n v="15045"/>
    <n v="846"/>
    <n v="8.8669950738916262E-3"/>
  </r>
  <r>
    <x v="14"/>
    <x v="2"/>
    <n v="1238"/>
    <n v="403"/>
    <n v="298421"/>
    <n v="3.5"/>
    <n v="31280"/>
    <n v="835"/>
    <n v="2.798060458211721E-3"/>
  </r>
  <r>
    <x v="18"/>
    <x v="2"/>
    <n v="1147"/>
    <n v="388"/>
    <n v="333851"/>
    <n v="2.44"/>
    <n v="8471"/>
    <n v="759"/>
    <n v="2.2734693021737242E-3"/>
  </r>
  <r>
    <x v="44"/>
    <x v="1"/>
    <n v="1159"/>
    <n v="411"/>
    <n v="135987"/>
    <n v="8.6999999999999993"/>
    <n v="40323"/>
    <n v="748"/>
    <n v="5.5005257855530306E-3"/>
  </r>
  <r>
    <x v="22"/>
    <x v="1"/>
    <n v="1155"/>
    <n v="425"/>
    <n v="93347"/>
    <n v="2.02"/>
    <n v="47502"/>
    <n v="730"/>
    <n v="7.8202834584935772E-3"/>
  </r>
  <r>
    <x v="24"/>
    <x v="3"/>
    <n v="1166"/>
    <n v="442"/>
    <n v="336949"/>
    <n v="4.68"/>
    <n v="7705"/>
    <n v="724"/>
    <n v="2.1486931256659019E-3"/>
  </r>
  <r>
    <x v="7"/>
    <x v="2"/>
    <n v="861"/>
    <n v="153"/>
    <n v="317007"/>
    <n v="3.85"/>
    <n v="8718"/>
    <n v="708"/>
    <n v="2.2333891680625349E-3"/>
  </r>
  <r>
    <x v="22"/>
    <x v="0"/>
    <n v="1092"/>
    <n v="408"/>
    <n v="280795"/>
    <n v="8.44"/>
    <n v="4683"/>
    <n v="684"/>
    <n v="2.4359408109118751E-3"/>
  </r>
  <r>
    <x v="30"/>
    <x v="0"/>
    <n v="1102"/>
    <n v="422"/>
    <n v="410330"/>
    <n v="7.74"/>
    <n v="9480"/>
    <n v="680"/>
    <n v="1.6572027392586454E-3"/>
  </r>
  <r>
    <x v="11"/>
    <x v="0"/>
    <n v="817"/>
    <n v="151"/>
    <n v="422625"/>
    <n v="2.36"/>
    <n v="1083"/>
    <n v="666"/>
    <n v="1.5758651286601596E-3"/>
  </r>
  <r>
    <x v="12"/>
    <x v="0"/>
    <n v="1033"/>
    <n v="392"/>
    <n v="282780"/>
    <n v="6.27"/>
    <n v="23140"/>
    <n v="641"/>
    <n v="2.2667798288422093E-3"/>
  </r>
  <r>
    <x v="25"/>
    <x v="3"/>
    <n v="777"/>
    <n v="140"/>
    <n v="11435"/>
    <n v="1.6"/>
    <n v="6832"/>
    <n v="637"/>
    <n v="5.5706165282028861E-2"/>
  </r>
  <r>
    <x v="27"/>
    <x v="2"/>
    <n v="697"/>
    <n v="61"/>
    <n v="258287"/>
    <n v="8.25"/>
    <n v="21208"/>
    <n v="636"/>
    <n v="2.4623771231227277E-3"/>
  </r>
  <r>
    <x v="14"/>
    <x v="0"/>
    <n v="911"/>
    <n v="282"/>
    <n v="35664"/>
    <n v="6.92"/>
    <n v="18050"/>
    <n v="629"/>
    <n v="1.7636832660385824E-2"/>
  </r>
  <r>
    <x v="40"/>
    <x v="1"/>
    <n v="816"/>
    <n v="196"/>
    <n v="95728"/>
    <n v="8.1999999999999993"/>
    <n v="17951"/>
    <n v="620"/>
    <n v="6.4766839378238338E-3"/>
  </r>
  <r>
    <x v="18"/>
    <x v="0"/>
    <n v="961"/>
    <n v="358"/>
    <n v="62942"/>
    <n v="6.8"/>
    <n v="18693"/>
    <n v="603"/>
    <n v="9.5802484827301332E-3"/>
  </r>
  <r>
    <x v="8"/>
    <x v="2"/>
    <n v="752"/>
    <n v="153"/>
    <n v="64906"/>
    <n v="2.09"/>
    <n v="12148"/>
    <n v="599"/>
    <n v="9.2287307798970819E-3"/>
  </r>
  <r>
    <x v="16"/>
    <x v="0"/>
    <n v="642"/>
    <n v="66"/>
    <n v="346522"/>
    <n v="5.85"/>
    <n v="13116"/>
    <n v="576"/>
    <n v="1.6622321237901201E-3"/>
  </r>
  <r>
    <x v="4"/>
    <x v="3"/>
    <n v="736"/>
    <n v="163"/>
    <n v="451894"/>
    <n v="5.43"/>
    <n v="46625"/>
    <n v="573"/>
    <n v="1.2679964770499277E-3"/>
  </r>
  <r>
    <x v="44"/>
    <x v="2"/>
    <n v="927"/>
    <n v="358"/>
    <n v="177554"/>
    <n v="6.95"/>
    <n v="48270"/>
    <n v="569"/>
    <n v="3.2046588643454949E-3"/>
  </r>
  <r>
    <x v="13"/>
    <x v="2"/>
    <n v="987"/>
    <n v="440"/>
    <n v="389810"/>
    <n v="4.66"/>
    <n v="2932"/>
    <n v="547"/>
    <n v="1.40324773607655E-3"/>
  </r>
  <r>
    <x v="26"/>
    <x v="0"/>
    <n v="653"/>
    <n v="112"/>
    <n v="23664"/>
    <n v="4.05"/>
    <n v="15353"/>
    <n v="541"/>
    <n v="2.2861730899256253E-2"/>
  </r>
  <r>
    <x v="20"/>
    <x v="1"/>
    <n v="947"/>
    <n v="407"/>
    <n v="319186"/>
    <n v="3.32"/>
    <n v="4996"/>
    <n v="540"/>
    <n v="1.6918035252172713E-3"/>
  </r>
  <r>
    <x v="37"/>
    <x v="0"/>
    <n v="656"/>
    <n v="139"/>
    <n v="49157"/>
    <n v="9.0500000000000007"/>
    <n v="9920"/>
    <n v="517"/>
    <n v="1.0517322049758936E-2"/>
  </r>
  <r>
    <x v="13"/>
    <x v="3"/>
    <n v="883"/>
    <n v="369"/>
    <n v="233694"/>
    <n v="2.88"/>
    <n v="15071"/>
    <n v="514"/>
    <n v="2.1994574101175039E-3"/>
  </r>
  <r>
    <x v="12"/>
    <x v="1"/>
    <n v="988"/>
    <n v="474"/>
    <n v="370070"/>
    <n v="9.4600000000000009"/>
    <n v="23461"/>
    <n v="514"/>
    <n v="1.3889264193260734E-3"/>
  </r>
  <r>
    <x v="26"/>
    <x v="3"/>
    <n v="576"/>
    <n v="101"/>
    <n v="62499"/>
    <n v="3.48"/>
    <n v="16804"/>
    <n v="475"/>
    <n v="7.600121601945631E-3"/>
  </r>
  <r>
    <x v="46"/>
    <x v="1"/>
    <n v="609"/>
    <n v="135"/>
    <n v="373606"/>
    <n v="8.52"/>
    <n v="21453"/>
    <n v="474"/>
    <n v="1.268716241173857E-3"/>
  </r>
  <r>
    <x v="46"/>
    <x v="0"/>
    <n v="490"/>
    <n v="29"/>
    <n v="364810"/>
    <n v="1.53"/>
    <n v="49077"/>
    <n v="461"/>
    <n v="1.2636715002329981E-3"/>
  </r>
  <r>
    <x v="25"/>
    <x v="1"/>
    <n v="833"/>
    <n v="380"/>
    <n v="224830"/>
    <n v="3.86"/>
    <n v="3582"/>
    <n v="453"/>
    <n v="2.014855668727483E-3"/>
  </r>
  <r>
    <x v="47"/>
    <x v="2"/>
    <n v="628"/>
    <n v="183"/>
    <n v="487523"/>
    <n v="7.32"/>
    <n v="5391"/>
    <n v="445"/>
    <n v="9.1277744844858602E-4"/>
  </r>
  <r>
    <x v="27"/>
    <x v="1"/>
    <n v="508"/>
    <n v="69"/>
    <n v="23492"/>
    <n v="3.16"/>
    <n v="42824"/>
    <n v="439"/>
    <n v="1.8687212668142345E-2"/>
  </r>
  <r>
    <x v="2"/>
    <x v="2"/>
    <n v="704"/>
    <n v="275"/>
    <n v="226002"/>
    <n v="8.56"/>
    <n v="32393"/>
    <n v="429"/>
    <n v="1.8982132901478749E-3"/>
  </r>
  <r>
    <x v="24"/>
    <x v="1"/>
    <n v="663"/>
    <n v="236"/>
    <n v="479490"/>
    <n v="4.51"/>
    <n v="23853"/>
    <n v="427"/>
    <n v="8.9052952094934197E-4"/>
  </r>
  <r>
    <x v="43"/>
    <x v="2"/>
    <n v="584"/>
    <n v="169"/>
    <n v="146834"/>
    <n v="8.31"/>
    <n v="26752"/>
    <n v="415"/>
    <n v="2.826320879360366E-3"/>
  </r>
  <r>
    <x v="17"/>
    <x v="1"/>
    <n v="837"/>
    <n v="430"/>
    <n v="364820"/>
    <n v="4"/>
    <n v="49400"/>
    <n v="407"/>
    <n v="1.1156186612576065E-3"/>
  </r>
  <r>
    <x v="46"/>
    <x v="3"/>
    <n v="442"/>
    <n v="53"/>
    <n v="441931"/>
    <n v="1.87"/>
    <n v="20059"/>
    <n v="389"/>
    <n v="8.8022790888170322E-4"/>
  </r>
  <r>
    <x v="16"/>
    <x v="1"/>
    <n v="859"/>
    <n v="473"/>
    <n v="209987"/>
    <n v="4.46"/>
    <n v="30214"/>
    <n v="386"/>
    <n v="1.8382090319876945E-3"/>
  </r>
  <r>
    <x v="42"/>
    <x v="0"/>
    <n v="778"/>
    <n v="401"/>
    <n v="50793"/>
    <n v="3.4"/>
    <n v="21939"/>
    <n v="377"/>
    <n v="7.4222825979957871E-3"/>
  </r>
  <r>
    <x v="39"/>
    <x v="3"/>
    <n v="414"/>
    <n v="47"/>
    <n v="199178"/>
    <n v="1.53"/>
    <n v="6742"/>
    <n v="367"/>
    <n v="1.8425729749269497E-3"/>
  </r>
  <r>
    <x v="48"/>
    <x v="0"/>
    <n v="645"/>
    <n v="293"/>
    <n v="437968"/>
    <n v="7.83"/>
    <n v="49303"/>
    <n v="352"/>
    <n v="8.0371168669857163E-4"/>
  </r>
  <r>
    <x v="41"/>
    <x v="3"/>
    <n v="454"/>
    <n v="105"/>
    <n v="121091"/>
    <n v="7.97"/>
    <n v="9269"/>
    <n v="349"/>
    <n v="2.8821299683708945E-3"/>
  </r>
  <r>
    <x v="0"/>
    <x v="1"/>
    <n v="405"/>
    <n v="66"/>
    <n v="418696"/>
    <n v="5.59"/>
    <n v="48419"/>
    <n v="339"/>
    <n v="8.0965664826031301E-4"/>
  </r>
  <r>
    <x v="31"/>
    <x v="3"/>
    <n v="403"/>
    <n v="66"/>
    <n v="382851"/>
    <n v="3.49"/>
    <n v="24313"/>
    <n v="337"/>
    <n v="8.80238003818718E-4"/>
  </r>
  <r>
    <x v="38"/>
    <x v="3"/>
    <n v="728"/>
    <n v="395"/>
    <n v="370971"/>
    <n v="3.86"/>
    <n v="12646"/>
    <n v="333"/>
    <n v="8.9764429025449434E-4"/>
  </r>
  <r>
    <x v="48"/>
    <x v="2"/>
    <n v="826"/>
    <n v="498"/>
    <n v="449994"/>
    <n v="9.43"/>
    <n v="12384"/>
    <n v="328"/>
    <n v="7.2889860753698943E-4"/>
  </r>
  <r>
    <x v="48"/>
    <x v="3"/>
    <n v="460"/>
    <n v="141"/>
    <n v="320650"/>
    <n v="4.04"/>
    <n v="49372"/>
    <n v="319"/>
    <n v="9.9485420240137223E-4"/>
  </r>
  <r>
    <x v="35"/>
    <x v="3"/>
    <n v="804"/>
    <n v="487"/>
    <n v="306564"/>
    <n v="5.52"/>
    <n v="26452"/>
    <n v="317"/>
    <n v="1.0340418313957282E-3"/>
  </r>
  <r>
    <x v="36"/>
    <x v="3"/>
    <n v="510"/>
    <n v="195"/>
    <n v="224534"/>
    <n v="9.4"/>
    <n v="30987"/>
    <n v="315"/>
    <n v="1.4029055733207443E-3"/>
  </r>
  <r>
    <x v="13"/>
    <x v="1"/>
    <n v="350"/>
    <n v="41"/>
    <n v="251694"/>
    <n v="1.91"/>
    <n v="38610"/>
    <n v="309"/>
    <n v="1.2276812319721568E-3"/>
  </r>
  <r>
    <x v="6"/>
    <x v="1"/>
    <n v="651"/>
    <n v="353"/>
    <n v="224699"/>
    <n v="5.61"/>
    <n v="45708"/>
    <n v="298"/>
    <n v="1.3262186302564765E-3"/>
  </r>
  <r>
    <x v="46"/>
    <x v="2"/>
    <n v="364"/>
    <n v="72"/>
    <n v="211090"/>
    <n v="5.53"/>
    <n v="21061"/>
    <n v="292"/>
    <n v="1.3832962243592781E-3"/>
  </r>
  <r>
    <x v="9"/>
    <x v="3"/>
    <n v="452"/>
    <n v="161"/>
    <n v="221274"/>
    <n v="2.65"/>
    <n v="40888"/>
    <n v="291"/>
    <n v="1.3151115811166245E-3"/>
  </r>
  <r>
    <x v="39"/>
    <x v="1"/>
    <n v="643"/>
    <n v="358"/>
    <n v="157599"/>
    <n v="3.88"/>
    <n v="7285"/>
    <n v="285"/>
    <n v="1.8083871090552605E-3"/>
  </r>
  <r>
    <x v="17"/>
    <x v="2"/>
    <n v="337"/>
    <n v="68"/>
    <n v="456298"/>
    <n v="7.57"/>
    <n v="4007"/>
    <n v="269"/>
    <n v="5.8952701962314107E-4"/>
  </r>
  <r>
    <x v="27"/>
    <x v="0"/>
    <n v="703"/>
    <n v="441"/>
    <n v="357089"/>
    <n v="6.5"/>
    <n v="32478"/>
    <n v="262"/>
    <n v="7.3371064356504961E-4"/>
  </r>
  <r>
    <x v="23"/>
    <x v="2"/>
    <n v="751"/>
    <n v="491"/>
    <n v="434047"/>
    <n v="9.24"/>
    <n v="15476"/>
    <n v="260"/>
    <n v="5.990134708914012E-4"/>
  </r>
  <r>
    <x v="33"/>
    <x v="0"/>
    <n v="393"/>
    <n v="181"/>
    <n v="462142"/>
    <n v="7.23"/>
    <n v="6296"/>
    <n v="212"/>
    <n v="4.5873346287504706E-4"/>
  </r>
  <r>
    <x v="45"/>
    <x v="3"/>
    <n v="623"/>
    <n v="414"/>
    <n v="290354"/>
    <n v="6.49"/>
    <n v="39923"/>
    <n v="209"/>
    <n v="7.1981098934404211E-4"/>
  </r>
  <r>
    <x v="38"/>
    <x v="2"/>
    <n v="557"/>
    <n v="360"/>
    <n v="318779"/>
    <n v="8.02"/>
    <n v="25797"/>
    <n v="197"/>
    <n v="6.1798299135137512E-4"/>
  </r>
  <r>
    <x v="15"/>
    <x v="3"/>
    <n v="221"/>
    <n v="31"/>
    <n v="87443"/>
    <n v="6.19"/>
    <n v="10283"/>
    <n v="190"/>
    <n v="2.1728440241071327E-3"/>
  </r>
  <r>
    <x v="37"/>
    <x v="2"/>
    <n v="436"/>
    <n v="250"/>
    <n v="254347"/>
    <n v="4.01"/>
    <n v="8912"/>
    <n v="186"/>
    <n v="7.3128442639386348E-4"/>
  </r>
  <r>
    <x v="45"/>
    <x v="0"/>
    <n v="559"/>
    <n v="392"/>
    <n v="78789"/>
    <n v="3.19"/>
    <n v="2436"/>
    <n v="167"/>
    <n v="2.1195852212872357E-3"/>
  </r>
  <r>
    <x v="2"/>
    <x v="3"/>
    <n v="224"/>
    <n v="64"/>
    <n v="156683"/>
    <n v="4.5599999999999996"/>
    <n v="28474"/>
    <n v="160"/>
    <n v="1.0211701333265254E-3"/>
  </r>
  <r>
    <x v="35"/>
    <x v="0"/>
    <n v="508"/>
    <n v="349"/>
    <n v="473812"/>
    <n v="7.88"/>
    <n v="17328"/>
    <n v="159"/>
    <n v="3.3557613568250698E-4"/>
  </r>
  <r>
    <x v="49"/>
    <x v="3"/>
    <n v="520"/>
    <n v="375"/>
    <n v="369525"/>
    <n v="6.54"/>
    <n v="20733"/>
    <n v="145"/>
    <n v="3.9239564305527366E-4"/>
  </r>
  <r>
    <x v="1"/>
    <x v="3"/>
    <n v="307"/>
    <n v="189"/>
    <n v="117767"/>
    <n v="9.3000000000000007"/>
    <n v="27822"/>
    <n v="118"/>
    <n v="1.0019784829366461E-3"/>
  </r>
  <r>
    <x v="1"/>
    <x v="2"/>
    <n v="437"/>
    <n v="330"/>
    <n v="476486"/>
    <n v="4.97"/>
    <n v="4509"/>
    <n v="107"/>
    <n v="2.2456063766826309E-4"/>
  </r>
  <r>
    <x v="42"/>
    <x v="1"/>
    <n v="443"/>
    <n v="345"/>
    <n v="474162"/>
    <n v="9.1999999999999993"/>
    <n v="47462"/>
    <n v="98"/>
    <n v="2.0668041724136477E-4"/>
  </r>
  <r>
    <x v="10"/>
    <x v="2"/>
    <n v="330"/>
    <n v="232"/>
    <n v="88455"/>
    <n v="2.69"/>
    <n v="39530"/>
    <n v="98"/>
    <n v="1.1079079758069075E-3"/>
  </r>
  <r>
    <x v="32"/>
    <x v="3"/>
    <n v="144"/>
    <n v="53"/>
    <n v="113678"/>
    <n v="8.7200000000000006"/>
    <n v="30060"/>
    <n v="91"/>
    <n v="8.0050669434719116E-4"/>
  </r>
  <r>
    <x v="15"/>
    <x v="0"/>
    <n v="215"/>
    <n v="139"/>
    <n v="325444"/>
    <n v="3.25"/>
    <n v="35501"/>
    <n v="76"/>
    <n v="2.335271198731579E-4"/>
  </r>
  <r>
    <x v="47"/>
    <x v="1"/>
    <n v="513"/>
    <n v="441"/>
    <n v="338847"/>
    <n v="2.68"/>
    <n v="39997"/>
    <n v="72"/>
    <n v="2.1248528096751631E-4"/>
  </r>
  <r>
    <x v="32"/>
    <x v="1"/>
    <n v="505"/>
    <n v="441"/>
    <n v="220020"/>
    <n v="4.4800000000000004"/>
    <n v="42307"/>
    <n v="64"/>
    <n v="2.9088264703208797E-4"/>
  </r>
  <r>
    <x v="47"/>
    <x v="3"/>
    <n v="278"/>
    <n v="218"/>
    <n v="301695"/>
    <n v="4.68"/>
    <n v="22373"/>
    <n v="60"/>
    <n v="1.9887634863023914E-4"/>
  </r>
  <r>
    <x v="49"/>
    <x v="2"/>
    <n v="353"/>
    <n v="300"/>
    <n v="142507"/>
    <n v="5.3"/>
    <n v="11035"/>
    <n v="53"/>
    <n v="3.7191155522184875E-4"/>
  </r>
  <r>
    <x v="34"/>
    <x v="2"/>
    <n v="485"/>
    <n v="448"/>
    <n v="434883"/>
    <n v="8.5500000000000007"/>
    <n v="33258"/>
    <n v="37"/>
    <n v="8.5080354946042954E-5"/>
  </r>
  <r>
    <x v="19"/>
    <x v="1"/>
    <n v="248"/>
    <n v="211"/>
    <n v="379380"/>
    <n v="9.0399999999999991"/>
    <n v="26925"/>
    <n v="37"/>
    <n v="9.7527544941747058E-5"/>
  </r>
  <r>
    <x v="16"/>
    <x v="2"/>
    <n v="191"/>
    <n v="154"/>
    <n v="240550"/>
    <n v="5.22"/>
    <n v="15827"/>
    <n v="37"/>
    <n v="1.5381417584701726E-4"/>
  </r>
  <r>
    <x v="19"/>
    <x v="3"/>
    <n v="422"/>
    <n v="394"/>
    <n v="239044"/>
    <n v="7.83"/>
    <n v="32929"/>
    <n v="28"/>
    <n v="1.1713324743561855E-4"/>
  </r>
  <r>
    <x v="11"/>
    <x v="1"/>
    <n v="198"/>
    <n v="217"/>
    <n v="239753"/>
    <n v="7.36"/>
    <n v="11901"/>
    <n v="-19"/>
    <n v="-7.9248226299566635E-5"/>
  </r>
  <r>
    <x v="39"/>
    <x v="2"/>
    <n v="201"/>
    <n v="221"/>
    <n v="309772"/>
    <n v="5.9"/>
    <n v="33174"/>
    <n v="-20"/>
    <n v="-6.456361452939582E-5"/>
  </r>
  <r>
    <x v="42"/>
    <x v="3"/>
    <n v="123"/>
    <n v="155"/>
    <n v="119934"/>
    <n v="3.5"/>
    <n v="5442"/>
    <n v="-32"/>
    <n v="-2.6681341404439108E-4"/>
  </r>
  <r>
    <x v="21"/>
    <x v="2"/>
    <n v="362"/>
    <n v="399"/>
    <n v="145608"/>
    <n v="7.3"/>
    <n v="37636"/>
    <n v="-37"/>
    <n v="-2.5410691720235154E-4"/>
  </r>
  <r>
    <x v="47"/>
    <x v="0"/>
    <n v="187"/>
    <n v="236"/>
    <n v="51087"/>
    <n v="9.41"/>
    <n v="29533"/>
    <n v="-49"/>
    <n v="-9.5914811987394058E-4"/>
  </r>
  <r>
    <x v="41"/>
    <x v="1"/>
    <n v="171"/>
    <n v="277"/>
    <n v="309483"/>
    <n v="8.6999999999999993"/>
    <n v="38452"/>
    <n v="-106"/>
    <n v="-3.4250669665215861E-4"/>
  </r>
  <r>
    <x v="36"/>
    <x v="1"/>
    <n v="345"/>
    <n v="464"/>
    <n v="366881"/>
    <n v="4.55"/>
    <n v="20553"/>
    <n v="-119"/>
    <n v="-3.2435585380545735E-4"/>
  </r>
  <r>
    <x v="14"/>
    <x v="3"/>
    <n v="308"/>
    <n v="431"/>
    <n v="426184"/>
    <n v="2.62"/>
    <n v="1783"/>
    <n v="-123"/>
    <n v="-2.8860773750305035E-4"/>
  </r>
  <r>
    <x v="6"/>
    <x v="2"/>
    <n v="118"/>
    <n v="262"/>
    <n v="487896"/>
    <n v="2.56"/>
    <n v="12350"/>
    <n v="-144"/>
    <n v="-2.9514486693885583E-4"/>
  </r>
  <r>
    <x v="49"/>
    <x v="0"/>
    <n v="198"/>
    <n v="358"/>
    <n v="66682"/>
    <n v="6.73"/>
    <n v="2293"/>
    <n v="-160"/>
    <n v="-2.3994481269308059E-3"/>
  </r>
  <r>
    <x v="2"/>
    <x v="1"/>
    <n v="170"/>
    <n v="334"/>
    <n v="334626"/>
    <n v="6.44"/>
    <n v="43420"/>
    <n v="-164"/>
    <n v="-4.9009939454794306E-4"/>
  </r>
  <r>
    <x v="29"/>
    <x v="0"/>
    <n v="115"/>
    <n v="281"/>
    <n v="357265"/>
    <n v="9.23"/>
    <n v="25525"/>
    <n v="-166"/>
    <n v="-4.6464109274628077E-4"/>
  </r>
  <r>
    <x v="49"/>
    <x v="1"/>
    <n v="198"/>
    <n v="373"/>
    <n v="70707"/>
    <n v="4.83"/>
    <n v="25920"/>
    <n v="-175"/>
    <n v="-2.4750024750024749E-3"/>
  </r>
  <r>
    <x v="8"/>
    <x v="1"/>
    <n v="250"/>
    <n v="429"/>
    <n v="453423"/>
    <n v="1.77"/>
    <n v="2315"/>
    <n v="-179"/>
    <n v="-3.9477485703195471E-4"/>
  </r>
  <r>
    <x v="48"/>
    <x v="1"/>
    <n v="214"/>
    <n v="411"/>
    <n v="125034"/>
    <n v="6.11"/>
    <n v="26455"/>
    <n v="-197"/>
    <n v="-1.5755714445670778E-3"/>
  </r>
  <r>
    <x v="44"/>
    <x v="3"/>
    <n v="152"/>
    <n v="355"/>
    <n v="270766"/>
    <n v="9.48"/>
    <n v="18001"/>
    <n v="-203"/>
    <n v="-7.4972485467156139E-4"/>
  </r>
  <r>
    <x v="32"/>
    <x v="0"/>
    <n v="226"/>
    <n v="445"/>
    <n v="419447"/>
    <n v="9.36"/>
    <n v="9566"/>
    <n v="-219"/>
    <n v="-5.2211602419375983E-4"/>
  </r>
  <r>
    <x v="26"/>
    <x v="1"/>
    <n v="160"/>
    <n v="478"/>
    <n v="435034"/>
    <n v="7.73"/>
    <n v="4839"/>
    <n v="-318"/>
    <n v="-7.3097734889686784E-4"/>
  </r>
  <r>
    <x v="17"/>
    <x v="3"/>
    <n v="119"/>
    <n v="456"/>
    <n v="82558"/>
    <n v="6.81"/>
    <n v="12174"/>
    <n v="-337"/>
    <n v="-4.0819787301048958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21675"/>
    <n v="15"/>
    <x v="0"/>
    <s v="CybertruckLaunch"/>
    <n v="2004"/>
    <n v="9.0759753593429152E-2"/>
  </r>
  <r>
    <s v="P001"/>
    <x v="0"/>
    <d v="2024-12-23T00:00:00"/>
    <x v="0"/>
    <s v="Check out our latest reel on twitter!"/>
    <n v="1461"/>
    <n v="184"/>
    <n v="344"/>
    <n v="21915"/>
    <n v="21675"/>
    <n v="15"/>
    <x v="1"/>
    <s v="CybertruckLaunch"/>
    <n v="2004"/>
    <n v="9.0759753593429152E-2"/>
  </r>
  <r>
    <s v="P002"/>
    <x v="0"/>
    <d v="2025-04-03T00:00:00"/>
    <x v="1"/>
    <s v="Check out our latest text on twitter!"/>
    <n v="4054"/>
    <n v="389"/>
    <n v="493"/>
    <n v="64864"/>
    <n v="64383"/>
    <n v="117"/>
    <x v="2"/>
    <s v="ModelYCampaign"/>
    <n v="5053"/>
    <n v="7.6097681302417369E-2"/>
  </r>
  <r>
    <s v="P002"/>
    <x v="0"/>
    <d v="2025-04-03T00:00:00"/>
    <x v="1"/>
    <s v="Check out our latest text on twitter!"/>
    <n v="4054"/>
    <n v="389"/>
    <n v="493"/>
    <n v="64864"/>
    <n v="64383"/>
    <n v="117"/>
    <x v="3"/>
    <s v="ModelYCampaign"/>
    <n v="5053"/>
    <n v="7.6097681302417369E-2"/>
  </r>
  <r>
    <s v="P003"/>
    <x v="1"/>
    <d v="2025-05-12T00:00:00"/>
    <x v="0"/>
    <s v="Check out our latest reel on youtube!"/>
    <n v="2795"/>
    <n v="105"/>
    <n v="49"/>
    <n v="53105"/>
    <n v="52307"/>
    <n v="204"/>
    <x v="2"/>
    <s v="FSDUpdate"/>
    <n v="3153"/>
    <n v="5.5531494209584788E-2"/>
  </r>
  <r>
    <s v="P004"/>
    <x v="2"/>
    <d v="2024-08-12T00:00:00"/>
    <x v="2"/>
    <s v="Check out our latest story on instagram!"/>
    <n v="2404"/>
    <n v="363"/>
    <n v="138"/>
    <n v="19232"/>
    <n v="18636"/>
    <n v="128"/>
    <x v="4"/>
    <s v="SustainabilityDrive"/>
    <n v="3033"/>
    <n v="0.15105033277870217"/>
  </r>
  <r>
    <s v="P005"/>
    <x v="1"/>
    <d v="2024-06-26T00:00:00"/>
    <x v="0"/>
    <s v="Check out our latest reel on youtube!"/>
    <n v="3557"/>
    <n v="687"/>
    <n v="424"/>
    <n v="71140"/>
    <n v="70701"/>
    <n v="224"/>
    <x v="4"/>
    <s v="CybertruckLaunch"/>
    <n v="4892"/>
    <n v="6.5617093055946027E-2"/>
  </r>
  <r>
    <s v="P005"/>
    <x v="1"/>
    <d v="2024-06-26T00:00:00"/>
    <x v="0"/>
    <s v="Check out our latest reel on youtube!"/>
    <n v="3557"/>
    <n v="687"/>
    <n v="424"/>
    <n v="71140"/>
    <n v="70701"/>
    <n v="224"/>
    <x v="2"/>
    <s v="CybertruckLaunch"/>
    <n v="4892"/>
    <n v="6.5617093055946027E-2"/>
  </r>
  <r>
    <s v="P006"/>
    <x v="3"/>
    <d v="2024-10-31T00:00:00"/>
    <x v="3"/>
    <s v="Check out our latest carousel on facebook!"/>
    <n v="2945"/>
    <n v="930"/>
    <n v="355"/>
    <n v="23560"/>
    <n v="23275"/>
    <n v="256"/>
    <x v="2"/>
    <s v="ModelYCampaign"/>
    <n v="4486"/>
    <n v="0.17954159592529711"/>
  </r>
  <r>
    <s v="P007"/>
    <x v="0"/>
    <d v="2024-06-24T00:00:00"/>
    <x v="3"/>
    <s v="Check out our latest carousel on twitter!"/>
    <n v="3860"/>
    <n v="201"/>
    <n v="279"/>
    <n v="61760"/>
    <n v="61660"/>
    <n v="235"/>
    <x v="2"/>
    <s v="ModelYCampaign"/>
    <n v="4575"/>
    <n v="7.0272020725388601E-2"/>
  </r>
  <r>
    <s v="P008"/>
    <x v="1"/>
    <d v="2024-07-13T00:00:00"/>
    <x v="4"/>
    <s v="Check out our latest image on youtube!"/>
    <n v="3929"/>
    <n v="262"/>
    <n v="278"/>
    <n v="43219"/>
    <n v="42841"/>
    <n v="39"/>
    <x v="4"/>
    <s v="SustainabilityDrive"/>
    <n v="4508"/>
    <n v="0.10340359564080613"/>
  </r>
  <r>
    <s v="P009"/>
    <x v="3"/>
    <d v="2024-08-30T00:00:00"/>
    <x v="1"/>
    <s v="Check out our latest text on facebook!"/>
    <n v="3784"/>
    <n v="808"/>
    <n v="404"/>
    <n v="56760"/>
    <n v="56343"/>
    <n v="131"/>
    <x v="2"/>
    <s v="ModelYCampaign"/>
    <n v="5127"/>
    <n v="8.8019732205778717E-2"/>
  </r>
  <r>
    <s v="P010"/>
    <x v="3"/>
    <d v="2025-03-11T00:00:00"/>
    <x v="4"/>
    <s v="Check out our latest image on facebook!"/>
    <n v="4241"/>
    <n v="902"/>
    <n v="47"/>
    <n v="72097"/>
    <n v="71598"/>
    <n v="167"/>
    <x v="2"/>
    <s v="ModelYCampaign"/>
    <n v="5357"/>
    <n v="7.198635172059864E-2"/>
  </r>
  <r>
    <s v="P011"/>
    <x v="2"/>
    <d v="2025-02-02T00:00:00"/>
    <x v="2"/>
    <s v="Check out our latest story on instagram!"/>
    <n v="1792"/>
    <n v="614"/>
    <n v="497"/>
    <n v="25088"/>
    <n v="24675"/>
    <n v="65"/>
    <x v="0"/>
    <s v="SustainabilityDrive"/>
    <n v="2968"/>
    <n v="0.11571269132653061"/>
  </r>
  <r>
    <s v="P012"/>
    <x v="3"/>
    <d v="2024-07-21T00:00:00"/>
    <x v="0"/>
    <s v="Check out our latest reel on facebook!"/>
    <n v="1946"/>
    <n v="686"/>
    <n v="377"/>
    <n v="23352"/>
    <n v="22982"/>
    <n v="213"/>
    <x v="0"/>
    <s v="FSDUpdate"/>
    <n v="3222"/>
    <n v="0.12885405960945528"/>
  </r>
  <r>
    <s v="P013"/>
    <x v="1"/>
    <d v="2024-11-18T00:00:00"/>
    <x v="3"/>
    <s v="Check out our latest carousel on youtube!"/>
    <n v="1171"/>
    <n v="286"/>
    <n v="231"/>
    <n v="22249"/>
    <n v="21282"/>
    <n v="114"/>
    <x v="4"/>
    <s v="CybertruckLaunch"/>
    <n v="1802"/>
    <n v="7.5868578363072495E-2"/>
  </r>
  <r>
    <s v="P014"/>
    <x v="3"/>
    <d v="2025-02-16T00:00:00"/>
    <x v="2"/>
    <s v="Check out our latest story on facebook!"/>
    <n v="4242"/>
    <n v="555"/>
    <n v="131"/>
    <n v="33936"/>
    <n v="33802"/>
    <n v="265"/>
    <x v="0"/>
    <m/>
    <n v="5193"/>
    <n v="0.14521452145214522"/>
  </r>
  <r>
    <s v="P015"/>
    <x v="3"/>
    <d v="2024-10-24T00:00:00"/>
    <x v="5"/>
    <s v="Check out our latest video on facebook!"/>
    <n v="3888"/>
    <n v="604"/>
    <n v="128"/>
    <n v="77760"/>
    <n v="77167"/>
    <n v="20"/>
    <x v="0"/>
    <s v="CybertruckLaunch"/>
    <n v="4640"/>
    <n v="5.941358024691358E-2"/>
  </r>
  <r>
    <s v="P016"/>
    <x v="3"/>
    <d v="2024-08-26T00:00:00"/>
    <x v="1"/>
    <s v="Check out our latest text on facebook!"/>
    <n v="3452"/>
    <n v="377"/>
    <n v="360"/>
    <n v="55232"/>
    <n v="55075"/>
    <n v="87"/>
    <x v="0"/>
    <s v="FSDUpdate"/>
    <n v="4276"/>
    <n v="7.5843713789107758E-2"/>
  </r>
  <r>
    <s v="P017"/>
    <x v="3"/>
    <d v="2025-05-05T00:00:00"/>
    <x v="1"/>
    <s v="Check out our latest text on facebook!"/>
    <n v="4441"/>
    <n v="511"/>
    <n v="70"/>
    <n v="53292"/>
    <n v="53082"/>
    <n v="159"/>
    <x v="4"/>
    <s v="SustainabilityDrive"/>
    <n v="5181"/>
    <n v="9.4235532537716729E-2"/>
  </r>
  <r>
    <s v="P018"/>
    <x v="2"/>
    <d v="2024-08-19T00:00:00"/>
    <x v="0"/>
    <s v="Check out our latest reel on instagram!"/>
    <n v="3000"/>
    <n v="382"/>
    <n v="325"/>
    <n v="36000"/>
    <n v="35819"/>
    <n v="19"/>
    <x v="0"/>
    <s v="CybertruckLaunch"/>
    <n v="3726"/>
    <n v="0.10297222222222223"/>
  </r>
  <r>
    <s v="P019"/>
    <x v="2"/>
    <d v="2024-06-23T00:00:00"/>
    <x v="5"/>
    <s v="Check out our latest video on instagram!"/>
    <n v="1071"/>
    <n v="519"/>
    <n v="22"/>
    <n v="16065"/>
    <n v="15865"/>
    <n v="103"/>
    <x v="2"/>
    <s v="SustainabilityDrive"/>
    <n v="1715"/>
    <n v="0.10034235916588857"/>
  </r>
  <r>
    <s v="P020"/>
    <x v="2"/>
    <d v="2024-09-09T00:00:00"/>
    <x v="3"/>
    <s v="Check out our latest carousel on instagram!"/>
    <n v="4054"/>
    <n v="488"/>
    <n v="373"/>
    <n v="77026"/>
    <n v="76881"/>
    <n v="25"/>
    <x v="2"/>
    <s v="CybertruckLaunch"/>
    <n v="4940"/>
    <n v="6.3809622724794221E-2"/>
  </r>
  <r>
    <s v="P021"/>
    <x v="2"/>
    <d v="2025-01-04T00:00:00"/>
    <x v="0"/>
    <s v="Check out our latest reel on instagram!"/>
    <n v="4838"/>
    <n v="640"/>
    <n v="128"/>
    <n v="72570"/>
    <n v="72396"/>
    <n v="83"/>
    <x v="0"/>
    <s v="SustainabilityDrive"/>
    <n v="5689"/>
    <n v="7.7249552156538517E-2"/>
  </r>
  <r>
    <s v="P022"/>
    <x v="3"/>
    <d v="2025-02-27T00:00:00"/>
    <x v="1"/>
    <s v="Check out our latest text on facebook!"/>
    <n v="1570"/>
    <n v="187"/>
    <n v="260"/>
    <n v="25120"/>
    <n v="24613"/>
    <n v="133"/>
    <x v="2"/>
    <s v="SustainabilityDrive"/>
    <n v="2150"/>
    <n v="8.0294585987261149E-2"/>
  </r>
  <r>
    <s v="P023"/>
    <x v="3"/>
    <d v="2024-11-06T00:00:00"/>
    <x v="5"/>
    <s v="Check out our latest video on facebook!"/>
    <n v="1606"/>
    <n v="547"/>
    <n v="316"/>
    <n v="32120"/>
    <n v="31736"/>
    <n v="225"/>
    <x v="2"/>
    <s v="ModelYCampaign"/>
    <n v="2694"/>
    <n v="7.6867995018679955E-2"/>
  </r>
  <r>
    <s v="P023"/>
    <x v="3"/>
    <d v="2024-11-06T00:00:00"/>
    <x v="5"/>
    <s v="Check out our latest video on facebook!"/>
    <n v="1606"/>
    <n v="547"/>
    <n v="316"/>
    <n v="32120"/>
    <n v="31736"/>
    <n v="225"/>
    <x v="1"/>
    <s v="ModelYCampaign"/>
    <n v="2694"/>
    <n v="7.6867995018679955E-2"/>
  </r>
  <r>
    <s v="P024"/>
    <x v="3"/>
    <d v="2025-01-23T00:00:00"/>
    <x v="5"/>
    <s v="Check out our latest video on facebook!"/>
    <n v="3961"/>
    <n v="761"/>
    <n v="131"/>
    <n v="67337"/>
    <n v="66615"/>
    <n v="161"/>
    <x v="0"/>
    <s v="FSDUpdate"/>
    <n v="5014"/>
    <n v="7.2070332803659209E-2"/>
  </r>
  <r>
    <s v="P025"/>
    <x v="0"/>
    <d v="2025-04-10T00:00:00"/>
    <x v="3"/>
    <s v="Check out our latest carousel on twitter!"/>
    <n v="3128"/>
    <n v="211"/>
    <n v="197"/>
    <n v="59432"/>
    <n v="59182"/>
    <n v="238"/>
    <x v="4"/>
    <m/>
    <n v="3774"/>
    <n v="5.9496567505720827E-2"/>
  </r>
  <r>
    <s v="P026"/>
    <x v="1"/>
    <d v="2025-04-05T00:00:00"/>
    <x v="0"/>
    <s v="Check out our latest reel on youtube!"/>
    <n v="3009"/>
    <n v="413"/>
    <n v="358"/>
    <n v="42126"/>
    <n v="41309"/>
    <n v="211"/>
    <x v="0"/>
    <s v="ModelYCampaign"/>
    <n v="3991"/>
    <n v="8.9730807577268201E-2"/>
  </r>
  <r>
    <s v="P027"/>
    <x v="1"/>
    <d v="2024-09-17T00:00:00"/>
    <x v="1"/>
    <s v="Check out our latest text on youtube!"/>
    <n v="2076"/>
    <n v="195"/>
    <n v="104"/>
    <n v="33216"/>
    <n v="32244"/>
    <n v="51"/>
    <x v="0"/>
    <s v="SustainabilityDrive"/>
    <n v="2426"/>
    <n v="7.1501685934489398E-2"/>
  </r>
  <r>
    <s v="P028"/>
    <x v="2"/>
    <d v="2025-03-04T00:00:00"/>
    <x v="5"/>
    <s v="Check out our latest video on instagram!"/>
    <n v="432"/>
    <n v="624"/>
    <n v="123"/>
    <n v="6912"/>
    <n v="6259"/>
    <n v="79"/>
    <x v="0"/>
    <s v="SustainabilityDrive"/>
    <n v="1258"/>
    <n v="0.17057291666666666"/>
  </r>
  <r>
    <s v="P029"/>
    <x v="2"/>
    <d v="2025-01-31T00:00:00"/>
    <x v="3"/>
    <s v="Check out our latest carousel on instagram!"/>
    <n v="2566"/>
    <n v="118"/>
    <n v="37"/>
    <n v="12830"/>
    <n v="12264"/>
    <n v="221"/>
    <x v="0"/>
    <s v="FSDUpdate"/>
    <n v="2942"/>
    <n v="0.21208106001558846"/>
  </r>
  <r>
    <s v="P030"/>
    <x v="2"/>
    <d v="2025-02-25T00:00:00"/>
    <x v="5"/>
    <s v="Check out our latest video on instagram!"/>
    <n v="3095"/>
    <n v="39"/>
    <n v="78"/>
    <n v="55710"/>
    <n v="54808"/>
    <n v="93"/>
    <x v="4"/>
    <m/>
    <n v="3305"/>
    <n v="5.7655717106444085E-2"/>
  </r>
  <r>
    <s v="P031"/>
    <x v="2"/>
    <d v="2024-12-16T00:00:00"/>
    <x v="1"/>
    <s v="Check out our latest text on instagram!"/>
    <n v="438"/>
    <n v="153"/>
    <n v="275"/>
    <n v="3066"/>
    <n v="2701"/>
    <n v="282"/>
    <x v="2"/>
    <s v="ModelYCampaign"/>
    <n v="1148"/>
    <n v="0.28245270711024134"/>
  </r>
  <r>
    <s v="P032"/>
    <x v="0"/>
    <d v="2024-07-31T00:00:00"/>
    <x v="3"/>
    <s v="Check out our latest carousel on twitter!"/>
    <n v="2278"/>
    <n v="10"/>
    <n v="321"/>
    <n v="13668"/>
    <n v="12676"/>
    <n v="275"/>
    <x v="4"/>
    <s v="CybertruckLaunch"/>
    <n v="2884"/>
    <n v="0.19088381621305239"/>
  </r>
  <r>
    <s v="P033"/>
    <x v="3"/>
    <d v="2024-08-21T00:00:00"/>
    <x v="4"/>
    <s v="Check out our latest image on facebook!"/>
    <n v="1407"/>
    <n v="400"/>
    <n v="351"/>
    <n v="16884"/>
    <n v="15954"/>
    <n v="113"/>
    <x v="2"/>
    <s v="CybertruckLaunch"/>
    <n v="2271"/>
    <n v="0.12781331438047855"/>
  </r>
  <r>
    <s v="P034"/>
    <x v="3"/>
    <d v="2025-03-26T00:00:00"/>
    <x v="1"/>
    <s v="Check out our latest text on facebook!"/>
    <n v="1652"/>
    <n v="89"/>
    <n v="357"/>
    <n v="29736"/>
    <n v="28771"/>
    <n v="215"/>
    <x v="2"/>
    <s v="FSDUpdate"/>
    <n v="2313"/>
    <n v="7.055421038471886E-2"/>
  </r>
  <r>
    <s v="P035"/>
    <x v="2"/>
    <d v="2024-11-30T00:00:00"/>
    <x v="5"/>
    <s v="Check out our latest video on instagram!"/>
    <n v="3775"/>
    <n v="16"/>
    <n v="239"/>
    <n v="33975"/>
    <n v="33310"/>
    <n v="271"/>
    <x v="0"/>
    <s v="ModelYCampaign"/>
    <n v="4301"/>
    <n v="0.11861662987490802"/>
  </r>
  <r>
    <s v="P036"/>
    <x v="2"/>
    <d v="2025-04-19T00:00:00"/>
    <x v="2"/>
    <s v="Check out our latest story on instagram!"/>
    <n v="4518"/>
    <n v="285"/>
    <n v="383"/>
    <n v="67770"/>
    <n v="67621"/>
    <n v="31"/>
    <x v="4"/>
    <s v="ModelYCampaign"/>
    <n v="5217"/>
    <n v="7.6523535487678915E-2"/>
  </r>
  <r>
    <s v="P037"/>
    <x v="3"/>
    <d v="2025-01-06T00:00:00"/>
    <x v="3"/>
    <s v="Check out our latest carousel on facebook!"/>
    <n v="3024"/>
    <n v="925"/>
    <n v="350"/>
    <n v="24192"/>
    <n v="23518"/>
    <n v="36"/>
    <x v="4"/>
    <s v="ModelYCampaign"/>
    <n v="4335"/>
    <n v="0.17770337301587302"/>
  </r>
  <r>
    <s v="P038"/>
    <x v="1"/>
    <d v="2025-02-17T00:00:00"/>
    <x v="0"/>
    <s v="Check out our latest reel on youtube!"/>
    <n v="3138"/>
    <n v="123"/>
    <n v="291"/>
    <n v="28242"/>
    <n v="27550"/>
    <n v="87"/>
    <x v="2"/>
    <s v="SustainabilityDrive"/>
    <n v="3639"/>
    <n v="0.12577012959422137"/>
  </r>
  <r>
    <s v="P039"/>
    <x v="3"/>
    <d v="2024-11-25T00:00:00"/>
    <x v="4"/>
    <s v="Check out our latest image on facebook!"/>
    <n v="3564"/>
    <n v="629"/>
    <n v="177"/>
    <n v="60588"/>
    <n v="59627"/>
    <n v="92"/>
    <x v="2"/>
    <m/>
    <n v="4462"/>
    <n v="7.2126493695121141E-2"/>
  </r>
  <r>
    <s v="P040"/>
    <x v="0"/>
    <d v="2025-03-07T00:00:00"/>
    <x v="4"/>
    <s v="Check out our latest image on twitter!"/>
    <n v="4750"/>
    <n v="151"/>
    <n v="415"/>
    <n v="38000"/>
    <n v="37792"/>
    <n v="299"/>
    <x v="4"/>
    <s v="SustainabilityDrive"/>
    <n v="5615"/>
    <n v="0.13989473684210527"/>
  </r>
  <r>
    <s v="P041"/>
    <x v="2"/>
    <d v="2025-03-08T00:00:00"/>
    <x v="0"/>
    <s v="Check out our latest reel on instagram!"/>
    <n v="456"/>
    <n v="629"/>
    <n v="428"/>
    <n v="8208"/>
    <n v="7377"/>
    <n v="205"/>
    <x v="0"/>
    <s v="SustainabilityDrive"/>
    <n v="1718"/>
    <n v="0.18433235867446393"/>
  </r>
  <r>
    <s v="P042"/>
    <x v="1"/>
    <d v="2025-03-05T00:00:00"/>
    <x v="0"/>
    <s v="Check out our latest reel on youtube!"/>
    <n v="1543"/>
    <n v="820"/>
    <n v="333"/>
    <n v="12344"/>
    <n v="11496"/>
    <n v="241"/>
    <x v="4"/>
    <m/>
    <n v="2937"/>
    <n v="0.21840570317563188"/>
  </r>
  <r>
    <s v="P043"/>
    <x v="2"/>
    <d v="2024-12-14T00:00:00"/>
    <x v="3"/>
    <s v="Check out our latest carousel on instagram!"/>
    <n v="2174"/>
    <n v="658"/>
    <n v="15"/>
    <n v="13044"/>
    <n v="12206"/>
    <n v="137"/>
    <x v="2"/>
    <s v="FSDUpdate"/>
    <n v="2984"/>
    <n v="0.21826126954921804"/>
  </r>
  <r>
    <s v="P044"/>
    <x v="0"/>
    <d v="2025-03-02T00:00:00"/>
    <x v="4"/>
    <s v="Check out our latest image on twitter!"/>
    <n v="2358"/>
    <n v="784"/>
    <n v="344"/>
    <n v="35370"/>
    <n v="34475"/>
    <n v="216"/>
    <x v="2"/>
    <m/>
    <n v="3702"/>
    <n v="9.8558100084817649E-2"/>
  </r>
  <r>
    <s v="P045"/>
    <x v="3"/>
    <d v="2024-11-01T00:00:00"/>
    <x v="5"/>
    <s v="Check out our latest video on facebook!"/>
    <n v="3371"/>
    <n v="106"/>
    <n v="327"/>
    <n v="50565"/>
    <n v="49816"/>
    <n v="176"/>
    <x v="0"/>
    <s v="CybertruckLaunch"/>
    <n v="3980"/>
    <n v="7.5229902106199939E-2"/>
  </r>
  <r>
    <s v="P046"/>
    <x v="0"/>
    <d v="2025-05-02T00:00:00"/>
    <x v="5"/>
    <s v="Check out our latest video on twitter!"/>
    <n v="1108"/>
    <n v="177"/>
    <n v="212"/>
    <n v="8864"/>
    <n v="8710"/>
    <n v="97"/>
    <x v="2"/>
    <s v="SustainabilityDrive"/>
    <n v="1594"/>
    <n v="0.16888537906137185"/>
  </r>
  <r>
    <s v="P047"/>
    <x v="0"/>
    <d v="2025-02-24T00:00:00"/>
    <x v="3"/>
    <s v="Check out our latest carousel on twitter!"/>
    <n v="2704"/>
    <n v="752"/>
    <n v="153"/>
    <n v="21632"/>
    <n v="20792"/>
    <n v="127"/>
    <x v="0"/>
    <m/>
    <n v="3736"/>
    <n v="0.16683616863905326"/>
  </r>
  <r>
    <s v="P048"/>
    <x v="0"/>
    <d v="2025-03-11T00:00:00"/>
    <x v="2"/>
    <s v="Check out our latest story on twitter!"/>
    <n v="1950"/>
    <n v="295"/>
    <n v="478"/>
    <n v="37050"/>
    <n v="36272"/>
    <n v="119"/>
    <x v="2"/>
    <m/>
    <n v="2842"/>
    <n v="7.349527665317139E-2"/>
  </r>
  <r>
    <s v="P049"/>
    <x v="0"/>
    <d v="2024-06-10T00:00:00"/>
    <x v="2"/>
    <s v="Check out our latest story on twitter!"/>
    <n v="2164"/>
    <n v="549"/>
    <n v="274"/>
    <n v="28132"/>
    <n v="27361"/>
    <n v="177"/>
    <x v="2"/>
    <s v="SustainabilityDrive"/>
    <n v="3164"/>
    <n v="0.10617801791554102"/>
  </r>
  <r>
    <s v="P050"/>
    <x v="1"/>
    <d v="2024-07-03T00:00:00"/>
    <x v="2"/>
    <s v="Check out our latest story on youtube!"/>
    <n v="2754"/>
    <n v="130"/>
    <n v="90"/>
    <n v="22032"/>
    <n v="21288"/>
    <n v="112"/>
    <x v="2"/>
    <s v="FSDUpdate"/>
    <n v="3086"/>
    <n v="0.13498547567175018"/>
  </r>
  <r>
    <s v="P051"/>
    <x v="3"/>
    <d v="2024-06-13T00:00:00"/>
    <x v="3"/>
    <s v="Check out our latest carousel on facebook!"/>
    <n v="2200"/>
    <n v="504"/>
    <n v="239"/>
    <n v="37400"/>
    <n v="36938"/>
    <n v="225"/>
    <x v="0"/>
    <s v="ModelYCampaign"/>
    <n v="3168"/>
    <n v="7.8689839572192513E-2"/>
  </r>
  <r>
    <s v="P052"/>
    <x v="3"/>
    <d v="2025-01-03T00:00:00"/>
    <x v="4"/>
    <s v="Check out our latest image on facebook!"/>
    <n v="947"/>
    <n v="338"/>
    <n v="350"/>
    <n v="10417"/>
    <n v="9730"/>
    <n v="34"/>
    <x v="2"/>
    <s v="SustainabilityDrive"/>
    <n v="1669"/>
    <n v="0.1569549774407219"/>
  </r>
  <r>
    <s v="P053"/>
    <x v="1"/>
    <d v="2025-02-24T00:00:00"/>
    <x v="3"/>
    <s v="Check out our latest carousel on youtube!"/>
    <n v="804"/>
    <n v="639"/>
    <n v="43"/>
    <n v="4020"/>
    <n v="3144"/>
    <n v="11"/>
    <x v="4"/>
    <m/>
    <n v="1497"/>
    <n v="0.36965174129353234"/>
  </r>
  <r>
    <s v="P053"/>
    <x v="1"/>
    <d v="2025-02-24T00:00:00"/>
    <x v="3"/>
    <s v="Check out our latest carousel on youtube!"/>
    <n v="804"/>
    <n v="639"/>
    <n v="43"/>
    <n v="4020"/>
    <n v="3144"/>
    <n v="11"/>
    <x v="3"/>
    <m/>
    <n v="1497"/>
    <n v="0.36965174129353234"/>
  </r>
  <r>
    <s v="P054"/>
    <x v="1"/>
    <d v="2025-03-13T00:00:00"/>
    <x v="3"/>
    <s v="Check out our latest carousel on youtube!"/>
    <n v="1686"/>
    <n v="904"/>
    <n v="472"/>
    <n v="18546"/>
    <n v="18171"/>
    <n v="52"/>
    <x v="0"/>
    <s v="ModelYCampaign"/>
    <n v="3114"/>
    <n v="0.16510298716704411"/>
  </r>
  <r>
    <s v="P055"/>
    <x v="3"/>
    <d v="2024-06-17T00:00:00"/>
    <x v="4"/>
    <s v="Check out our latest image on facebook!"/>
    <n v="1226"/>
    <n v="119"/>
    <n v="7"/>
    <n v="14712"/>
    <n v="14049"/>
    <n v="123"/>
    <x v="4"/>
    <s v="SustainabilityDrive"/>
    <n v="1475"/>
    <n v="9.1897770527460579E-2"/>
  </r>
  <r>
    <s v="P056"/>
    <x v="3"/>
    <d v="2024-12-18T00:00:00"/>
    <x v="3"/>
    <s v="Check out our latest carousel on facebook!"/>
    <n v="2946"/>
    <n v="498"/>
    <n v="367"/>
    <n v="29460"/>
    <n v="28527"/>
    <n v="60"/>
    <x v="0"/>
    <s v="FSDUpdate"/>
    <n v="3871"/>
    <n v="0.12936184657162253"/>
  </r>
  <r>
    <s v="P057"/>
    <x v="0"/>
    <d v="2024-10-21T00:00:00"/>
    <x v="5"/>
    <s v="Check out our latest video on twitter!"/>
    <n v="2825"/>
    <n v="535"/>
    <n v="295"/>
    <n v="45200"/>
    <n v="44739"/>
    <n v="169"/>
    <x v="2"/>
    <s v="CybertruckLaunch"/>
    <n v="3824"/>
    <n v="8.0862831858407078E-2"/>
  </r>
  <r>
    <s v="P058"/>
    <x v="2"/>
    <d v="2025-04-15T00:00:00"/>
    <x v="0"/>
    <s v="Check out our latest reel on instagram!"/>
    <n v="103"/>
    <n v="770"/>
    <n v="19"/>
    <n v="1030"/>
    <n v="410"/>
    <n v="262"/>
    <x v="2"/>
    <s v="SustainabilityDrive"/>
    <n v="1154"/>
    <n v="0.86601941747572819"/>
  </r>
  <r>
    <s v="P059"/>
    <x v="2"/>
    <d v="2024-06-22T00:00:00"/>
    <x v="1"/>
    <s v="Check out our latest text on instagram!"/>
    <n v="2180"/>
    <n v="263"/>
    <n v="387"/>
    <n v="30520"/>
    <n v="30059"/>
    <n v="174"/>
    <x v="4"/>
    <m/>
    <n v="3004"/>
    <n v="9.2726081258191345E-2"/>
  </r>
  <r>
    <s v="P060"/>
    <x v="2"/>
    <d v="2025-01-28T00:00:00"/>
    <x v="5"/>
    <s v="Check out our latest video on instagram!"/>
    <n v="904"/>
    <n v="973"/>
    <n v="63"/>
    <n v="11752"/>
    <n v="11580"/>
    <n v="84"/>
    <x v="4"/>
    <s v="FSDUpdate"/>
    <n v="2024"/>
    <n v="0.1650782845473111"/>
  </r>
  <r>
    <s v="P060"/>
    <x v="2"/>
    <d v="2025-01-28T00:00:00"/>
    <x v="5"/>
    <s v="Check out our latest video on instagram!"/>
    <n v="904"/>
    <n v="973"/>
    <n v="63"/>
    <n v="11752"/>
    <n v="11580"/>
    <n v="84"/>
    <x v="2"/>
    <s v="FSDUpdate"/>
    <n v="2024"/>
    <n v="0.1650782845473111"/>
  </r>
  <r>
    <s v="P060"/>
    <x v="2"/>
    <d v="2025-01-28T00:00:00"/>
    <x v="5"/>
    <s v="Check out our latest video on instagram!"/>
    <n v="904"/>
    <n v="973"/>
    <n v="63"/>
    <n v="11752"/>
    <n v="11580"/>
    <n v="84"/>
    <x v="1"/>
    <s v="FSDUpdate"/>
    <n v="2024"/>
    <n v="0.1650782845473111"/>
  </r>
  <r>
    <s v="P061"/>
    <x v="0"/>
    <d v="2024-09-05T00:00:00"/>
    <x v="5"/>
    <s v="Check out our latest video on twitter!"/>
    <n v="4886"/>
    <n v="983"/>
    <n v="409"/>
    <n v="43974"/>
    <n v="43239"/>
    <n v="65"/>
    <x v="2"/>
    <s v="CybertruckLaunch"/>
    <n v="6343"/>
    <n v="0.14276618001546368"/>
  </r>
  <r>
    <s v="P062"/>
    <x v="0"/>
    <d v="2024-11-22T00:00:00"/>
    <x v="3"/>
    <s v="Check out our latest carousel on twitter!"/>
    <n v="53"/>
    <n v="81"/>
    <n v="379"/>
    <n v="954"/>
    <n v="7"/>
    <n v="148"/>
    <x v="2"/>
    <s v="FSDUpdate"/>
    <n v="661"/>
    <n v="0.53773584905660377"/>
  </r>
  <r>
    <s v="P063"/>
    <x v="0"/>
    <d v="2024-07-31T00:00:00"/>
    <x v="3"/>
    <s v="Check out our latest carousel on twitter!"/>
    <n v="4507"/>
    <n v="217"/>
    <n v="13"/>
    <n v="90140"/>
    <n v="89591"/>
    <n v="125"/>
    <x v="0"/>
    <s v="FSDUpdate"/>
    <n v="4862"/>
    <n v="5.2551586421122697E-2"/>
  </r>
  <r>
    <s v="P064"/>
    <x v="3"/>
    <d v="2024-08-17T00:00:00"/>
    <x v="4"/>
    <s v="Check out our latest image on facebook!"/>
    <n v="2878"/>
    <n v="248"/>
    <n v="416"/>
    <n v="43170"/>
    <n v="42667"/>
    <n v="75"/>
    <x v="0"/>
    <s v="FSDUpdate"/>
    <n v="3617"/>
    <n v="8.2047718322909427E-2"/>
  </r>
  <r>
    <s v="P065"/>
    <x v="2"/>
    <d v="2025-03-28T00:00:00"/>
    <x v="2"/>
    <s v="Check out our latest story on instagram!"/>
    <n v="1881"/>
    <n v="501"/>
    <n v="99"/>
    <n v="20691"/>
    <n v="19987"/>
    <n v="289"/>
    <x v="4"/>
    <m/>
    <n v="2770"/>
    <n v="0.11990720603160794"/>
  </r>
  <r>
    <s v="P066"/>
    <x v="0"/>
    <d v="2024-07-26T00:00:00"/>
    <x v="3"/>
    <s v="Check out our latest carousel on twitter!"/>
    <n v="432"/>
    <n v="171"/>
    <n v="280"/>
    <n v="3024"/>
    <n v="2285"/>
    <n v="184"/>
    <x v="4"/>
    <s v="CybertruckLaunch"/>
    <n v="1067"/>
    <n v="0.29199735449735448"/>
  </r>
  <r>
    <s v="P067"/>
    <x v="3"/>
    <d v="2025-03-29T00:00:00"/>
    <x v="3"/>
    <s v="Check out our latest carousel on facebook!"/>
    <n v="4712"/>
    <n v="568"/>
    <n v="127"/>
    <n v="84816"/>
    <n v="84691"/>
    <n v="100"/>
    <x v="4"/>
    <s v="FSDUpdate"/>
    <n v="5507"/>
    <n v="6.3749764195434822E-2"/>
  </r>
  <r>
    <s v="P068"/>
    <x v="2"/>
    <d v="2024-12-08T00:00:00"/>
    <x v="2"/>
    <s v="Check out our latest story on instagram!"/>
    <n v="2610"/>
    <n v="126"/>
    <n v="288"/>
    <n v="15660"/>
    <n v="15145"/>
    <n v="73"/>
    <x v="4"/>
    <m/>
    <n v="3097"/>
    <n v="0.19310344827586207"/>
  </r>
  <r>
    <s v="P069"/>
    <x v="0"/>
    <d v="2025-03-08T00:00:00"/>
    <x v="1"/>
    <s v="Check out our latest text on twitter!"/>
    <n v="1292"/>
    <n v="626"/>
    <n v="496"/>
    <n v="25840"/>
    <n v="24916"/>
    <n v="149"/>
    <x v="0"/>
    <s v="FSDUpdate"/>
    <n v="2563"/>
    <n v="9.3421052631578946E-2"/>
  </r>
  <r>
    <s v="P070"/>
    <x v="3"/>
    <d v="2025-04-02T00:00:00"/>
    <x v="5"/>
    <s v="Check out our latest video on facebook!"/>
    <n v="199"/>
    <n v="772"/>
    <n v="400"/>
    <n v="3582"/>
    <n v="2988"/>
    <n v="43"/>
    <x v="2"/>
    <m/>
    <n v="1414"/>
    <n v="0.38274706867671693"/>
  </r>
  <r>
    <s v="P071"/>
    <x v="1"/>
    <d v="2024-09-02T00:00:00"/>
    <x v="3"/>
    <s v="Check out our latest carousel on youtube!"/>
    <n v="2551"/>
    <n v="915"/>
    <n v="205"/>
    <n v="30612"/>
    <n v="30360"/>
    <n v="227"/>
    <x v="2"/>
    <s v="ModelYCampaign"/>
    <n v="3898"/>
    <n v="0.1199202926956749"/>
  </r>
  <r>
    <s v="P072"/>
    <x v="1"/>
    <d v="2025-03-03T00:00:00"/>
    <x v="0"/>
    <s v="Check out our latest reel on youtube!"/>
    <n v="296"/>
    <n v="60"/>
    <n v="141"/>
    <n v="5624"/>
    <n v="5239"/>
    <n v="88"/>
    <x v="4"/>
    <s v="ModelYCampaign"/>
    <n v="585"/>
    <n v="8.837126600284495E-2"/>
  </r>
  <r>
    <s v="P073"/>
    <x v="3"/>
    <d v="2024-10-18T00:00:00"/>
    <x v="2"/>
    <s v="Check out our latest story on facebook!"/>
    <n v="4126"/>
    <n v="426"/>
    <n v="486"/>
    <n v="78394"/>
    <n v="77798"/>
    <n v="88"/>
    <x v="0"/>
    <s v="SustainabilityDrive"/>
    <n v="5126"/>
    <n v="6.4265122330790625E-2"/>
  </r>
  <r>
    <s v="P074"/>
    <x v="1"/>
    <d v="2024-10-28T00:00:00"/>
    <x v="0"/>
    <s v="Check out our latest reel on youtube!"/>
    <n v="1855"/>
    <n v="200"/>
    <n v="174"/>
    <n v="16695"/>
    <n v="16330"/>
    <n v="123"/>
    <x v="2"/>
    <s v="FSDUpdate"/>
    <n v="2352"/>
    <n v="0.13351302785265048"/>
  </r>
  <r>
    <s v="P075"/>
    <x v="2"/>
    <d v="2024-08-01T00:00:00"/>
    <x v="0"/>
    <s v="Check out our latest reel on instagram!"/>
    <n v="1674"/>
    <n v="929"/>
    <n v="37"/>
    <n v="21762"/>
    <n v="20998"/>
    <n v="255"/>
    <x v="2"/>
    <s v="SustainabilityDrive"/>
    <n v="2895"/>
    <n v="0.12131237937689551"/>
  </r>
  <r>
    <s v="P076"/>
    <x v="0"/>
    <d v="2024-11-07T00:00:00"/>
    <x v="2"/>
    <s v="Check out our latest story on twitter!"/>
    <n v="1121"/>
    <n v="135"/>
    <n v="18"/>
    <n v="15694"/>
    <n v="14957"/>
    <n v="99"/>
    <x v="2"/>
    <s v="SustainabilityDrive"/>
    <n v="1373"/>
    <n v="8.1177520071364848E-2"/>
  </r>
  <r>
    <s v="P077"/>
    <x v="3"/>
    <d v="2025-03-04T00:00:00"/>
    <x v="2"/>
    <s v="Check out our latest story on facebook!"/>
    <n v="1249"/>
    <n v="116"/>
    <n v="420"/>
    <n v="8743"/>
    <n v="8538"/>
    <n v="63"/>
    <x v="2"/>
    <m/>
    <n v="1848"/>
    <n v="0.20416333066453163"/>
  </r>
  <r>
    <s v="P078"/>
    <x v="0"/>
    <d v="2024-06-17T00:00:00"/>
    <x v="4"/>
    <s v="Check out our latest image on twitter!"/>
    <n v="954"/>
    <n v="324"/>
    <n v="288"/>
    <n v="19080"/>
    <n v="18859"/>
    <n v="21"/>
    <x v="0"/>
    <s v="SustainabilityDrive"/>
    <n v="1587"/>
    <n v="8.2075471698113203E-2"/>
  </r>
  <r>
    <s v="P079"/>
    <x v="2"/>
    <d v="2024-10-09T00:00:00"/>
    <x v="3"/>
    <s v="Check out our latest carousel on instagram!"/>
    <n v="3068"/>
    <n v="137"/>
    <n v="329"/>
    <n v="39884"/>
    <n v="39404"/>
    <n v="266"/>
    <x v="4"/>
    <s v="ModelYCampaign"/>
    <n v="3800"/>
    <n v="8.860696018453515E-2"/>
  </r>
  <r>
    <s v="P080"/>
    <x v="2"/>
    <d v="2024-06-13T00:00:00"/>
    <x v="2"/>
    <s v="Check out our latest story on instagram!"/>
    <n v="2103"/>
    <n v="892"/>
    <n v="103"/>
    <n v="39957"/>
    <n v="39466"/>
    <n v="28"/>
    <x v="0"/>
    <m/>
    <n v="3126"/>
    <n v="7.7533348349475686E-2"/>
  </r>
  <r>
    <s v="P081"/>
    <x v="2"/>
    <d v="2024-10-19T00:00:00"/>
    <x v="2"/>
    <s v="Check out our latest story on instagram!"/>
    <n v="1816"/>
    <n v="29"/>
    <n v="41"/>
    <n v="19976"/>
    <n v="19262"/>
    <n v="283"/>
    <x v="2"/>
    <s v="FSDUpdate"/>
    <n v="2169"/>
    <n v="9.4413295955146179E-2"/>
  </r>
  <r>
    <s v="P082"/>
    <x v="2"/>
    <d v="2024-07-24T00:00:00"/>
    <x v="4"/>
    <s v="Check out our latest image on instagram!"/>
    <n v="725"/>
    <n v="88"/>
    <n v="428"/>
    <n v="14500"/>
    <n v="13637"/>
    <n v="200"/>
    <x v="0"/>
    <s v="FSDUpdate"/>
    <n v="1441"/>
    <n v="8.558620689655172E-2"/>
  </r>
  <r>
    <s v="P082"/>
    <x v="2"/>
    <d v="2024-07-24T00:00:00"/>
    <x v="4"/>
    <s v="Check out our latest image on instagram!"/>
    <n v="725"/>
    <n v="88"/>
    <n v="428"/>
    <n v="14500"/>
    <n v="13637"/>
    <n v="200"/>
    <x v="2"/>
    <s v="FSDUpdate"/>
    <n v="1441"/>
    <n v="8.558620689655172E-2"/>
  </r>
  <r>
    <s v="P082"/>
    <x v="2"/>
    <d v="2024-07-24T00:00:00"/>
    <x v="4"/>
    <s v="Check out our latest image on instagram!"/>
    <n v="725"/>
    <n v="88"/>
    <n v="428"/>
    <n v="14500"/>
    <n v="13637"/>
    <n v="200"/>
    <x v="1"/>
    <s v="FSDUpdate"/>
    <n v="1441"/>
    <n v="8.558620689655172E-2"/>
  </r>
  <r>
    <s v="P083"/>
    <x v="1"/>
    <d v="2024-10-15T00:00:00"/>
    <x v="5"/>
    <s v="Check out our latest video on youtube!"/>
    <n v="1094"/>
    <n v="472"/>
    <n v="21"/>
    <n v="9846"/>
    <n v="9609"/>
    <n v="112"/>
    <x v="4"/>
    <m/>
    <n v="1699"/>
    <n v="0.16118220597196831"/>
  </r>
  <r>
    <s v="P084"/>
    <x v="3"/>
    <d v="2024-12-09T00:00:00"/>
    <x v="4"/>
    <s v="Check out our latest image on facebook!"/>
    <n v="1841"/>
    <n v="851"/>
    <n v="342"/>
    <n v="34979"/>
    <n v="34154"/>
    <n v="255"/>
    <x v="0"/>
    <s v="SustainabilityDrive"/>
    <n v="3289"/>
    <n v="8.6737756939878216E-2"/>
  </r>
  <r>
    <s v="P085"/>
    <x v="2"/>
    <d v="2025-04-19T00:00:00"/>
    <x v="4"/>
    <s v="Check out our latest image on instagram!"/>
    <n v="4177"/>
    <n v="569"/>
    <n v="55"/>
    <n v="25062"/>
    <n v="24847"/>
    <n v="230"/>
    <x v="0"/>
    <s v="CybertruckLaunch"/>
    <n v="5031"/>
    <n v="0.19156491900087783"/>
  </r>
  <r>
    <s v="P086"/>
    <x v="1"/>
    <d v="2025-01-27T00:00:00"/>
    <x v="1"/>
    <s v="Check out our latest text on youtube!"/>
    <n v="3428"/>
    <n v="305"/>
    <n v="85"/>
    <n v="58276"/>
    <n v="58052"/>
    <n v="242"/>
    <x v="4"/>
    <s v="SustainabilityDrive"/>
    <n v="4060"/>
    <n v="6.5515821264328367E-2"/>
  </r>
  <r>
    <s v="P086"/>
    <x v="1"/>
    <d v="2025-01-27T00:00:00"/>
    <x v="1"/>
    <s v="Check out our latest text on youtube!"/>
    <n v="3428"/>
    <n v="305"/>
    <n v="85"/>
    <n v="58276"/>
    <n v="58052"/>
    <n v="242"/>
    <x v="3"/>
    <s v="SustainabilityDrive"/>
    <n v="4060"/>
    <n v="6.5515821264328367E-2"/>
  </r>
  <r>
    <s v="P087"/>
    <x v="0"/>
    <d v="2024-06-06T00:00:00"/>
    <x v="5"/>
    <s v="Check out our latest video on twitter!"/>
    <n v="1436"/>
    <n v="765"/>
    <n v="496"/>
    <n v="12924"/>
    <n v="12701"/>
    <n v="197"/>
    <x v="0"/>
    <s v="FSDUpdate"/>
    <n v="2894"/>
    <n v="0.20868152274837512"/>
  </r>
  <r>
    <s v="P088"/>
    <x v="3"/>
    <d v="2024-07-07T00:00:00"/>
    <x v="2"/>
    <s v="Check out our latest story on facebook!"/>
    <n v="302"/>
    <n v="47"/>
    <n v="430"/>
    <n v="5738"/>
    <n v="4890"/>
    <n v="25"/>
    <x v="2"/>
    <s v="SustainabilityDrive"/>
    <n v="804"/>
    <n v="0.13576158940397351"/>
  </r>
  <r>
    <s v="P089"/>
    <x v="0"/>
    <d v="2025-01-10T00:00:00"/>
    <x v="4"/>
    <s v="Check out our latest image on twitter!"/>
    <n v="2214"/>
    <n v="249"/>
    <n v="152"/>
    <n v="15498"/>
    <n v="14800"/>
    <n v="180"/>
    <x v="4"/>
    <m/>
    <n v="2795"/>
    <n v="0.16873144921925409"/>
  </r>
  <r>
    <s v="P090"/>
    <x v="2"/>
    <d v="2024-06-03T00:00:00"/>
    <x v="4"/>
    <s v="Check out our latest image on instagram!"/>
    <n v="3861"/>
    <n v="960"/>
    <n v="101"/>
    <n v="69498"/>
    <n v="68817"/>
    <n v="297"/>
    <x v="2"/>
    <s v="SustainabilityDrive"/>
    <n v="5219"/>
    <n v="7.0822181933293038E-2"/>
  </r>
  <r>
    <s v="P091"/>
    <x v="3"/>
    <d v="2025-03-24T00:00:00"/>
    <x v="4"/>
    <s v="Check out our latest image on facebook!"/>
    <n v="1263"/>
    <n v="397"/>
    <n v="357"/>
    <n v="25260"/>
    <n v="24615"/>
    <n v="137"/>
    <x v="4"/>
    <s v="SustainabilityDrive"/>
    <n v="2154"/>
    <n v="7.984956452889945E-2"/>
  </r>
  <r>
    <s v="P092"/>
    <x v="0"/>
    <d v="2024-10-21T00:00:00"/>
    <x v="2"/>
    <s v="Check out our latest story on twitter!"/>
    <n v="3801"/>
    <n v="967"/>
    <n v="401"/>
    <n v="38010"/>
    <n v="37625"/>
    <n v="236"/>
    <x v="0"/>
    <s v="FSDUpdate"/>
    <n v="5405"/>
    <n v="0.13599052880820836"/>
  </r>
  <r>
    <s v="P093"/>
    <x v="2"/>
    <d v="2024-12-11T00:00:00"/>
    <x v="5"/>
    <s v="Check out our latest video on instagram!"/>
    <n v="1431"/>
    <n v="951"/>
    <n v="26"/>
    <n v="8586"/>
    <n v="8396"/>
    <n v="150"/>
    <x v="4"/>
    <s v="FSDUpdate"/>
    <n v="2558"/>
    <n v="0.28045655718611695"/>
  </r>
  <r>
    <s v="P094"/>
    <x v="2"/>
    <d v="2024-11-07T00:00:00"/>
    <x v="4"/>
    <s v="Check out our latest image on instagram!"/>
    <n v="2647"/>
    <n v="304"/>
    <n v="170"/>
    <n v="18529"/>
    <n v="17841"/>
    <n v="46"/>
    <x v="0"/>
    <s v="FSDUpdate"/>
    <n v="3167"/>
    <n v="0.16843866371633656"/>
  </r>
  <r>
    <s v="P095"/>
    <x v="2"/>
    <d v="2024-11-08T00:00:00"/>
    <x v="1"/>
    <s v="Check out our latest text on instagram!"/>
    <n v="3182"/>
    <n v="559"/>
    <n v="160"/>
    <n v="57276"/>
    <n v="56890"/>
    <n v="163"/>
    <x v="0"/>
    <s v="SustainabilityDrive"/>
    <n v="4064"/>
    <n v="6.8108806480899509E-2"/>
  </r>
  <r>
    <s v="P096"/>
    <x v="0"/>
    <d v="2024-09-10T00:00:00"/>
    <x v="4"/>
    <s v="Check out our latest image on twitter!"/>
    <n v="1238"/>
    <n v="366"/>
    <n v="444"/>
    <n v="19808"/>
    <n v="19334"/>
    <n v="123"/>
    <x v="0"/>
    <m/>
    <n v="2171"/>
    <n v="0.10339256865912763"/>
  </r>
  <r>
    <s v="P097"/>
    <x v="2"/>
    <d v="2024-08-13T00:00:00"/>
    <x v="4"/>
    <s v="Check out our latest image on instagram!"/>
    <n v="4739"/>
    <n v="527"/>
    <n v="135"/>
    <n v="61607"/>
    <n v="61333"/>
    <n v="36"/>
    <x v="2"/>
    <s v="ModelYCampaign"/>
    <n v="5437"/>
    <n v="8.7668609086629767E-2"/>
  </r>
  <r>
    <s v="P097"/>
    <x v="2"/>
    <d v="2024-08-13T00:00:00"/>
    <x v="4"/>
    <s v="Check out our latest image on instagram!"/>
    <n v="4739"/>
    <n v="527"/>
    <n v="135"/>
    <n v="61607"/>
    <n v="61333"/>
    <n v="36"/>
    <x v="1"/>
    <s v="ModelYCampaign"/>
    <n v="5437"/>
    <n v="8.7668609086629767E-2"/>
  </r>
  <r>
    <s v="P098"/>
    <x v="0"/>
    <d v="2024-06-10T00:00:00"/>
    <x v="2"/>
    <s v="Check out our latest story on twitter!"/>
    <n v="1575"/>
    <n v="771"/>
    <n v="486"/>
    <n v="25200"/>
    <n v="24826"/>
    <n v="17"/>
    <x v="0"/>
    <s v="SustainabilityDrive"/>
    <n v="2849"/>
    <n v="0.11238095238095239"/>
  </r>
  <r>
    <s v="P099"/>
    <x v="1"/>
    <d v="2024-07-02T00:00:00"/>
    <x v="3"/>
    <s v="Check out our latest carousel on youtube!"/>
    <n v="4171"/>
    <n v="548"/>
    <n v="86"/>
    <n v="66736"/>
    <n v="66634"/>
    <n v="173"/>
    <x v="0"/>
    <s v="FSDUpdate"/>
    <n v="4978"/>
    <n v="7.2000119875329657E-2"/>
  </r>
  <r>
    <s v="P100"/>
    <x v="1"/>
    <d v="2025-02-10T00:00:00"/>
    <x v="5"/>
    <s v="Check out our latest video on youtube!"/>
    <n v="1766"/>
    <n v="92"/>
    <n v="424"/>
    <n v="24724"/>
    <n v="24333"/>
    <n v="52"/>
    <x v="4"/>
    <m/>
    <n v="2334"/>
    <n v="9.2298980747451867E-2"/>
  </r>
  <r>
    <s v="P101"/>
    <x v="1"/>
    <d v="2024-10-18T00:00:00"/>
    <x v="5"/>
    <s v="Check out our latest video on youtube!"/>
    <n v="4450"/>
    <n v="983"/>
    <n v="143"/>
    <n v="75650"/>
    <n v="75008"/>
    <n v="12"/>
    <x v="0"/>
    <s v="FSDUpdate"/>
    <n v="5588"/>
    <n v="7.3707865168539333E-2"/>
  </r>
  <r>
    <s v="P102"/>
    <x v="0"/>
    <d v="2024-09-18T00:00:00"/>
    <x v="0"/>
    <s v="Check out our latest reel on twitter!"/>
    <n v="1000"/>
    <n v="978"/>
    <n v="162"/>
    <n v="6000"/>
    <n v="5221"/>
    <n v="223"/>
    <x v="4"/>
    <s v="ModelYCampaign"/>
    <n v="2363"/>
    <n v="0.35666666666666669"/>
  </r>
  <r>
    <s v="P103"/>
    <x v="3"/>
    <d v="2024-06-11T00:00:00"/>
    <x v="4"/>
    <s v="Check out our latest image on facebook!"/>
    <n v="3689"/>
    <n v="48"/>
    <n v="306"/>
    <n v="40579"/>
    <n v="39588"/>
    <n v="212"/>
    <x v="4"/>
    <s v="ModelYCampaign"/>
    <n v="4255"/>
    <n v="9.9632815002833983E-2"/>
  </r>
  <r>
    <s v="P104"/>
    <x v="1"/>
    <d v="2025-03-23T00:00:00"/>
    <x v="2"/>
    <s v="Check out our latest story on youtube!"/>
    <n v="3655"/>
    <n v="568"/>
    <n v="286"/>
    <n v="32895"/>
    <n v="32015"/>
    <n v="199"/>
    <x v="2"/>
    <s v="FSDUpdate"/>
    <n v="4708"/>
    <n v="0.13707250341997265"/>
  </r>
  <r>
    <s v="P105"/>
    <x v="2"/>
    <d v="2024-06-14T00:00:00"/>
    <x v="3"/>
    <s v="Check out our latest carousel on instagram!"/>
    <n v="498"/>
    <n v="38"/>
    <n v="42"/>
    <n v="4482"/>
    <n v="3647"/>
    <n v="32"/>
    <x v="0"/>
    <s v="CybertruckLaunch"/>
    <n v="610"/>
    <n v="0.12896028558679162"/>
  </r>
  <r>
    <s v="P106"/>
    <x v="2"/>
    <d v="2025-02-04T00:00:00"/>
    <x v="4"/>
    <s v="Check out our latest image on instagram!"/>
    <n v="4619"/>
    <n v="821"/>
    <n v="499"/>
    <n v="69285"/>
    <n v="69141"/>
    <n v="298"/>
    <x v="2"/>
    <s v="SustainabilityDrive"/>
    <n v="6237"/>
    <n v="8.5718409468138843E-2"/>
  </r>
  <r>
    <s v="P107"/>
    <x v="1"/>
    <d v="2024-06-21T00:00:00"/>
    <x v="4"/>
    <s v="Check out our latest image on youtube!"/>
    <n v="4832"/>
    <n v="893"/>
    <n v="10"/>
    <n v="91808"/>
    <n v="91296"/>
    <n v="182"/>
    <x v="2"/>
    <m/>
    <n v="5917"/>
    <n v="6.2467323109097243E-2"/>
  </r>
  <r>
    <s v="P108"/>
    <x v="0"/>
    <d v="2025-03-25T00:00:00"/>
    <x v="5"/>
    <s v="Check out our latest video on twitter!"/>
    <n v="4050"/>
    <n v="871"/>
    <n v="347"/>
    <n v="52650"/>
    <n v="51755"/>
    <n v="209"/>
    <x v="2"/>
    <s v="ModelYCampaign"/>
    <n v="5477"/>
    <n v="0.10005698005698006"/>
  </r>
  <r>
    <s v="P109"/>
    <x v="0"/>
    <d v="2024-08-08T00:00:00"/>
    <x v="2"/>
    <s v="Check out our latest story on twitter!"/>
    <n v="3649"/>
    <n v="215"/>
    <n v="413"/>
    <n v="25543"/>
    <n v="24963"/>
    <n v="167"/>
    <x v="0"/>
    <s v="FSDUpdate"/>
    <n v="4444"/>
    <n v="0.16744313510550835"/>
  </r>
  <r>
    <s v="P110"/>
    <x v="2"/>
    <d v="2024-07-29T00:00:00"/>
    <x v="0"/>
    <s v="Check out our latest reel on instagram!"/>
    <n v="3523"/>
    <n v="753"/>
    <n v="482"/>
    <n v="38753"/>
    <n v="38579"/>
    <n v="270"/>
    <x v="4"/>
    <s v="ModelYCampaign"/>
    <n v="5028"/>
    <n v="0.12277759141227776"/>
  </r>
  <r>
    <s v="P111"/>
    <x v="1"/>
    <d v="2024-11-23T00:00:00"/>
    <x v="4"/>
    <s v="Check out our latest image on youtube!"/>
    <n v="2719"/>
    <n v="17"/>
    <n v="285"/>
    <n v="40785"/>
    <n v="40281"/>
    <n v="40"/>
    <x v="2"/>
    <s v="ModelYCampaign"/>
    <n v="3061"/>
    <n v="7.4071349760941527E-2"/>
  </r>
  <r>
    <s v="P112"/>
    <x v="0"/>
    <d v="2024-10-05T00:00:00"/>
    <x v="2"/>
    <s v="Check out our latest story on twitter!"/>
    <n v="1957"/>
    <n v="877"/>
    <n v="238"/>
    <n v="17613"/>
    <n v="16865"/>
    <n v="297"/>
    <x v="0"/>
    <s v="FSDUpdate"/>
    <n v="3369"/>
    <n v="0.17441662408448305"/>
  </r>
  <r>
    <s v="P113"/>
    <x v="0"/>
    <d v="2024-10-02T00:00:00"/>
    <x v="3"/>
    <s v="Check out our latest carousel on twitter!"/>
    <n v="4419"/>
    <n v="236"/>
    <n v="369"/>
    <n v="44190"/>
    <n v="43582"/>
    <n v="10"/>
    <x v="4"/>
    <s v="CybertruckLaunch"/>
    <n v="5034"/>
    <n v="0.11369088028965829"/>
  </r>
  <r>
    <s v="P114"/>
    <x v="0"/>
    <d v="2024-11-14T00:00:00"/>
    <x v="2"/>
    <s v="Check out our latest story on twitter!"/>
    <n v="4000"/>
    <n v="689"/>
    <n v="488"/>
    <n v="40000"/>
    <n v="39569"/>
    <n v="44"/>
    <x v="0"/>
    <s v="CybertruckLaunch"/>
    <n v="5221"/>
    <n v="0.12942500000000001"/>
  </r>
  <r>
    <s v="P115"/>
    <x v="0"/>
    <d v="2025-05-11T00:00:00"/>
    <x v="4"/>
    <s v="Check out our latest image on twitter!"/>
    <n v="2493"/>
    <n v="97"/>
    <n v="44"/>
    <n v="42381"/>
    <n v="41991"/>
    <n v="242"/>
    <x v="2"/>
    <s v="SustainabilityDrive"/>
    <n v="2876"/>
    <n v="6.2150491965739366E-2"/>
  </r>
  <r>
    <s v="P115"/>
    <x v="0"/>
    <d v="2025-05-11T00:00:00"/>
    <x v="4"/>
    <s v="Check out our latest image on twitter!"/>
    <n v="2493"/>
    <n v="97"/>
    <n v="44"/>
    <n v="42381"/>
    <n v="41991"/>
    <n v="242"/>
    <x v="1"/>
    <s v="SustainabilityDrive"/>
    <n v="2876"/>
    <n v="6.2150491965739366E-2"/>
  </r>
  <r>
    <s v="P116"/>
    <x v="1"/>
    <d v="2025-03-18T00:00:00"/>
    <x v="0"/>
    <s v="Check out our latest reel on youtube!"/>
    <n v="3704"/>
    <n v="186"/>
    <n v="458"/>
    <n v="25928"/>
    <n v="25081"/>
    <n v="131"/>
    <x v="2"/>
    <m/>
    <n v="4479"/>
    <n v="0.16769515581610614"/>
  </r>
  <r>
    <s v="P117"/>
    <x v="0"/>
    <d v="2024-11-04T00:00:00"/>
    <x v="4"/>
    <s v="Check out our latest image on twitter!"/>
    <n v="1606"/>
    <n v="451"/>
    <n v="405"/>
    <n v="20878"/>
    <n v="20190"/>
    <n v="219"/>
    <x v="4"/>
    <s v="SustainabilityDrive"/>
    <n v="2681"/>
    <n v="0.11792317271769326"/>
  </r>
  <r>
    <s v="P118"/>
    <x v="3"/>
    <d v="2024-11-04T00:00:00"/>
    <x v="4"/>
    <s v="Check out our latest image on facebook!"/>
    <n v="4551"/>
    <n v="714"/>
    <n v="207"/>
    <n v="68265"/>
    <n v="67754"/>
    <n v="57"/>
    <x v="0"/>
    <s v="FSDUpdate"/>
    <n v="5529"/>
    <n v="8.0158206987475278E-2"/>
  </r>
  <r>
    <s v="P119"/>
    <x v="2"/>
    <d v="2025-02-07T00:00:00"/>
    <x v="0"/>
    <s v="Check out our latest reel on instagram!"/>
    <n v="1970"/>
    <n v="675"/>
    <n v="478"/>
    <n v="9850"/>
    <n v="8924"/>
    <n v="117"/>
    <x v="0"/>
    <m/>
    <n v="3240"/>
    <n v="0.31705583756345179"/>
  </r>
  <r>
    <s v="P120"/>
    <x v="3"/>
    <d v="2024-10-21T00:00:00"/>
    <x v="2"/>
    <s v="Check out our latest story on facebook!"/>
    <n v="780"/>
    <n v="928"/>
    <n v="301"/>
    <n v="8580"/>
    <n v="8081"/>
    <n v="91"/>
    <x v="4"/>
    <s v="FSDUpdate"/>
    <n v="2100"/>
    <n v="0.23414918414918415"/>
  </r>
  <r>
    <s v="P121"/>
    <x v="2"/>
    <d v="2024-07-29T00:00:00"/>
    <x v="2"/>
    <s v="Check out our latest story on instagram!"/>
    <n v="498"/>
    <n v="701"/>
    <n v="412"/>
    <n v="4980"/>
    <n v="4185"/>
    <n v="185"/>
    <x v="0"/>
    <m/>
    <n v="1796"/>
    <n v="0.32349397590361445"/>
  </r>
  <r>
    <s v="P122"/>
    <x v="2"/>
    <d v="2024-10-02T00:00:00"/>
    <x v="1"/>
    <s v="Check out our latest text on instagram!"/>
    <n v="3432"/>
    <n v="869"/>
    <n v="123"/>
    <n v="54912"/>
    <n v="53916"/>
    <n v="264"/>
    <x v="4"/>
    <s v="ModelYCampaign"/>
    <n v="4688"/>
    <n v="8.0565268065268064E-2"/>
  </r>
  <r>
    <s v="P123"/>
    <x v="2"/>
    <d v="2024-06-14T00:00:00"/>
    <x v="2"/>
    <s v="Check out our latest story on instagram!"/>
    <n v="4363"/>
    <n v="649"/>
    <n v="140"/>
    <n v="21815"/>
    <n v="21481"/>
    <n v="157"/>
    <x v="4"/>
    <s v="CybertruckLaunch"/>
    <n v="5309"/>
    <n v="0.23616777446710979"/>
  </r>
  <r>
    <s v="P124"/>
    <x v="1"/>
    <d v="2025-04-06T00:00:00"/>
    <x v="3"/>
    <s v="Check out our latest carousel on youtube!"/>
    <n v="736"/>
    <n v="771"/>
    <n v="225"/>
    <n v="5152"/>
    <n v="4706"/>
    <n v="19"/>
    <x v="4"/>
    <s v="CybertruckLaunch"/>
    <n v="1751"/>
    <n v="0.33618012422360249"/>
  </r>
  <r>
    <s v="P125"/>
    <x v="0"/>
    <d v="2024-09-08T00:00:00"/>
    <x v="3"/>
    <s v="Check out our latest carousel on twitter!"/>
    <n v="3811"/>
    <n v="866"/>
    <n v="216"/>
    <n v="34299"/>
    <n v="34088"/>
    <n v="233"/>
    <x v="2"/>
    <s v="SustainabilityDrive"/>
    <n v="5126"/>
    <n v="0.14265722032712325"/>
  </r>
  <r>
    <s v="P126"/>
    <x v="2"/>
    <d v="2025-03-28T00:00:00"/>
    <x v="3"/>
    <s v="Check out our latest carousel on instagram!"/>
    <n v="4158"/>
    <n v="167"/>
    <n v="241"/>
    <n v="45738"/>
    <n v="45183"/>
    <n v="142"/>
    <x v="0"/>
    <m/>
    <n v="4708"/>
    <n v="9.9829463465827106E-2"/>
  </r>
  <r>
    <s v="P127"/>
    <x v="3"/>
    <d v="2025-01-27T00:00:00"/>
    <x v="0"/>
    <s v="Check out our latest reel on facebook!"/>
    <n v="3452"/>
    <n v="652"/>
    <n v="442"/>
    <n v="65588"/>
    <n v="65049"/>
    <n v="158"/>
    <x v="0"/>
    <s v="FSDUpdate"/>
    <n v="4704"/>
    <n v="6.9311459413307311E-2"/>
  </r>
  <r>
    <s v="P128"/>
    <x v="0"/>
    <d v="2025-01-10T00:00:00"/>
    <x v="4"/>
    <s v="Check out our latest image on twitter!"/>
    <n v="3092"/>
    <n v="106"/>
    <n v="291"/>
    <n v="27828"/>
    <n v="27217"/>
    <n v="102"/>
    <x v="0"/>
    <m/>
    <n v="3591"/>
    <n v="0.12537731780940059"/>
  </r>
  <r>
    <s v="P129"/>
    <x v="0"/>
    <d v="2024-07-21T00:00:00"/>
    <x v="1"/>
    <s v="Check out our latest text on twitter!"/>
    <n v="2147"/>
    <n v="430"/>
    <n v="393"/>
    <n v="17176"/>
    <n v="16483"/>
    <n v="170"/>
    <x v="2"/>
    <m/>
    <n v="3140"/>
    <n v="0.17291569632044715"/>
  </r>
  <r>
    <s v="P130"/>
    <x v="1"/>
    <d v="2024-09-29T00:00:00"/>
    <x v="0"/>
    <s v="Check out our latest reel on youtube!"/>
    <n v="2936"/>
    <n v="439"/>
    <n v="44"/>
    <n v="38168"/>
    <n v="37571"/>
    <n v="22"/>
    <x v="4"/>
    <s v="SustainabilityDrive"/>
    <n v="3441"/>
    <n v="8.9577656675749323E-2"/>
  </r>
  <r>
    <s v="P131"/>
    <x v="2"/>
    <d v="2024-10-21T00:00:00"/>
    <x v="0"/>
    <s v="Check out our latest reel on instagram!"/>
    <n v="4840"/>
    <n v="658"/>
    <n v="211"/>
    <n v="43560"/>
    <n v="43225"/>
    <n v="57"/>
    <x v="0"/>
    <s v="FSDUpdate"/>
    <n v="5766"/>
    <n v="0.13106060606060607"/>
  </r>
  <r>
    <s v="P132"/>
    <x v="2"/>
    <d v="2025-03-04T00:00:00"/>
    <x v="2"/>
    <s v="Check out our latest story on instagram!"/>
    <n v="1947"/>
    <n v="842"/>
    <n v="101"/>
    <n v="21417"/>
    <n v="20967"/>
    <n v="186"/>
    <x v="0"/>
    <s v="ModelYCampaign"/>
    <n v="3076"/>
    <n v="0.13493953401503478"/>
  </r>
  <r>
    <s v="P133"/>
    <x v="3"/>
    <d v="2025-02-06T00:00:00"/>
    <x v="4"/>
    <s v="Check out our latest image on facebook!"/>
    <n v="2072"/>
    <n v="532"/>
    <n v="71"/>
    <n v="37296"/>
    <n v="36467"/>
    <n v="25"/>
    <x v="2"/>
    <s v="SustainabilityDrive"/>
    <n v="2700"/>
    <n v="7.172350922350923E-2"/>
  </r>
  <r>
    <s v="P134"/>
    <x v="0"/>
    <d v="2025-04-24T00:00:00"/>
    <x v="0"/>
    <s v="Check out our latest reel on twitter!"/>
    <n v="3731"/>
    <n v="115"/>
    <n v="135"/>
    <n v="55965"/>
    <n v="55436"/>
    <n v="103"/>
    <x v="2"/>
    <s v="CybertruckLaunch"/>
    <n v="4084"/>
    <n v="7.1133744304476013E-2"/>
  </r>
  <r>
    <s v="P135"/>
    <x v="3"/>
    <d v="2024-11-28T00:00:00"/>
    <x v="1"/>
    <s v="Check out our latest text on facebook!"/>
    <n v="4213"/>
    <n v="253"/>
    <n v="434"/>
    <n v="75834"/>
    <n v="75437"/>
    <n v="272"/>
    <x v="0"/>
    <s v="SustainabilityDrive"/>
    <n v="5172"/>
    <n v="6.461481657304112E-2"/>
  </r>
  <r>
    <s v="P136"/>
    <x v="2"/>
    <d v="2024-07-11T00:00:00"/>
    <x v="1"/>
    <s v="Check out our latest text on instagram!"/>
    <n v="3134"/>
    <n v="888"/>
    <n v="444"/>
    <n v="21938"/>
    <n v="21337"/>
    <n v="130"/>
    <x v="4"/>
    <s v="SustainabilityDrive"/>
    <n v="4596"/>
    <n v="0.20357370772176134"/>
  </r>
  <r>
    <s v="P137"/>
    <x v="3"/>
    <d v="2024-07-31T00:00:00"/>
    <x v="5"/>
    <s v="Check out our latest video on facebook!"/>
    <n v="3008"/>
    <n v="94"/>
    <n v="37"/>
    <n v="15040"/>
    <n v="14639"/>
    <n v="277"/>
    <x v="0"/>
    <m/>
    <n v="3416"/>
    <n v="0.20871010638297871"/>
  </r>
  <r>
    <s v="P138"/>
    <x v="0"/>
    <d v="2025-03-29T00:00:00"/>
    <x v="4"/>
    <s v="Check out our latest image on twitter!"/>
    <n v="305"/>
    <n v="187"/>
    <n v="243"/>
    <n v="4575"/>
    <n v="3704"/>
    <n v="234"/>
    <x v="0"/>
    <s v="FSDUpdate"/>
    <n v="969"/>
    <n v="0.16065573770491803"/>
  </r>
  <r>
    <s v="P139"/>
    <x v="1"/>
    <d v="2024-10-29T00:00:00"/>
    <x v="1"/>
    <s v="Check out our latest text on youtube!"/>
    <n v="2746"/>
    <n v="156"/>
    <n v="203"/>
    <n v="32952"/>
    <n v="32147"/>
    <n v="147"/>
    <x v="4"/>
    <s v="CybertruckLaunch"/>
    <n v="3252"/>
    <n v="9.422796795338674E-2"/>
  </r>
  <r>
    <s v="P140"/>
    <x v="3"/>
    <d v="2024-07-15T00:00:00"/>
    <x v="4"/>
    <s v="Check out our latest image on facebook!"/>
    <n v="2291"/>
    <n v="78"/>
    <n v="485"/>
    <n v="18328"/>
    <n v="18101"/>
    <n v="10"/>
    <x v="4"/>
    <s v="ModelYCampaign"/>
    <n v="2864"/>
    <n v="0.15571802706241816"/>
  </r>
  <r>
    <s v="P140"/>
    <x v="3"/>
    <d v="2024-07-15T00:00:00"/>
    <x v="4"/>
    <s v="Check out our latest image on facebook!"/>
    <n v="2291"/>
    <n v="78"/>
    <n v="485"/>
    <n v="18328"/>
    <n v="18101"/>
    <n v="10"/>
    <x v="5"/>
    <s v="ModelYCampaign"/>
    <n v="2864"/>
    <n v="0.15571802706241816"/>
  </r>
  <r>
    <s v="P141"/>
    <x v="0"/>
    <d v="2024-08-31T00:00:00"/>
    <x v="4"/>
    <s v="Check out our latest image on twitter!"/>
    <n v="3170"/>
    <n v="857"/>
    <n v="379"/>
    <n v="19020"/>
    <n v="18559"/>
    <n v="240"/>
    <x v="0"/>
    <m/>
    <n v="4646"/>
    <n v="0.2316508937960042"/>
  </r>
  <r>
    <s v="P142"/>
    <x v="1"/>
    <d v="2025-03-25T00:00:00"/>
    <x v="2"/>
    <s v="Check out our latest story on youtube!"/>
    <n v="2070"/>
    <n v="275"/>
    <n v="386"/>
    <n v="39330"/>
    <n v="38627"/>
    <n v="114"/>
    <x v="0"/>
    <s v="SustainabilityDrive"/>
    <n v="2845"/>
    <n v="6.9438087973557078E-2"/>
  </r>
  <r>
    <s v="P143"/>
    <x v="1"/>
    <d v="2024-10-02T00:00:00"/>
    <x v="3"/>
    <s v="Check out our latest carousel on youtube!"/>
    <n v="80"/>
    <n v="362"/>
    <n v="80"/>
    <n v="1040"/>
    <n v="349"/>
    <n v="117"/>
    <x v="2"/>
    <s v="FSDUpdate"/>
    <n v="639"/>
    <n v="0.50192307692307692"/>
  </r>
  <r>
    <s v="P144"/>
    <x v="1"/>
    <d v="2024-10-28T00:00:00"/>
    <x v="2"/>
    <s v="Check out our latest story on youtube!"/>
    <n v="4929"/>
    <n v="749"/>
    <n v="452"/>
    <n v="93651"/>
    <n v="92810"/>
    <n v="66"/>
    <x v="4"/>
    <s v="SustainabilityDrive"/>
    <n v="6196"/>
    <n v="6.5455787978772245E-2"/>
  </r>
  <r>
    <s v="P145"/>
    <x v="2"/>
    <d v="2024-08-12T00:00:00"/>
    <x v="3"/>
    <s v="Check out our latest carousel on instagram!"/>
    <n v="1878"/>
    <n v="62"/>
    <n v="179"/>
    <n v="37560"/>
    <n v="36874"/>
    <n v="142"/>
    <x v="2"/>
    <s v="SustainabilityDrive"/>
    <n v="2261"/>
    <n v="5.6416400425985093E-2"/>
  </r>
  <r>
    <s v="P146"/>
    <x v="1"/>
    <d v="2024-06-05T00:00:00"/>
    <x v="0"/>
    <s v="Check out our latest reel on youtube!"/>
    <n v="3065"/>
    <n v="772"/>
    <n v="142"/>
    <n v="18390"/>
    <n v="17875"/>
    <n v="200"/>
    <x v="4"/>
    <m/>
    <n v="4179"/>
    <n v="0.21636759108210984"/>
  </r>
  <r>
    <s v="P146"/>
    <x v="1"/>
    <d v="2024-06-05T00:00:00"/>
    <x v="0"/>
    <s v="Check out our latest reel on youtube!"/>
    <n v="3065"/>
    <n v="772"/>
    <n v="142"/>
    <n v="18390"/>
    <n v="17875"/>
    <n v="200"/>
    <x v="1"/>
    <m/>
    <n v="4179"/>
    <n v="0.21636759108210984"/>
  </r>
  <r>
    <s v="P147"/>
    <x v="2"/>
    <d v="2024-10-21T00:00:00"/>
    <x v="0"/>
    <s v="Check out our latest reel on instagram!"/>
    <n v="3256"/>
    <n v="459"/>
    <n v="266"/>
    <n v="26048"/>
    <n v="25529"/>
    <n v="143"/>
    <x v="2"/>
    <s v="ModelYCampaign"/>
    <n v="4124"/>
    <n v="0.15283323095823095"/>
  </r>
  <r>
    <s v="P148"/>
    <x v="2"/>
    <d v="2025-04-15T00:00:00"/>
    <x v="5"/>
    <s v="Check out our latest video on instagram!"/>
    <n v="4133"/>
    <n v="466"/>
    <n v="327"/>
    <n v="24798"/>
    <n v="24620"/>
    <n v="176"/>
    <x v="4"/>
    <s v="SustainabilityDrive"/>
    <n v="5102"/>
    <n v="0.19864505202032423"/>
  </r>
  <r>
    <s v="P149"/>
    <x v="0"/>
    <d v="2024-06-16T00:00:00"/>
    <x v="5"/>
    <s v="Check out our latest video on twitter!"/>
    <n v="1702"/>
    <n v="750"/>
    <n v="179"/>
    <n v="34040"/>
    <n v="33174"/>
    <n v="76"/>
    <x v="4"/>
    <s v="CybertruckLaunch"/>
    <n v="2707"/>
    <n v="7.7291421856639245E-2"/>
  </r>
  <r>
    <s v="P150"/>
    <x v="1"/>
    <d v="2024-08-22T00:00:00"/>
    <x v="3"/>
    <s v="Check out our latest carousel on youtube!"/>
    <n v="4295"/>
    <n v="853"/>
    <n v="325"/>
    <n v="85900"/>
    <n v="85788"/>
    <n v="290"/>
    <x v="2"/>
    <s v="SustainabilityDrive"/>
    <n v="5763"/>
    <n v="6.3713620488940623E-2"/>
  </r>
  <r>
    <s v="P151"/>
    <x v="2"/>
    <d v="2024-07-26T00:00:00"/>
    <x v="4"/>
    <s v="Check out our latest image on instagram!"/>
    <n v="3559"/>
    <n v="59"/>
    <n v="289"/>
    <n v="35590"/>
    <n v="35105"/>
    <n v="122"/>
    <x v="4"/>
    <s v="CybertruckLaunch"/>
    <n v="4029"/>
    <n v="0.10977802753582468"/>
  </r>
  <r>
    <s v="P152"/>
    <x v="3"/>
    <d v="2025-04-22T00:00:00"/>
    <x v="4"/>
    <s v="Check out our latest image on facebook!"/>
    <n v="4804"/>
    <n v="550"/>
    <n v="270"/>
    <n v="28824"/>
    <n v="28370"/>
    <n v="47"/>
    <x v="4"/>
    <s v="SustainabilityDrive"/>
    <n v="5671"/>
    <n v="0.19511518179295032"/>
  </r>
  <r>
    <s v="P153"/>
    <x v="0"/>
    <d v="2025-01-01T00:00:00"/>
    <x v="5"/>
    <s v="Check out our latest video on twitter!"/>
    <n v="754"/>
    <n v="197"/>
    <n v="257"/>
    <n v="6786"/>
    <n v="6221"/>
    <n v="212"/>
    <x v="2"/>
    <s v="FSDUpdate"/>
    <n v="1420"/>
    <n v="0.17801355732390214"/>
  </r>
  <r>
    <s v="P154"/>
    <x v="2"/>
    <d v="2024-10-09T00:00:00"/>
    <x v="3"/>
    <s v="Check out our latest carousel on instagram!"/>
    <n v="985"/>
    <n v="932"/>
    <n v="287"/>
    <n v="6895"/>
    <n v="6757"/>
    <n v="64"/>
    <x v="0"/>
    <s v="SustainabilityDrive"/>
    <n v="2268"/>
    <n v="0.31965192168237855"/>
  </r>
  <r>
    <s v="P155"/>
    <x v="1"/>
    <d v="2024-12-21T00:00:00"/>
    <x v="4"/>
    <s v="Check out our latest image on youtube!"/>
    <n v="2283"/>
    <n v="210"/>
    <n v="130"/>
    <n v="22830"/>
    <n v="22617"/>
    <n v="143"/>
    <x v="0"/>
    <s v="ModelYCampaign"/>
    <n v="2766"/>
    <n v="0.11489268506351293"/>
  </r>
  <r>
    <s v="P156"/>
    <x v="3"/>
    <d v="2024-10-22T00:00:00"/>
    <x v="3"/>
    <s v="Check out our latest carousel on facebook!"/>
    <n v="3352"/>
    <n v="941"/>
    <n v="482"/>
    <n v="43576"/>
    <n v="43338"/>
    <n v="240"/>
    <x v="0"/>
    <s v="ModelYCampaign"/>
    <n v="5015"/>
    <n v="0.1095786671562328"/>
  </r>
  <r>
    <s v="P157"/>
    <x v="1"/>
    <d v="2024-07-23T00:00:00"/>
    <x v="2"/>
    <s v="Check out our latest story on youtube!"/>
    <n v="4775"/>
    <n v="173"/>
    <n v="206"/>
    <n v="47750"/>
    <n v="47544"/>
    <n v="187"/>
    <x v="0"/>
    <s v="ModelYCampaign"/>
    <n v="5341"/>
    <n v="0.10793717277486911"/>
  </r>
  <r>
    <s v="P158"/>
    <x v="2"/>
    <d v="2024-08-11T00:00:00"/>
    <x v="2"/>
    <s v="Check out our latest story on instagram!"/>
    <n v="1762"/>
    <n v="405"/>
    <n v="423"/>
    <n v="22906"/>
    <n v="21925"/>
    <n v="25"/>
    <x v="2"/>
    <s v="CybertruckLaunch"/>
    <n v="2615"/>
    <n v="0.11307081114118571"/>
  </r>
  <r>
    <s v="P159"/>
    <x v="3"/>
    <d v="2024-11-25T00:00:00"/>
    <x v="2"/>
    <s v="Check out our latest story on facebook!"/>
    <n v="2120"/>
    <n v="158"/>
    <n v="488"/>
    <n v="12720"/>
    <n v="12085"/>
    <n v="17"/>
    <x v="0"/>
    <s v="ModelYCampaign"/>
    <n v="2783"/>
    <n v="0.21745283018867925"/>
  </r>
  <r>
    <s v="P160"/>
    <x v="0"/>
    <d v="2024-08-24T00:00:00"/>
    <x v="5"/>
    <s v="Check out our latest video on twitter!"/>
    <n v="1082"/>
    <n v="209"/>
    <n v="484"/>
    <n v="19476"/>
    <n v="18654"/>
    <n v="20"/>
    <x v="2"/>
    <m/>
    <n v="1795"/>
    <n v="9.1137810638734856E-2"/>
  </r>
  <r>
    <s v="P161"/>
    <x v="0"/>
    <d v="2025-02-19T00:00:00"/>
    <x v="1"/>
    <s v="Check out our latest text on twitter!"/>
    <n v="4671"/>
    <n v="876"/>
    <n v="366"/>
    <n v="51381"/>
    <n v="50565"/>
    <n v="245"/>
    <x v="2"/>
    <s v="SustainabilityDrive"/>
    <n v="6158"/>
    <n v="0.11508145034156594"/>
  </r>
  <r>
    <s v="P162"/>
    <x v="3"/>
    <d v="2025-04-01T00:00:00"/>
    <x v="2"/>
    <s v="Check out our latest story on facebook!"/>
    <n v="3430"/>
    <n v="566"/>
    <n v="164"/>
    <n v="48020"/>
    <n v="47305"/>
    <n v="120"/>
    <x v="0"/>
    <m/>
    <n v="4280"/>
    <n v="8.6630570595585168E-2"/>
  </r>
  <r>
    <s v="P163"/>
    <x v="2"/>
    <d v="2025-04-08T00:00:00"/>
    <x v="4"/>
    <s v="Check out our latest image on instagram!"/>
    <n v="4501"/>
    <n v="375"/>
    <n v="323"/>
    <n v="22505"/>
    <n v="21836"/>
    <n v="132"/>
    <x v="2"/>
    <s v="ModelYCampaign"/>
    <n v="5331"/>
    <n v="0.23101532992668297"/>
  </r>
  <r>
    <s v="P164"/>
    <x v="1"/>
    <d v="2025-02-27T00:00:00"/>
    <x v="1"/>
    <s v="Check out our latest text on youtube!"/>
    <n v="4934"/>
    <n v="971"/>
    <n v="156"/>
    <n v="39472"/>
    <n v="39025"/>
    <n v="169"/>
    <x v="2"/>
    <s v="SustainabilityDrive"/>
    <n v="6230"/>
    <n v="0.15355188488042157"/>
  </r>
  <r>
    <s v="P164"/>
    <x v="1"/>
    <d v="2025-02-27T00:00:00"/>
    <x v="1"/>
    <s v="Check out our latest text on youtube!"/>
    <n v="4934"/>
    <n v="971"/>
    <n v="156"/>
    <n v="39472"/>
    <n v="39025"/>
    <n v="169"/>
    <x v="1"/>
    <s v="SustainabilityDrive"/>
    <n v="6230"/>
    <n v="0.15355188488042157"/>
  </r>
  <r>
    <s v="P165"/>
    <x v="0"/>
    <d v="2024-12-11T00:00:00"/>
    <x v="1"/>
    <s v="Check out our latest text on twitter!"/>
    <n v="3239"/>
    <n v="43"/>
    <n v="211"/>
    <n v="22673"/>
    <n v="22171"/>
    <n v="230"/>
    <x v="2"/>
    <s v="ModelYCampaign"/>
    <n v="3723"/>
    <n v="0.15405989502933004"/>
  </r>
  <r>
    <s v="P166"/>
    <x v="0"/>
    <d v="2025-02-16T00:00:00"/>
    <x v="0"/>
    <s v="Check out our latest reel on twitter!"/>
    <n v="1076"/>
    <n v="313"/>
    <n v="306"/>
    <n v="11836"/>
    <n v="11596"/>
    <n v="104"/>
    <x v="0"/>
    <s v="CybertruckLaunch"/>
    <n v="1799"/>
    <n v="0.14320716458262928"/>
  </r>
  <r>
    <s v="P167"/>
    <x v="2"/>
    <d v="2024-11-28T00:00:00"/>
    <x v="1"/>
    <s v="Check out our latest text on instagram!"/>
    <n v="4771"/>
    <n v="818"/>
    <n v="56"/>
    <n v="57252"/>
    <n v="56378"/>
    <n v="150"/>
    <x v="0"/>
    <m/>
    <n v="5795"/>
    <n v="9.859917557465242E-2"/>
  </r>
  <r>
    <s v="P168"/>
    <x v="3"/>
    <d v="2024-11-12T00:00:00"/>
    <x v="1"/>
    <s v="Check out our latest text on facebook!"/>
    <n v="2418"/>
    <n v="754"/>
    <n v="54"/>
    <n v="43524"/>
    <n v="42743"/>
    <n v="182"/>
    <x v="4"/>
    <s v="CybertruckLaunch"/>
    <n v="3408"/>
    <n v="7.412002573292896E-2"/>
  </r>
  <r>
    <s v="P169"/>
    <x v="1"/>
    <d v="2024-12-03T00:00:00"/>
    <x v="5"/>
    <s v="Check out our latest video on youtube!"/>
    <n v="3809"/>
    <n v="273"/>
    <n v="200"/>
    <n v="34281"/>
    <n v="33534"/>
    <n v="83"/>
    <x v="4"/>
    <s v="CybertruckLaunch"/>
    <n v="4365"/>
    <n v="0.12490884163239112"/>
  </r>
  <r>
    <s v="P170"/>
    <x v="0"/>
    <d v="2025-04-28T00:00:00"/>
    <x v="1"/>
    <s v="Check out our latest text on twitter!"/>
    <n v="3577"/>
    <n v="596"/>
    <n v="493"/>
    <n v="67963"/>
    <n v="67839"/>
    <n v="53"/>
    <x v="2"/>
    <s v="FSDUpdate"/>
    <n v="4719"/>
    <n v="6.8655003457763777E-2"/>
  </r>
  <r>
    <s v="P171"/>
    <x v="1"/>
    <d v="2024-12-31T00:00:00"/>
    <x v="5"/>
    <s v="Check out our latest video on youtube!"/>
    <n v="1018"/>
    <n v="447"/>
    <n v="332"/>
    <n v="18324"/>
    <n v="18164"/>
    <n v="38"/>
    <x v="0"/>
    <s v="ModelYCampaign"/>
    <n v="1835"/>
    <n v="9.8068107400130972E-2"/>
  </r>
  <r>
    <s v="P172"/>
    <x v="3"/>
    <d v="2024-08-14T00:00:00"/>
    <x v="3"/>
    <s v="Check out our latest carousel on facebook!"/>
    <n v="3073"/>
    <n v="553"/>
    <n v="174"/>
    <n v="52241"/>
    <n v="51605"/>
    <n v="246"/>
    <x v="4"/>
    <s v="FSDUpdate"/>
    <n v="4046"/>
    <n v="7.2739802071170159E-2"/>
  </r>
  <r>
    <s v="P173"/>
    <x v="0"/>
    <d v="2024-12-05T00:00:00"/>
    <x v="5"/>
    <s v="Check out our latest video on twitter!"/>
    <n v="1330"/>
    <n v="925"/>
    <n v="35"/>
    <n v="15960"/>
    <n v="15379"/>
    <n v="229"/>
    <x v="0"/>
    <s v="FSDUpdate"/>
    <n v="2519"/>
    <n v="0.14348370927318296"/>
  </r>
  <r>
    <s v="P174"/>
    <x v="3"/>
    <d v="2024-06-22T00:00:00"/>
    <x v="1"/>
    <s v="Check out our latest text on facebook!"/>
    <n v="3828"/>
    <n v="148"/>
    <n v="253"/>
    <n v="30624"/>
    <n v="30229"/>
    <n v="235"/>
    <x v="4"/>
    <m/>
    <n v="4464"/>
    <n v="0.13809430512016718"/>
  </r>
  <r>
    <s v="P175"/>
    <x v="2"/>
    <d v="2025-01-17T00:00:00"/>
    <x v="0"/>
    <s v="Check out our latest reel on instagram!"/>
    <n v="142"/>
    <n v="784"/>
    <n v="183"/>
    <n v="1704"/>
    <n v="995"/>
    <n v="154"/>
    <x v="0"/>
    <s v="SustainabilityDrive"/>
    <n v="1263"/>
    <n v="0.6508215962441315"/>
  </r>
  <r>
    <s v="P176"/>
    <x v="3"/>
    <d v="2024-06-20T00:00:00"/>
    <x v="5"/>
    <s v="Check out our latest video on facebook!"/>
    <n v="3798"/>
    <n v="31"/>
    <n v="279"/>
    <n v="75960"/>
    <n v="75813"/>
    <n v="266"/>
    <x v="2"/>
    <s v="CybertruckLaunch"/>
    <n v="4374"/>
    <n v="5.4081095313322801E-2"/>
  </r>
  <r>
    <s v="P177"/>
    <x v="2"/>
    <d v="2024-07-10T00:00:00"/>
    <x v="3"/>
    <s v="Check out our latest carousel on instagram!"/>
    <n v="3099"/>
    <n v="694"/>
    <n v="171"/>
    <n v="43386"/>
    <n v="42921"/>
    <n v="52"/>
    <x v="2"/>
    <s v="FSDUpdate"/>
    <n v="4016"/>
    <n v="9.1365878393951966E-2"/>
  </r>
  <r>
    <s v="P178"/>
    <x v="2"/>
    <d v="2024-11-07T00:00:00"/>
    <x v="5"/>
    <s v="Check out our latest video on instagram!"/>
    <n v="129"/>
    <n v="643"/>
    <n v="136"/>
    <n v="1290"/>
    <n v="839"/>
    <n v="238"/>
    <x v="2"/>
    <s v="SustainabilityDrive"/>
    <n v="1146"/>
    <n v="0.70387596899224802"/>
  </r>
  <r>
    <s v="P179"/>
    <x v="3"/>
    <d v="2024-07-15T00:00:00"/>
    <x v="3"/>
    <s v="Check out our latest carousel on facebook!"/>
    <n v="3796"/>
    <n v="667"/>
    <n v="395"/>
    <n v="64532"/>
    <n v="63550"/>
    <n v="292"/>
    <x v="2"/>
    <m/>
    <n v="5150"/>
    <n v="7.5280481001673588E-2"/>
  </r>
  <r>
    <s v="P180"/>
    <x v="1"/>
    <d v="2024-12-03T00:00:00"/>
    <x v="1"/>
    <s v="Check out our latest text on youtube!"/>
    <n v="3711"/>
    <n v="352"/>
    <n v="290"/>
    <n v="48243"/>
    <n v="47579"/>
    <n v="11"/>
    <x v="2"/>
    <s v="CybertruckLaunch"/>
    <n v="4364"/>
    <n v="9.023070704558174E-2"/>
  </r>
  <r>
    <s v="P181"/>
    <x v="1"/>
    <d v="2025-03-21T00:00:00"/>
    <x v="4"/>
    <s v="Check out our latest image on youtube!"/>
    <n v="606"/>
    <n v="789"/>
    <n v="470"/>
    <n v="7878"/>
    <n v="7389"/>
    <n v="239"/>
    <x v="4"/>
    <s v="FSDUpdate"/>
    <n v="2104"/>
    <n v="0.23673521198273673"/>
  </r>
  <r>
    <s v="P182"/>
    <x v="3"/>
    <d v="2024-07-31T00:00:00"/>
    <x v="4"/>
    <s v="Check out our latest image on facebook!"/>
    <n v="4689"/>
    <n v="134"/>
    <n v="403"/>
    <n v="51579"/>
    <n v="50924"/>
    <n v="173"/>
    <x v="2"/>
    <s v="SustainabilityDrive"/>
    <n v="5399"/>
    <n v="0.10132030477519921"/>
  </r>
  <r>
    <s v="P183"/>
    <x v="2"/>
    <d v="2024-12-17T00:00:00"/>
    <x v="2"/>
    <s v="Check out our latest story on instagram!"/>
    <n v="360"/>
    <n v="590"/>
    <n v="393"/>
    <n v="4680"/>
    <n v="4322"/>
    <n v="208"/>
    <x v="0"/>
    <s v="ModelYCampaign"/>
    <n v="1551"/>
    <n v="0.28696581196581195"/>
  </r>
  <r>
    <s v="P184"/>
    <x v="0"/>
    <d v="2024-07-28T00:00:00"/>
    <x v="4"/>
    <s v="Check out our latest image on twitter!"/>
    <n v="3215"/>
    <n v="960"/>
    <n v="202"/>
    <n v="32150"/>
    <n v="31404"/>
    <n v="251"/>
    <x v="4"/>
    <s v="CybertruckLaunch"/>
    <n v="4628"/>
    <n v="0.13614307931570763"/>
  </r>
  <r>
    <s v="P185"/>
    <x v="2"/>
    <d v="2025-01-11T00:00:00"/>
    <x v="3"/>
    <s v="Check out our latest carousel on instagram!"/>
    <n v="4523"/>
    <n v="61"/>
    <n v="157"/>
    <n v="49753"/>
    <n v="49329"/>
    <n v="71"/>
    <x v="4"/>
    <m/>
    <n v="4812"/>
    <n v="9.5290736237010829E-2"/>
  </r>
  <r>
    <s v="P186"/>
    <x v="3"/>
    <d v="2024-08-24T00:00:00"/>
    <x v="3"/>
    <s v="Check out our latest carousel on facebook!"/>
    <n v="4292"/>
    <n v="51"/>
    <n v="392"/>
    <n v="55796"/>
    <n v="54826"/>
    <n v="264"/>
    <x v="4"/>
    <s v="FSDUpdate"/>
    <n v="4999"/>
    <n v="8.4862714173059003E-2"/>
  </r>
  <r>
    <s v="P187"/>
    <x v="0"/>
    <d v="2024-12-22T00:00:00"/>
    <x v="0"/>
    <s v="Check out our latest reel on twitter!"/>
    <n v="1644"/>
    <n v="546"/>
    <n v="150"/>
    <n v="27948"/>
    <n v="27184"/>
    <n v="300"/>
    <x v="4"/>
    <s v="FSDUpdate"/>
    <n v="2640"/>
    <n v="8.3726921425504502E-2"/>
  </r>
  <r>
    <s v="P188"/>
    <x v="1"/>
    <d v="2024-06-06T00:00:00"/>
    <x v="0"/>
    <s v="Check out our latest reel on youtube!"/>
    <n v="2728"/>
    <n v="533"/>
    <n v="215"/>
    <n v="40920"/>
    <n v="40816"/>
    <n v="137"/>
    <x v="0"/>
    <s v="ModelYCampaign"/>
    <n v="3613"/>
    <n v="8.4946236559139784E-2"/>
  </r>
  <r>
    <s v="P189"/>
    <x v="3"/>
    <d v="2025-03-24T00:00:00"/>
    <x v="0"/>
    <s v="Check out our latest reel on facebook!"/>
    <n v="3360"/>
    <n v="525"/>
    <n v="500"/>
    <n v="60480"/>
    <n v="59610"/>
    <n v="192"/>
    <x v="2"/>
    <s v="CybertruckLaunch"/>
    <n v="4577"/>
    <n v="7.2503306878306875E-2"/>
  </r>
  <r>
    <s v="P190"/>
    <x v="1"/>
    <d v="2024-10-04T00:00:00"/>
    <x v="1"/>
    <s v="Check out our latest text on youtube!"/>
    <n v="1963"/>
    <n v="213"/>
    <n v="19"/>
    <n v="39260"/>
    <n v="38771"/>
    <n v="145"/>
    <x v="0"/>
    <m/>
    <n v="2340"/>
    <n v="5.5909322465613857E-2"/>
  </r>
  <r>
    <s v="P191"/>
    <x v="1"/>
    <d v="2024-12-03T00:00:00"/>
    <x v="2"/>
    <s v="Check out our latest story on youtube!"/>
    <n v="4285"/>
    <n v="886"/>
    <n v="376"/>
    <n v="55705"/>
    <n v="55556"/>
    <n v="51"/>
    <x v="0"/>
    <s v="FSDUpdate"/>
    <n v="5598"/>
    <n v="9.9578134817341346E-2"/>
  </r>
  <r>
    <s v="P192"/>
    <x v="2"/>
    <d v="2024-11-29T00:00:00"/>
    <x v="5"/>
    <s v="Check out our latest video on instagram!"/>
    <n v="1176"/>
    <n v="464"/>
    <n v="394"/>
    <n v="14112"/>
    <n v="13588"/>
    <n v="272"/>
    <x v="4"/>
    <m/>
    <n v="2306"/>
    <n v="0.1441326530612245"/>
  </r>
  <r>
    <s v="P193"/>
    <x v="0"/>
    <d v="2024-09-11T00:00:00"/>
    <x v="4"/>
    <s v="Check out our latest image on twitter!"/>
    <n v="4858"/>
    <n v="317"/>
    <n v="129"/>
    <n v="53438"/>
    <n v="52687"/>
    <n v="223"/>
    <x v="4"/>
    <s v="FSDUpdate"/>
    <n v="5527"/>
    <n v="9.9255211647142488E-2"/>
  </r>
  <r>
    <s v="P194"/>
    <x v="1"/>
    <d v="2024-10-02T00:00:00"/>
    <x v="2"/>
    <s v="Check out our latest story on youtube!"/>
    <n v="4350"/>
    <n v="771"/>
    <n v="7"/>
    <n v="60900"/>
    <n v="60592"/>
    <n v="195"/>
    <x v="4"/>
    <s v="CybertruckLaunch"/>
    <n v="5323"/>
    <n v="8.4203612479474554E-2"/>
  </r>
  <r>
    <s v="P195"/>
    <x v="2"/>
    <d v="2024-08-15T00:00:00"/>
    <x v="3"/>
    <s v="Check out our latest carousel on instagram!"/>
    <n v="914"/>
    <n v="464"/>
    <n v="246"/>
    <n v="11882"/>
    <n v="11500"/>
    <n v="282"/>
    <x v="0"/>
    <s v="SustainabilityDrive"/>
    <n v="1906"/>
    <n v="0.13667732704931829"/>
  </r>
  <r>
    <s v="P195"/>
    <x v="2"/>
    <d v="2024-08-15T00:00:00"/>
    <x v="3"/>
    <s v="Check out our latest carousel on instagram!"/>
    <n v="914"/>
    <n v="464"/>
    <n v="246"/>
    <n v="11882"/>
    <n v="11500"/>
    <n v="282"/>
    <x v="2"/>
    <s v="SustainabilityDrive"/>
    <n v="1906"/>
    <n v="0.13667732704931829"/>
  </r>
  <r>
    <s v="P195"/>
    <x v="2"/>
    <d v="2024-08-15T00:00:00"/>
    <x v="3"/>
    <s v="Check out our latest carousel on instagram!"/>
    <n v="914"/>
    <n v="464"/>
    <n v="246"/>
    <n v="11882"/>
    <n v="11500"/>
    <n v="282"/>
    <x v="1"/>
    <s v="SustainabilityDrive"/>
    <n v="1906"/>
    <n v="0.13667732704931829"/>
  </r>
  <r>
    <s v="P196"/>
    <x v="2"/>
    <d v="2024-12-19T00:00:00"/>
    <x v="1"/>
    <s v="Check out our latest text on instagram!"/>
    <n v="1813"/>
    <n v="623"/>
    <n v="72"/>
    <n v="19943"/>
    <n v="18959"/>
    <n v="85"/>
    <x v="4"/>
    <s v="FSDUpdate"/>
    <n v="2593"/>
    <n v="0.12575841147269717"/>
  </r>
  <r>
    <s v="P197"/>
    <x v="0"/>
    <d v="2024-10-22T00:00:00"/>
    <x v="0"/>
    <s v="Check out our latest reel on twitter!"/>
    <n v="4782"/>
    <n v="721"/>
    <n v="82"/>
    <n v="86076"/>
    <n v="85339"/>
    <n v="19"/>
    <x v="4"/>
    <s v="CybertruckLaunch"/>
    <n v="5604"/>
    <n v="6.4884520656164318E-2"/>
  </r>
  <r>
    <s v="P198"/>
    <x v="0"/>
    <d v="2024-09-14T00:00:00"/>
    <x v="4"/>
    <s v="Check out our latest image on twitter!"/>
    <n v="1048"/>
    <n v="374"/>
    <n v="450"/>
    <n v="9432"/>
    <n v="8882"/>
    <n v="158"/>
    <x v="2"/>
    <s v="FSDUpdate"/>
    <n v="2030"/>
    <n v="0.19847328244274809"/>
  </r>
  <r>
    <s v="P199"/>
    <x v="1"/>
    <d v="2024-11-30T00:00:00"/>
    <x v="3"/>
    <s v="Check out our latest carousel on youtube!"/>
    <n v="2509"/>
    <n v="324"/>
    <n v="171"/>
    <n v="35126"/>
    <n v="34685"/>
    <n v="277"/>
    <x v="2"/>
    <s v="ModelYCampaign"/>
    <n v="3281"/>
    <n v="8.5520696919660646E-2"/>
  </r>
  <r>
    <s v="P200"/>
    <x v="3"/>
    <d v="2025-04-07T00:00:00"/>
    <x v="0"/>
    <s v="Check out our latest reel on facebook!"/>
    <n v="3718"/>
    <n v="385"/>
    <n v="310"/>
    <n v="70642"/>
    <n v="69749"/>
    <n v="233"/>
    <x v="2"/>
    <s v="ModelYCampaign"/>
    <n v="4646"/>
    <n v="6.246991874522239E-2"/>
  </r>
  <r>
    <s v="P201"/>
    <x v="0"/>
    <d v="2025-01-15T00:00:00"/>
    <x v="0"/>
    <s v="Check out our latest reel on twitter!"/>
    <n v="802"/>
    <n v="262"/>
    <n v="244"/>
    <n v="14436"/>
    <n v="14280"/>
    <n v="49"/>
    <x v="4"/>
    <s v="CybertruckLaunch"/>
    <n v="1357"/>
    <n v="9.0606816292601824E-2"/>
  </r>
  <r>
    <s v="P202"/>
    <x v="3"/>
    <d v="2024-06-02T00:00:00"/>
    <x v="4"/>
    <s v="Check out our latest image on facebook!"/>
    <n v="1871"/>
    <n v="252"/>
    <n v="335"/>
    <n v="29936"/>
    <n v="29576"/>
    <n v="288"/>
    <x v="4"/>
    <s v="FSDUpdate"/>
    <n v="2746"/>
    <n v="8.2108498129342594E-2"/>
  </r>
  <r>
    <s v="P203"/>
    <x v="2"/>
    <d v="2024-11-21T00:00:00"/>
    <x v="3"/>
    <s v="Check out our latest carousel on instagram!"/>
    <n v="3773"/>
    <n v="299"/>
    <n v="38"/>
    <n v="71687"/>
    <n v="71447"/>
    <n v="286"/>
    <x v="0"/>
    <s v="CybertruckLaunch"/>
    <n v="4396"/>
    <n v="5.7332570758993957E-2"/>
  </r>
  <r>
    <s v="P204"/>
    <x v="2"/>
    <d v="2025-01-01T00:00:00"/>
    <x v="3"/>
    <s v="Check out our latest carousel on instagram!"/>
    <n v="2234"/>
    <n v="653"/>
    <n v="432"/>
    <n v="11170"/>
    <n v="10569"/>
    <n v="198"/>
    <x v="0"/>
    <s v="FSDUpdate"/>
    <n v="3517"/>
    <n v="0.29713518352730528"/>
  </r>
  <r>
    <s v="P205"/>
    <x v="0"/>
    <d v="2025-04-24T00:00:00"/>
    <x v="5"/>
    <s v="Check out our latest video on twitter!"/>
    <n v="3820"/>
    <n v="697"/>
    <n v="268"/>
    <n v="45840"/>
    <n v="45631"/>
    <n v="171"/>
    <x v="2"/>
    <s v="SustainabilityDrive"/>
    <n v="4956"/>
    <n v="0.1043848167539267"/>
  </r>
  <r>
    <s v="P205"/>
    <x v="0"/>
    <d v="2025-04-24T00:00:00"/>
    <x v="5"/>
    <s v="Check out our latest video on twitter!"/>
    <n v="3820"/>
    <n v="697"/>
    <n v="268"/>
    <n v="45840"/>
    <n v="45631"/>
    <n v="171"/>
    <x v="5"/>
    <s v="SustainabilityDrive"/>
    <n v="4956"/>
    <n v="0.1043848167539267"/>
  </r>
  <r>
    <s v="P206"/>
    <x v="0"/>
    <d v="2024-06-24T00:00:00"/>
    <x v="1"/>
    <s v="Check out our latest text on twitter!"/>
    <n v="941"/>
    <n v="121"/>
    <n v="458"/>
    <n v="14115"/>
    <n v="13838"/>
    <n v="87"/>
    <x v="4"/>
    <s v="CybertruckLaunch"/>
    <n v="1607"/>
    <n v="0.10768685795253277"/>
  </r>
  <r>
    <s v="P207"/>
    <x v="0"/>
    <d v="2024-12-29T00:00:00"/>
    <x v="3"/>
    <s v="Check out our latest carousel on twitter!"/>
    <n v="4274"/>
    <n v="340"/>
    <n v="281"/>
    <n v="34192"/>
    <n v="33446"/>
    <n v="129"/>
    <x v="2"/>
    <s v="FSDUpdate"/>
    <n v="5024"/>
    <n v="0.14316214319138981"/>
  </r>
  <r>
    <s v="P207"/>
    <x v="0"/>
    <d v="2024-12-29T00:00:00"/>
    <x v="3"/>
    <s v="Check out our latest carousel on twitter!"/>
    <n v="4274"/>
    <n v="340"/>
    <n v="281"/>
    <n v="34192"/>
    <n v="33446"/>
    <n v="129"/>
    <x v="5"/>
    <s v="FSDUpdate"/>
    <n v="5024"/>
    <n v="0.14316214319138981"/>
  </r>
  <r>
    <s v="P208"/>
    <x v="1"/>
    <d v="2024-06-24T00:00:00"/>
    <x v="5"/>
    <s v="Check out our latest video on youtube!"/>
    <n v="2949"/>
    <n v="476"/>
    <n v="403"/>
    <n v="44235"/>
    <n v="43705"/>
    <n v="135"/>
    <x v="2"/>
    <s v="ModelYCampaign"/>
    <n v="3963"/>
    <n v="8.6537809426924378E-2"/>
  </r>
  <r>
    <s v="P209"/>
    <x v="0"/>
    <d v="2025-03-19T00:00:00"/>
    <x v="5"/>
    <s v="Check out our latest video on twitter!"/>
    <n v="3160"/>
    <n v="204"/>
    <n v="297"/>
    <n v="44240"/>
    <n v="43666"/>
    <n v="49"/>
    <x v="0"/>
    <s v="SustainabilityDrive"/>
    <n v="3710"/>
    <n v="8.2753164556962022E-2"/>
  </r>
  <r>
    <s v="P209"/>
    <x v="0"/>
    <d v="2025-03-19T00:00:00"/>
    <x v="5"/>
    <s v="Check out our latest video on twitter!"/>
    <n v="3160"/>
    <n v="204"/>
    <n v="297"/>
    <n v="44240"/>
    <n v="43666"/>
    <n v="49"/>
    <x v="1"/>
    <s v="SustainabilityDrive"/>
    <n v="3710"/>
    <n v="8.2753164556962022E-2"/>
  </r>
  <r>
    <s v="P210"/>
    <x v="1"/>
    <d v="2025-02-19T00:00:00"/>
    <x v="4"/>
    <s v="Check out our latest image on youtube!"/>
    <n v="257"/>
    <n v="966"/>
    <n v="398"/>
    <n v="3341"/>
    <n v="2753"/>
    <n v="287"/>
    <x v="0"/>
    <s v="CybertruckLaunch"/>
    <n v="1908"/>
    <n v="0.48518407662376534"/>
  </r>
  <r>
    <s v="P211"/>
    <x v="0"/>
    <d v="2024-07-18T00:00:00"/>
    <x v="3"/>
    <s v="Check out our latest carousel on twitter!"/>
    <n v="2120"/>
    <n v="38"/>
    <n v="212"/>
    <n v="12720"/>
    <n v="12564"/>
    <n v="21"/>
    <x v="0"/>
    <s v="SustainabilityDrive"/>
    <n v="2391"/>
    <n v="0.18632075471698112"/>
  </r>
  <r>
    <s v="P212"/>
    <x v="1"/>
    <d v="2025-03-03T00:00:00"/>
    <x v="5"/>
    <s v="Check out our latest video on youtube!"/>
    <n v="3874"/>
    <n v="884"/>
    <n v="19"/>
    <n v="38740"/>
    <n v="38552"/>
    <n v="219"/>
    <x v="2"/>
    <s v="ModelYCampaign"/>
    <n v="4996"/>
    <n v="0.123309241094476"/>
  </r>
  <r>
    <s v="P213"/>
    <x v="3"/>
    <d v="2025-05-01T00:00:00"/>
    <x v="3"/>
    <s v="Check out our latest carousel on facebook!"/>
    <n v="2696"/>
    <n v="628"/>
    <n v="443"/>
    <n v="45832"/>
    <n v="45632"/>
    <n v="248"/>
    <x v="4"/>
    <s v="SustainabilityDrive"/>
    <n v="4015"/>
    <n v="8.21914819340199E-2"/>
  </r>
  <r>
    <s v="P214"/>
    <x v="2"/>
    <d v="2024-12-23T00:00:00"/>
    <x v="4"/>
    <s v="Check out our latest image on instagram!"/>
    <n v="521"/>
    <n v="746"/>
    <n v="315"/>
    <n v="4168"/>
    <n v="3399"/>
    <n v="282"/>
    <x v="0"/>
    <s v="ModelYCampaign"/>
    <n v="1864"/>
    <n v="0.37955854126679461"/>
  </r>
  <r>
    <s v="P215"/>
    <x v="3"/>
    <d v="2025-05-06T00:00:00"/>
    <x v="4"/>
    <s v="Check out our latest image on facebook!"/>
    <n v="4872"/>
    <n v="925"/>
    <n v="176"/>
    <n v="82824"/>
    <n v="82543"/>
    <n v="89"/>
    <x v="4"/>
    <s v="ModelYCampaign"/>
    <n v="6062"/>
    <n v="7.2116777745580993E-2"/>
  </r>
  <r>
    <s v="P216"/>
    <x v="1"/>
    <d v="2024-07-29T00:00:00"/>
    <x v="2"/>
    <s v="Check out our latest story on youtube!"/>
    <n v="1509"/>
    <n v="88"/>
    <n v="163"/>
    <n v="30180"/>
    <n v="29689"/>
    <n v="119"/>
    <x v="4"/>
    <s v="ModelYCampaign"/>
    <n v="1879"/>
    <n v="5.8316766070245198E-2"/>
  </r>
  <r>
    <s v="P217"/>
    <x v="3"/>
    <d v="2024-12-03T00:00:00"/>
    <x v="4"/>
    <s v="Check out our latest image on facebook!"/>
    <n v="4606"/>
    <n v="931"/>
    <n v="230"/>
    <n v="92120"/>
    <n v="91440"/>
    <n v="56"/>
    <x v="2"/>
    <m/>
    <n v="5823"/>
    <n v="6.2603126356925748E-2"/>
  </r>
  <r>
    <s v="P218"/>
    <x v="3"/>
    <d v="2024-06-11T00:00:00"/>
    <x v="3"/>
    <s v="Check out our latest carousel on facebook!"/>
    <n v="1869"/>
    <n v="453"/>
    <n v="490"/>
    <n v="14952"/>
    <n v="14309"/>
    <n v="275"/>
    <x v="2"/>
    <s v="SustainabilityDrive"/>
    <n v="3087"/>
    <n v="0.18806848582129482"/>
  </r>
  <r>
    <s v="P219"/>
    <x v="0"/>
    <d v="2025-01-28T00:00:00"/>
    <x v="0"/>
    <s v="Check out our latest reel on twitter!"/>
    <n v="1188"/>
    <n v="470"/>
    <n v="174"/>
    <n v="7128"/>
    <n v="6145"/>
    <n v="270"/>
    <x v="2"/>
    <s v="SustainabilityDrive"/>
    <n v="2102"/>
    <n v="0.25701459034792368"/>
  </r>
  <r>
    <s v="P220"/>
    <x v="2"/>
    <d v="2024-06-02T00:00:00"/>
    <x v="2"/>
    <s v="Check out our latest story on instagram!"/>
    <n v="84"/>
    <n v="897"/>
    <n v="85"/>
    <n v="588"/>
    <n v="8"/>
    <n v="12"/>
    <x v="4"/>
    <m/>
    <n v="1078"/>
    <n v="1.8129251700680271"/>
  </r>
  <r>
    <s v="P221"/>
    <x v="3"/>
    <d v="2025-03-23T00:00:00"/>
    <x v="5"/>
    <s v="Check out our latest video on facebook!"/>
    <n v="4453"/>
    <n v="111"/>
    <n v="420"/>
    <n v="31171"/>
    <n v="30565"/>
    <n v="23"/>
    <x v="2"/>
    <m/>
    <n v="5007"/>
    <n v="0.15989220750056141"/>
  </r>
  <r>
    <s v="P222"/>
    <x v="3"/>
    <d v="2024-10-08T00:00:00"/>
    <x v="0"/>
    <s v="Check out our latest reel on facebook!"/>
    <n v="1814"/>
    <n v="653"/>
    <n v="363"/>
    <n v="25396"/>
    <n v="25286"/>
    <n v="39"/>
    <x v="0"/>
    <s v="CybertruckLaunch"/>
    <n v="2869"/>
    <n v="0.11143487163332809"/>
  </r>
  <r>
    <s v="P222"/>
    <x v="3"/>
    <d v="2024-10-08T00:00:00"/>
    <x v="0"/>
    <s v="Check out our latest reel on facebook!"/>
    <n v="1814"/>
    <n v="653"/>
    <n v="363"/>
    <n v="25396"/>
    <n v="25286"/>
    <n v="39"/>
    <x v="5"/>
    <s v="CybertruckLaunch"/>
    <n v="2869"/>
    <n v="0.11143487163332809"/>
  </r>
  <r>
    <s v="P223"/>
    <x v="0"/>
    <d v="2024-11-12T00:00:00"/>
    <x v="4"/>
    <s v="Check out our latest image on twitter!"/>
    <n v="3338"/>
    <n v="277"/>
    <n v="118"/>
    <n v="60084"/>
    <n v="59842"/>
    <n v="252"/>
    <x v="2"/>
    <m/>
    <n v="3985"/>
    <n v="6.2129685107516146E-2"/>
  </r>
  <r>
    <s v="P224"/>
    <x v="3"/>
    <d v="2025-05-13T00:00:00"/>
    <x v="4"/>
    <s v="Check out our latest image on facebook!"/>
    <n v="602"/>
    <n v="594"/>
    <n v="156"/>
    <n v="4214"/>
    <n v="3363"/>
    <n v="164"/>
    <x v="2"/>
    <s v="FSDUpdate"/>
    <n v="1516"/>
    <n v="0.32083531086853345"/>
  </r>
  <r>
    <s v="P225"/>
    <x v="0"/>
    <d v="2024-06-20T00:00:00"/>
    <x v="3"/>
    <s v="Check out our latest carousel on twitter!"/>
    <n v="4672"/>
    <n v="325"/>
    <n v="32"/>
    <n v="88768"/>
    <n v="87833"/>
    <n v="118"/>
    <x v="4"/>
    <m/>
    <n v="5147"/>
    <n v="5.6653298485940883E-2"/>
  </r>
  <r>
    <s v="P226"/>
    <x v="2"/>
    <d v="2024-08-07T00:00:00"/>
    <x v="3"/>
    <s v="Check out our latest carousel on instagram!"/>
    <n v="1741"/>
    <n v="164"/>
    <n v="318"/>
    <n v="8705"/>
    <n v="8272"/>
    <n v="121"/>
    <x v="2"/>
    <m/>
    <n v="2344"/>
    <n v="0.25537047673750718"/>
  </r>
  <r>
    <s v="P227"/>
    <x v="2"/>
    <d v="2024-06-12T00:00:00"/>
    <x v="1"/>
    <s v="Check out our latest text on instagram!"/>
    <n v="246"/>
    <n v="149"/>
    <n v="130"/>
    <n v="4674"/>
    <n v="4390"/>
    <n v="217"/>
    <x v="0"/>
    <s v="FSDUpdate"/>
    <n v="742"/>
    <n v="0.11232349165596919"/>
  </r>
  <r>
    <s v="P228"/>
    <x v="2"/>
    <d v="2024-07-01T00:00:00"/>
    <x v="2"/>
    <s v="Check out our latest story on instagram!"/>
    <n v="4808"/>
    <n v="772"/>
    <n v="320"/>
    <n v="72120"/>
    <n v="71696"/>
    <n v="195"/>
    <x v="4"/>
    <s v="CybertruckLaunch"/>
    <n v="6095"/>
    <n v="8.1808097615085965E-2"/>
  </r>
  <r>
    <s v="P229"/>
    <x v="2"/>
    <d v="2024-07-03T00:00:00"/>
    <x v="3"/>
    <s v="Check out our latest carousel on instagram!"/>
    <n v="4799"/>
    <n v="694"/>
    <n v="289"/>
    <n v="43191"/>
    <n v="42228"/>
    <n v="118"/>
    <x v="2"/>
    <m/>
    <n v="5900"/>
    <n v="0.13387048227640017"/>
  </r>
  <r>
    <s v="P230"/>
    <x v="3"/>
    <d v="2024-07-15T00:00:00"/>
    <x v="0"/>
    <s v="Check out our latest reel on facebook!"/>
    <n v="3663"/>
    <n v="17"/>
    <n v="295"/>
    <n v="51282"/>
    <n v="50567"/>
    <n v="84"/>
    <x v="4"/>
    <s v="FSDUpdate"/>
    <n v="4059"/>
    <n v="7.7512577512577507E-2"/>
  </r>
  <r>
    <s v="P231"/>
    <x v="2"/>
    <d v="2025-05-01T00:00:00"/>
    <x v="1"/>
    <s v="Check out our latest text on instagram!"/>
    <n v="1430"/>
    <n v="376"/>
    <n v="33"/>
    <n v="21450"/>
    <n v="20509"/>
    <n v="251"/>
    <x v="0"/>
    <s v="CybertruckLaunch"/>
    <n v="2090"/>
    <n v="8.5734265734265735E-2"/>
  </r>
  <r>
    <s v="P232"/>
    <x v="0"/>
    <d v="2025-04-29T00:00:00"/>
    <x v="2"/>
    <s v="Check out our latest story on twitter!"/>
    <n v="249"/>
    <n v="592"/>
    <n v="230"/>
    <n v="1494"/>
    <n v="1044"/>
    <n v="201"/>
    <x v="4"/>
    <s v="SustainabilityDrive"/>
    <n v="1272"/>
    <n v="0.7168674698795181"/>
  </r>
  <r>
    <s v="P233"/>
    <x v="3"/>
    <d v="2025-03-08T00:00:00"/>
    <x v="4"/>
    <s v="Check out our latest image on facebook!"/>
    <n v="2382"/>
    <n v="265"/>
    <n v="134"/>
    <n v="38112"/>
    <n v="37437"/>
    <n v="249"/>
    <x v="0"/>
    <s v="SustainabilityDrive"/>
    <n v="3030"/>
    <n v="7.2969143576826198E-2"/>
  </r>
  <r>
    <s v="P234"/>
    <x v="3"/>
    <d v="2024-06-01T00:00:00"/>
    <x v="1"/>
    <s v="Check out our latest text on facebook!"/>
    <n v="1272"/>
    <n v="465"/>
    <n v="99"/>
    <n v="24168"/>
    <n v="23719"/>
    <n v="42"/>
    <x v="2"/>
    <m/>
    <n v="1878"/>
    <n v="7.5968222442899705E-2"/>
  </r>
  <r>
    <s v="P235"/>
    <x v="3"/>
    <d v="2024-12-22T00:00:00"/>
    <x v="4"/>
    <s v="Check out our latest image on facebook!"/>
    <n v="3196"/>
    <n v="941"/>
    <n v="376"/>
    <n v="35156"/>
    <n v="34444"/>
    <n v="241"/>
    <x v="2"/>
    <s v="FSDUpdate"/>
    <n v="4754"/>
    <n v="0.1283706906360223"/>
  </r>
  <r>
    <s v="P236"/>
    <x v="3"/>
    <d v="2024-08-19T00:00:00"/>
    <x v="1"/>
    <s v="Check out our latest text on facebook!"/>
    <n v="1257"/>
    <n v="19"/>
    <n v="351"/>
    <n v="12570"/>
    <n v="11660"/>
    <n v="194"/>
    <x v="0"/>
    <s v="ModelYCampaign"/>
    <n v="1821"/>
    <n v="0.12943516308671441"/>
  </r>
  <r>
    <s v="P236"/>
    <x v="3"/>
    <d v="2024-08-19T00:00:00"/>
    <x v="1"/>
    <s v="Check out our latest text on facebook!"/>
    <n v="1257"/>
    <n v="19"/>
    <n v="351"/>
    <n v="12570"/>
    <n v="11660"/>
    <n v="194"/>
    <x v="1"/>
    <s v="ModelYCampaign"/>
    <n v="1821"/>
    <n v="0.12943516308671441"/>
  </r>
  <r>
    <s v="P236"/>
    <x v="3"/>
    <d v="2024-08-19T00:00:00"/>
    <x v="1"/>
    <s v="Check out our latest text on facebook!"/>
    <n v="1257"/>
    <n v="19"/>
    <n v="351"/>
    <n v="12570"/>
    <n v="11660"/>
    <n v="194"/>
    <x v="4"/>
    <s v="ModelYCampaign"/>
    <n v="1821"/>
    <n v="0.12943516308671441"/>
  </r>
  <r>
    <s v="P237"/>
    <x v="2"/>
    <d v="2024-10-22T00:00:00"/>
    <x v="2"/>
    <s v="Check out our latest story on instagram!"/>
    <n v="3770"/>
    <n v="917"/>
    <n v="129"/>
    <n v="71630"/>
    <n v="71322"/>
    <n v="76"/>
    <x v="0"/>
    <s v="CybertruckLaunch"/>
    <n v="4892"/>
    <n v="6.7234398994834563E-2"/>
  </r>
  <r>
    <s v="P238"/>
    <x v="0"/>
    <d v="2024-07-16T00:00:00"/>
    <x v="1"/>
    <s v="Check out our latest text on twitter!"/>
    <n v="4725"/>
    <n v="400"/>
    <n v="362"/>
    <n v="75600"/>
    <n v="74927"/>
    <n v="43"/>
    <x v="0"/>
    <s v="SustainabilityDrive"/>
    <n v="5530"/>
    <n v="7.2579365079365077E-2"/>
  </r>
  <r>
    <s v="P239"/>
    <x v="1"/>
    <d v="2025-02-24T00:00:00"/>
    <x v="1"/>
    <s v="Check out our latest text on youtube!"/>
    <n v="4188"/>
    <n v="942"/>
    <n v="118"/>
    <n v="20940"/>
    <n v="20471"/>
    <n v="102"/>
    <x v="0"/>
    <m/>
    <n v="5350"/>
    <n v="0.25062082139446035"/>
  </r>
  <r>
    <s v="P240"/>
    <x v="0"/>
    <d v="2024-08-26T00:00:00"/>
    <x v="3"/>
    <s v="Check out our latest carousel on twitter!"/>
    <n v="929"/>
    <n v="192"/>
    <n v="322"/>
    <n v="16722"/>
    <n v="15996"/>
    <n v="145"/>
    <x v="4"/>
    <s v="FSDUpdate"/>
    <n v="1588"/>
    <n v="8.6293505561535699E-2"/>
  </r>
  <r>
    <s v="P240"/>
    <x v="0"/>
    <d v="2024-08-26T00:00:00"/>
    <x v="3"/>
    <s v="Check out our latest carousel on twitter!"/>
    <n v="929"/>
    <n v="192"/>
    <n v="322"/>
    <n v="16722"/>
    <n v="15996"/>
    <n v="145"/>
    <x v="2"/>
    <s v="FSDUpdate"/>
    <n v="1588"/>
    <n v="8.6293505561535699E-2"/>
  </r>
  <r>
    <s v="P240"/>
    <x v="0"/>
    <d v="2024-08-26T00:00:00"/>
    <x v="3"/>
    <s v="Check out our latest carousel on twitter!"/>
    <n v="929"/>
    <n v="192"/>
    <n v="322"/>
    <n v="16722"/>
    <n v="15996"/>
    <n v="145"/>
    <x v="1"/>
    <s v="FSDUpdate"/>
    <n v="1588"/>
    <n v="8.6293505561535699E-2"/>
  </r>
  <r>
    <s v="P241"/>
    <x v="3"/>
    <d v="2025-01-18T00:00:00"/>
    <x v="2"/>
    <s v="Check out our latest story on facebook!"/>
    <n v="4321"/>
    <n v="874"/>
    <n v="172"/>
    <n v="30247"/>
    <n v="29254"/>
    <n v="122"/>
    <x v="2"/>
    <s v="SustainabilityDrive"/>
    <n v="5489"/>
    <n v="0.17743908486792079"/>
  </r>
  <r>
    <s v="P242"/>
    <x v="3"/>
    <d v="2024-07-07T00:00:00"/>
    <x v="0"/>
    <s v="Check out our latest reel on facebook!"/>
    <n v="4767"/>
    <n v="190"/>
    <n v="340"/>
    <n v="28602"/>
    <n v="28044"/>
    <n v="210"/>
    <x v="4"/>
    <s v="FSDUpdate"/>
    <n v="5507"/>
    <n v="0.18519683938186141"/>
  </r>
  <r>
    <s v="P243"/>
    <x v="0"/>
    <d v="2025-03-06T00:00:00"/>
    <x v="4"/>
    <s v="Check out our latest image on twitter!"/>
    <n v="3592"/>
    <n v="911"/>
    <n v="375"/>
    <n v="50288"/>
    <n v="49490"/>
    <n v="32"/>
    <x v="0"/>
    <s v="SustainabilityDrive"/>
    <n v="4910"/>
    <n v="9.7001272669424113E-2"/>
  </r>
  <r>
    <s v="P244"/>
    <x v="1"/>
    <d v="2024-10-25T00:00:00"/>
    <x v="5"/>
    <s v="Check out our latest video on youtube!"/>
    <n v="4661"/>
    <n v="935"/>
    <n v="433"/>
    <n v="23305"/>
    <n v="22583"/>
    <n v="63"/>
    <x v="0"/>
    <s v="FSDUpdate"/>
    <n v="6092"/>
    <n v="0.25869984981763572"/>
  </r>
  <r>
    <s v="P245"/>
    <x v="3"/>
    <d v="2025-01-12T00:00:00"/>
    <x v="0"/>
    <s v="Check out our latest reel on facebook!"/>
    <n v="4134"/>
    <n v="824"/>
    <n v="99"/>
    <n v="41340"/>
    <n v="41050"/>
    <n v="177"/>
    <x v="4"/>
    <s v="CybertruckLaunch"/>
    <n v="5234"/>
    <n v="0.12232704402515723"/>
  </r>
  <r>
    <s v="P246"/>
    <x v="3"/>
    <d v="2024-10-11T00:00:00"/>
    <x v="4"/>
    <s v="Check out our latest image on facebook!"/>
    <n v="400"/>
    <n v="680"/>
    <n v="434"/>
    <n v="6400"/>
    <n v="5472"/>
    <n v="160"/>
    <x v="0"/>
    <s v="ModelYCampaign"/>
    <n v="1674"/>
    <n v="0.23656250000000001"/>
  </r>
  <r>
    <s v="P247"/>
    <x v="3"/>
    <d v="2024-08-27T00:00:00"/>
    <x v="0"/>
    <s v="Check out our latest reel on facebook!"/>
    <n v="3960"/>
    <n v="266"/>
    <n v="8"/>
    <n v="35640"/>
    <n v="34850"/>
    <n v="208"/>
    <x v="0"/>
    <m/>
    <n v="4442"/>
    <n v="0.11879910213243547"/>
  </r>
  <r>
    <s v="P247"/>
    <x v="3"/>
    <d v="2024-08-27T00:00:00"/>
    <x v="0"/>
    <s v="Check out our latest reel on facebook!"/>
    <n v="3960"/>
    <n v="266"/>
    <n v="8"/>
    <n v="35640"/>
    <n v="34850"/>
    <n v="208"/>
    <x v="4"/>
    <m/>
    <n v="4442"/>
    <n v="0.11879910213243547"/>
  </r>
  <r>
    <s v="P247"/>
    <x v="3"/>
    <d v="2024-08-27T00:00:00"/>
    <x v="0"/>
    <s v="Check out our latest reel on facebook!"/>
    <n v="3960"/>
    <n v="266"/>
    <n v="8"/>
    <n v="35640"/>
    <n v="34850"/>
    <n v="208"/>
    <x v="3"/>
    <m/>
    <n v="4442"/>
    <n v="0.11879910213243547"/>
  </r>
  <r>
    <s v="P248"/>
    <x v="3"/>
    <d v="2025-02-02T00:00:00"/>
    <x v="2"/>
    <s v="Check out our latest story on facebook!"/>
    <n v="886"/>
    <n v="126"/>
    <n v="153"/>
    <n v="4430"/>
    <n v="4037"/>
    <n v="212"/>
    <x v="4"/>
    <m/>
    <n v="1377"/>
    <n v="0.26297968397291194"/>
  </r>
  <r>
    <s v="P249"/>
    <x v="0"/>
    <d v="2024-07-18T00:00:00"/>
    <x v="4"/>
    <s v="Check out our latest image on twitter!"/>
    <n v="827"/>
    <n v="77"/>
    <n v="402"/>
    <n v="14886"/>
    <n v="14129"/>
    <n v="254"/>
    <x v="4"/>
    <s v="ModelYCampaign"/>
    <n v="1560"/>
    <n v="8.7733440816874911E-2"/>
  </r>
  <r>
    <s v="P250"/>
    <x v="3"/>
    <d v="2024-06-22T00:00:00"/>
    <x v="0"/>
    <s v="Check out our latest reel on facebook!"/>
    <n v="3813"/>
    <n v="935"/>
    <n v="274"/>
    <n v="68634"/>
    <n v="68488"/>
    <n v="251"/>
    <x v="0"/>
    <m/>
    <n v="5273"/>
    <n v="7.3170731707317069E-2"/>
  </r>
  <r>
    <s v="P251"/>
    <x v="2"/>
    <d v="2025-03-27T00:00:00"/>
    <x v="3"/>
    <s v="Check out our latest carousel on instagram!"/>
    <n v="1377"/>
    <n v="796"/>
    <n v="387"/>
    <n v="22032"/>
    <n v="21869"/>
    <n v="189"/>
    <x v="0"/>
    <m/>
    <n v="2749"/>
    <n v="0.11619462599854757"/>
  </r>
  <r>
    <s v="P252"/>
    <x v="3"/>
    <d v="2025-04-28T00:00:00"/>
    <x v="3"/>
    <s v="Check out our latest carousel on facebook!"/>
    <n v="2089"/>
    <n v="476"/>
    <n v="69"/>
    <n v="16712"/>
    <n v="16309"/>
    <n v="64"/>
    <x v="0"/>
    <s v="FSDUpdate"/>
    <n v="2698"/>
    <n v="0.15761129727142173"/>
  </r>
  <r>
    <s v="P253"/>
    <x v="0"/>
    <d v="2024-08-03T00:00:00"/>
    <x v="0"/>
    <s v="Check out our latest reel on twitter!"/>
    <n v="3791"/>
    <n v="593"/>
    <n v="228"/>
    <n v="53074"/>
    <n v="52613"/>
    <n v="205"/>
    <x v="4"/>
    <m/>
    <n v="4817"/>
    <n v="8.6897539284772202E-2"/>
  </r>
  <r>
    <s v="P254"/>
    <x v="0"/>
    <d v="2025-01-14T00:00:00"/>
    <x v="4"/>
    <s v="Check out our latest image on twitter!"/>
    <n v="2692"/>
    <n v="115"/>
    <n v="64"/>
    <n v="21536"/>
    <n v="21120"/>
    <n v="224"/>
    <x v="0"/>
    <s v="ModelYCampaign"/>
    <n v="3095"/>
    <n v="0.13331166419019316"/>
  </r>
  <r>
    <s v="P255"/>
    <x v="3"/>
    <d v="2025-04-03T00:00:00"/>
    <x v="2"/>
    <s v="Check out our latest story on facebook!"/>
    <n v="3767"/>
    <n v="514"/>
    <n v="238"/>
    <n v="37670"/>
    <n v="36807"/>
    <n v="226"/>
    <x v="0"/>
    <s v="SustainabilityDrive"/>
    <n v="4745"/>
    <n v="0.11996283514733209"/>
  </r>
  <r>
    <s v="P256"/>
    <x v="1"/>
    <d v="2024-09-18T00:00:00"/>
    <x v="3"/>
    <s v="Check out our latest carousel on youtube!"/>
    <n v="2143"/>
    <n v="12"/>
    <n v="204"/>
    <n v="40717"/>
    <n v="40125"/>
    <n v="248"/>
    <x v="4"/>
    <s v="ModelYCampaign"/>
    <n v="2607"/>
    <n v="5.7936488444630008E-2"/>
  </r>
  <r>
    <s v="P257"/>
    <x v="3"/>
    <d v="2025-04-06T00:00:00"/>
    <x v="4"/>
    <s v="Check out our latest image on facebook!"/>
    <n v="3090"/>
    <n v="697"/>
    <n v="164"/>
    <n v="49440"/>
    <n v="48524"/>
    <n v="25"/>
    <x v="4"/>
    <s v="ModelYCampaign"/>
    <n v="3976"/>
    <n v="7.9915048543689318E-2"/>
  </r>
  <r>
    <s v="P257"/>
    <x v="3"/>
    <d v="2025-04-06T00:00:00"/>
    <x v="4"/>
    <s v="Check out our latest image on facebook!"/>
    <n v="3090"/>
    <n v="697"/>
    <n v="164"/>
    <n v="49440"/>
    <n v="48524"/>
    <n v="25"/>
    <x v="4"/>
    <s v="ModelYCampaign"/>
    <n v="3976"/>
    <n v="7.9915048543689318E-2"/>
  </r>
  <r>
    <s v="P257"/>
    <x v="3"/>
    <d v="2025-04-06T00:00:00"/>
    <x v="4"/>
    <s v="Check out our latest image on facebook!"/>
    <n v="3090"/>
    <n v="697"/>
    <n v="164"/>
    <n v="49440"/>
    <n v="48524"/>
    <n v="25"/>
    <x v="3"/>
    <s v="ModelYCampaign"/>
    <n v="3976"/>
    <n v="7.9915048543689318E-2"/>
  </r>
  <r>
    <s v="P258"/>
    <x v="2"/>
    <d v="2024-08-05T00:00:00"/>
    <x v="2"/>
    <s v="Check out our latest story on instagram!"/>
    <n v="3601"/>
    <n v="695"/>
    <n v="75"/>
    <n v="21606"/>
    <n v="21454"/>
    <n v="172"/>
    <x v="4"/>
    <s v="ModelYCampaign"/>
    <n v="4543"/>
    <n v="0.2023049153013052"/>
  </r>
  <r>
    <s v="P259"/>
    <x v="3"/>
    <d v="2025-02-10T00:00:00"/>
    <x v="1"/>
    <s v="Check out our latest text on facebook!"/>
    <n v="562"/>
    <n v="158"/>
    <n v="149"/>
    <n v="3372"/>
    <n v="2940"/>
    <n v="93"/>
    <x v="2"/>
    <s v="CybertruckLaunch"/>
    <n v="962"/>
    <n v="0.25771055753262156"/>
  </r>
  <r>
    <s v="P260"/>
    <x v="2"/>
    <d v="2025-02-12T00:00:00"/>
    <x v="2"/>
    <s v="Check out our latest story on instagram!"/>
    <n v="4332"/>
    <n v="771"/>
    <n v="219"/>
    <n v="60648"/>
    <n v="60397"/>
    <n v="10"/>
    <x v="2"/>
    <s v="FSDUpdate"/>
    <n v="5332"/>
    <n v="8.7752275425405618E-2"/>
  </r>
  <r>
    <s v="P260"/>
    <x v="2"/>
    <d v="2025-02-12T00:00:00"/>
    <x v="2"/>
    <s v="Check out our latest story on instagram!"/>
    <n v="4332"/>
    <n v="771"/>
    <n v="219"/>
    <n v="60648"/>
    <n v="60397"/>
    <n v="10"/>
    <x v="4"/>
    <s v="FSDUpdate"/>
    <n v="5332"/>
    <n v="8.7752275425405618E-2"/>
  </r>
  <r>
    <s v="P260"/>
    <x v="2"/>
    <d v="2025-02-12T00:00:00"/>
    <x v="2"/>
    <s v="Check out our latest story on instagram!"/>
    <n v="4332"/>
    <n v="771"/>
    <n v="219"/>
    <n v="60648"/>
    <n v="60397"/>
    <n v="10"/>
    <x v="3"/>
    <s v="FSDUpdate"/>
    <n v="5332"/>
    <n v="8.7752275425405618E-2"/>
  </r>
  <r>
    <s v="P261"/>
    <x v="2"/>
    <d v="2024-10-27T00:00:00"/>
    <x v="4"/>
    <s v="Check out our latest image on instagram!"/>
    <n v="4853"/>
    <n v="837"/>
    <n v="340"/>
    <n v="72795"/>
    <n v="72237"/>
    <n v="170"/>
    <x v="4"/>
    <s v="CybertruckLaunch"/>
    <n v="6200"/>
    <n v="8.2835359571399134E-2"/>
  </r>
  <r>
    <s v="P262"/>
    <x v="1"/>
    <d v="2025-01-18T00:00:00"/>
    <x v="4"/>
    <s v="Check out our latest image on youtube!"/>
    <n v="1206"/>
    <n v="238"/>
    <n v="36"/>
    <n v="9648"/>
    <n v="9417"/>
    <n v="237"/>
    <x v="2"/>
    <m/>
    <n v="1717"/>
    <n v="0.15339966832504145"/>
  </r>
  <r>
    <s v="P263"/>
    <x v="2"/>
    <d v="2024-08-20T00:00:00"/>
    <x v="0"/>
    <s v="Check out our latest reel on instagram!"/>
    <n v="2603"/>
    <n v="690"/>
    <n v="205"/>
    <n v="13015"/>
    <n v="12130"/>
    <n v="20"/>
    <x v="0"/>
    <s v="ModelYCampaign"/>
    <n v="3518"/>
    <n v="0.26876680752977333"/>
  </r>
  <r>
    <s v="P264"/>
    <x v="0"/>
    <d v="2025-01-30T00:00:00"/>
    <x v="4"/>
    <s v="Check out our latest image on twitter!"/>
    <n v="59"/>
    <n v="163"/>
    <n v="93"/>
    <n v="590"/>
    <n v="475"/>
    <n v="293"/>
    <x v="2"/>
    <s v="ModelYCampaign"/>
    <n v="608"/>
    <n v="0.53389830508474578"/>
  </r>
  <r>
    <s v="P265"/>
    <x v="0"/>
    <d v="2025-02-20T00:00:00"/>
    <x v="3"/>
    <s v="Check out our latest carousel on twitter!"/>
    <n v="1877"/>
    <n v="745"/>
    <n v="225"/>
    <n v="11262"/>
    <n v="10967"/>
    <n v="41"/>
    <x v="4"/>
    <s v="SustainabilityDrive"/>
    <n v="2888"/>
    <n v="0.25279701651571657"/>
  </r>
  <r>
    <s v="P266"/>
    <x v="3"/>
    <d v="2024-11-25T00:00:00"/>
    <x v="2"/>
    <s v="Check out our latest story on facebook!"/>
    <n v="4182"/>
    <n v="640"/>
    <n v="240"/>
    <n v="50184"/>
    <n v="49351"/>
    <n v="10"/>
    <x v="2"/>
    <s v="FSDUpdate"/>
    <n v="5072"/>
    <n v="0.10086880280567512"/>
  </r>
  <r>
    <s v="P267"/>
    <x v="0"/>
    <d v="2024-10-04T00:00:00"/>
    <x v="0"/>
    <s v="Check out our latest reel on twitter!"/>
    <n v="4187"/>
    <n v="66"/>
    <n v="31"/>
    <n v="66992"/>
    <n v="66614"/>
    <n v="62"/>
    <x v="0"/>
    <m/>
    <n v="4346"/>
    <n v="6.3947934081681396E-2"/>
  </r>
  <r>
    <s v="P268"/>
    <x v="2"/>
    <d v="2025-04-13T00:00:00"/>
    <x v="0"/>
    <s v="Check out our latest reel on instagram!"/>
    <n v="4579"/>
    <n v="125"/>
    <n v="300"/>
    <n v="59527"/>
    <n v="59400"/>
    <n v="269"/>
    <x v="4"/>
    <s v="CybertruckLaunch"/>
    <n v="5273"/>
    <n v="8.4062694239588759E-2"/>
  </r>
  <r>
    <s v="P269"/>
    <x v="2"/>
    <d v="2024-11-05T00:00:00"/>
    <x v="5"/>
    <s v="Check out our latest video on instagram!"/>
    <n v="4561"/>
    <n v="51"/>
    <n v="441"/>
    <n v="22805"/>
    <n v="21890"/>
    <n v="45"/>
    <x v="2"/>
    <s v="ModelYCampaign"/>
    <n v="5098"/>
    <n v="0.22157421618066214"/>
  </r>
  <r>
    <s v="P270"/>
    <x v="1"/>
    <d v="2025-01-15T00:00:00"/>
    <x v="0"/>
    <s v="Check out our latest reel on youtube!"/>
    <n v="3774"/>
    <n v="239"/>
    <n v="39"/>
    <n v="60384"/>
    <n v="59490"/>
    <n v="241"/>
    <x v="2"/>
    <s v="FSDUpdate"/>
    <n v="4293"/>
    <n v="6.7103868574456813E-2"/>
  </r>
  <r>
    <s v="P271"/>
    <x v="2"/>
    <d v="2024-10-17T00:00:00"/>
    <x v="5"/>
    <s v="Check out our latest video on instagram!"/>
    <n v="3575"/>
    <n v="749"/>
    <n v="111"/>
    <n v="21450"/>
    <n v="20785"/>
    <n v="195"/>
    <x v="4"/>
    <s v="ModelYCampaign"/>
    <n v="4630"/>
    <n v="0.20675990675990677"/>
  </r>
  <r>
    <s v="P272"/>
    <x v="2"/>
    <d v="2025-03-27T00:00:00"/>
    <x v="1"/>
    <s v="Check out our latest text on instagram!"/>
    <n v="4941"/>
    <n v="414"/>
    <n v="266"/>
    <n v="39528"/>
    <n v="39154"/>
    <n v="217"/>
    <x v="2"/>
    <s v="FSDUpdate"/>
    <n v="5838"/>
    <n v="0.14220299534507186"/>
  </r>
  <r>
    <s v="P273"/>
    <x v="1"/>
    <d v="2024-10-12T00:00:00"/>
    <x v="2"/>
    <s v="Check out our latest story on youtube!"/>
    <n v="3641"/>
    <n v="226"/>
    <n v="46"/>
    <n v="40051"/>
    <n v="39319"/>
    <n v="296"/>
    <x v="4"/>
    <s v="SustainabilityDrive"/>
    <n v="4209"/>
    <n v="9.7700431949264685E-2"/>
  </r>
  <r>
    <s v="P274"/>
    <x v="0"/>
    <d v="2025-01-01T00:00:00"/>
    <x v="3"/>
    <s v="Check out our latest carousel on twitter!"/>
    <n v="3535"/>
    <n v="494"/>
    <n v="152"/>
    <n v="53025"/>
    <n v="52791"/>
    <n v="44"/>
    <x v="2"/>
    <s v="SustainabilityDrive"/>
    <n v="4225"/>
    <n v="7.8849599245638849E-2"/>
  </r>
  <r>
    <s v="P275"/>
    <x v="3"/>
    <d v="2024-08-05T00:00:00"/>
    <x v="0"/>
    <s v="Check out our latest reel on facebook!"/>
    <n v="1741"/>
    <n v="831"/>
    <n v="345"/>
    <n v="17410"/>
    <n v="16844"/>
    <n v="58"/>
    <x v="4"/>
    <s v="FSDUpdate"/>
    <n v="2975"/>
    <n v="0.16754738655944859"/>
  </r>
  <r>
    <s v="P276"/>
    <x v="0"/>
    <d v="2024-06-07T00:00:00"/>
    <x v="3"/>
    <s v="Check out our latest carousel on twitter!"/>
    <n v="1556"/>
    <n v="195"/>
    <n v="131"/>
    <n v="9336"/>
    <n v="8875"/>
    <n v="137"/>
    <x v="2"/>
    <s v="ModelYCampaign"/>
    <n v="2019"/>
    <n v="0.2015852613538989"/>
  </r>
  <r>
    <s v="P277"/>
    <x v="3"/>
    <d v="2025-04-06T00:00:00"/>
    <x v="4"/>
    <s v="Check out our latest image on facebook!"/>
    <n v="4236"/>
    <n v="711"/>
    <n v="298"/>
    <n v="21180"/>
    <n v="20516"/>
    <n v="238"/>
    <x v="0"/>
    <s v="CybertruckLaunch"/>
    <n v="5483"/>
    <n v="0.24763928234183191"/>
  </r>
  <r>
    <s v="P278"/>
    <x v="0"/>
    <d v="2024-11-26T00:00:00"/>
    <x v="1"/>
    <s v="Check out our latest text on twitter!"/>
    <n v="4516"/>
    <n v="836"/>
    <n v="169"/>
    <n v="49676"/>
    <n v="49257"/>
    <n v="282"/>
    <x v="4"/>
    <s v="SustainabilityDrive"/>
    <n v="5803"/>
    <n v="0.11114018842096787"/>
  </r>
  <r>
    <s v="P279"/>
    <x v="1"/>
    <d v="2024-09-02T00:00:00"/>
    <x v="4"/>
    <s v="Check out our latest image on youtube!"/>
    <n v="4905"/>
    <n v="845"/>
    <n v="129"/>
    <n v="98100"/>
    <n v="97772"/>
    <n v="279"/>
    <x v="2"/>
    <s v="ModelYCampaign"/>
    <n v="6158"/>
    <n v="5.9928644240570844E-2"/>
  </r>
  <r>
    <s v="P280"/>
    <x v="1"/>
    <d v="2024-10-21T00:00:00"/>
    <x v="5"/>
    <s v="Check out our latest video on youtube!"/>
    <n v="4275"/>
    <n v="680"/>
    <n v="385"/>
    <n v="64125"/>
    <n v="63650"/>
    <n v="104"/>
    <x v="4"/>
    <s v="SustainabilityDrive"/>
    <n v="5444"/>
    <n v="8.3274853801169585E-2"/>
  </r>
  <r>
    <s v="P280"/>
    <x v="1"/>
    <d v="2024-10-21T00:00:00"/>
    <x v="5"/>
    <s v="Check out our latest video on youtube!"/>
    <n v="4275"/>
    <n v="680"/>
    <n v="385"/>
    <n v="64125"/>
    <n v="63650"/>
    <n v="104"/>
    <x v="2"/>
    <s v="SustainabilityDrive"/>
    <n v="5444"/>
    <n v="8.3274853801169585E-2"/>
  </r>
  <r>
    <s v="P280"/>
    <x v="1"/>
    <d v="2024-10-21T00:00:00"/>
    <x v="5"/>
    <s v="Check out our latest video on youtube!"/>
    <n v="4275"/>
    <n v="680"/>
    <n v="385"/>
    <n v="64125"/>
    <n v="63650"/>
    <n v="104"/>
    <x v="1"/>
    <s v="SustainabilityDrive"/>
    <n v="5444"/>
    <n v="8.3274853801169585E-2"/>
  </r>
  <r>
    <s v="P281"/>
    <x v="1"/>
    <d v="2025-03-22T00:00:00"/>
    <x v="4"/>
    <s v="Check out our latest image on youtube!"/>
    <n v="3166"/>
    <n v="90"/>
    <n v="341"/>
    <n v="56988"/>
    <n v="56125"/>
    <n v="135"/>
    <x v="4"/>
    <s v="ModelYCampaign"/>
    <n v="3732"/>
    <n v="6.3118551273952411E-2"/>
  </r>
  <r>
    <s v="P282"/>
    <x v="2"/>
    <d v="2024-10-03T00:00:00"/>
    <x v="5"/>
    <s v="Check out our latest video on instagram!"/>
    <n v="1488"/>
    <n v="417"/>
    <n v="168"/>
    <n v="19344"/>
    <n v="18395"/>
    <n v="30"/>
    <x v="0"/>
    <s v="FSDUpdate"/>
    <n v="2103"/>
    <n v="0.1071650124069479"/>
  </r>
  <r>
    <s v="P283"/>
    <x v="0"/>
    <d v="2025-05-09T00:00:00"/>
    <x v="0"/>
    <s v="Check out our latest reel on twitter!"/>
    <n v="3367"/>
    <n v="302"/>
    <n v="57"/>
    <n v="63973"/>
    <n v="63789"/>
    <n v="157"/>
    <x v="0"/>
    <s v="ModelYCampaign"/>
    <n v="3883"/>
    <n v="5.8243321401216137E-2"/>
  </r>
  <r>
    <s v="P284"/>
    <x v="0"/>
    <d v="2024-09-17T00:00:00"/>
    <x v="1"/>
    <s v="Check out our latest text on twitter!"/>
    <n v="571"/>
    <n v="190"/>
    <n v="352"/>
    <n v="9707"/>
    <n v="9418"/>
    <n v="231"/>
    <x v="2"/>
    <s v="SustainabilityDrive"/>
    <n v="1344"/>
    <n v="0.11465952405480581"/>
  </r>
  <r>
    <s v="P285"/>
    <x v="1"/>
    <d v="2024-07-18T00:00:00"/>
    <x v="1"/>
    <s v="Check out our latest text on youtube!"/>
    <n v="4021"/>
    <n v="794"/>
    <n v="77"/>
    <n v="36189"/>
    <n v="35505"/>
    <n v="174"/>
    <x v="4"/>
    <m/>
    <n v="5066"/>
    <n v="0.13517919809886983"/>
  </r>
  <r>
    <s v="P286"/>
    <x v="1"/>
    <d v="2024-09-25T00:00:00"/>
    <x v="5"/>
    <s v="Check out our latest video on youtube!"/>
    <n v="3389"/>
    <n v="344"/>
    <n v="229"/>
    <n v="20334"/>
    <n v="19443"/>
    <n v="228"/>
    <x v="0"/>
    <s v="FSDUpdate"/>
    <n v="4190"/>
    <n v="0.19484607062063539"/>
  </r>
  <r>
    <s v="P287"/>
    <x v="2"/>
    <d v="2024-08-15T00:00:00"/>
    <x v="0"/>
    <s v="Check out our latest reel on instagram!"/>
    <n v="1164"/>
    <n v="616"/>
    <n v="324"/>
    <n v="6984"/>
    <n v="6636"/>
    <n v="82"/>
    <x v="4"/>
    <s v="CybertruckLaunch"/>
    <n v="2186"/>
    <n v="0.30126002290950743"/>
  </r>
  <r>
    <s v="P288"/>
    <x v="1"/>
    <d v="2025-04-17T00:00:00"/>
    <x v="3"/>
    <s v="Check out our latest carousel on youtube!"/>
    <n v="4780"/>
    <n v="691"/>
    <n v="380"/>
    <n v="86040"/>
    <n v="85743"/>
    <n v="262"/>
    <x v="0"/>
    <s v="FSDUpdate"/>
    <n v="6113"/>
    <n v="6.800325430032543E-2"/>
  </r>
  <r>
    <s v="P289"/>
    <x v="3"/>
    <d v="2024-11-28T00:00:00"/>
    <x v="3"/>
    <s v="Check out our latest carousel on facebook!"/>
    <n v="2751"/>
    <n v="33"/>
    <n v="430"/>
    <n v="44016"/>
    <n v="43415"/>
    <n v="129"/>
    <x v="0"/>
    <m/>
    <n v="3343"/>
    <n v="7.3018902217375503E-2"/>
  </r>
  <r>
    <s v="P290"/>
    <x v="2"/>
    <d v="2024-12-20T00:00:00"/>
    <x v="3"/>
    <s v="Check out our latest carousel on instagram!"/>
    <n v="2107"/>
    <n v="550"/>
    <n v="349"/>
    <n v="35819"/>
    <n v="35340"/>
    <n v="191"/>
    <x v="4"/>
    <s v="SustainabilityDrive"/>
    <n v="3197"/>
    <n v="8.3921940869371006E-2"/>
  </r>
  <r>
    <s v="P291"/>
    <x v="3"/>
    <d v="2024-11-06T00:00:00"/>
    <x v="5"/>
    <s v="Check out our latest video on facebook!"/>
    <n v="4663"/>
    <n v="145"/>
    <n v="225"/>
    <n v="69945"/>
    <n v="69596"/>
    <n v="35"/>
    <x v="4"/>
    <s v="SustainabilityDrive"/>
    <n v="5068"/>
    <n v="7.1956537279290869E-2"/>
  </r>
  <r>
    <s v="P292"/>
    <x v="3"/>
    <d v="2024-11-17T00:00:00"/>
    <x v="1"/>
    <s v="Check out our latest text on facebook!"/>
    <n v="880"/>
    <n v="297"/>
    <n v="345"/>
    <n v="12320"/>
    <n v="11978"/>
    <n v="238"/>
    <x v="2"/>
    <m/>
    <n v="1760"/>
    <n v="0.12353896103896105"/>
  </r>
  <r>
    <s v="P292"/>
    <x v="3"/>
    <d v="2024-11-17T00:00:00"/>
    <x v="1"/>
    <s v="Check out our latest text on facebook!"/>
    <n v="880"/>
    <n v="297"/>
    <n v="345"/>
    <n v="12320"/>
    <n v="11978"/>
    <n v="238"/>
    <x v="1"/>
    <m/>
    <n v="1760"/>
    <n v="0.12353896103896105"/>
  </r>
  <r>
    <s v="P293"/>
    <x v="3"/>
    <d v="2025-05-14T00:00:00"/>
    <x v="1"/>
    <s v="Check out our latest text on facebook!"/>
    <n v="2634"/>
    <n v="726"/>
    <n v="241"/>
    <n v="28974"/>
    <n v="28102"/>
    <n v="277"/>
    <x v="4"/>
    <s v="CybertruckLaunch"/>
    <n v="3878"/>
    <n v="0.12428384068475185"/>
  </r>
  <r>
    <s v="P294"/>
    <x v="3"/>
    <d v="2024-06-19T00:00:00"/>
    <x v="3"/>
    <s v="Check out our latest carousel on facebook!"/>
    <n v="4731"/>
    <n v="173"/>
    <n v="276"/>
    <n v="28386"/>
    <n v="28185"/>
    <n v="89"/>
    <x v="4"/>
    <s v="FSDUpdate"/>
    <n v="5269"/>
    <n v="0.18248432325794406"/>
  </r>
  <r>
    <s v="P295"/>
    <x v="0"/>
    <d v="2025-05-06T00:00:00"/>
    <x v="4"/>
    <s v="Check out our latest image on twitter!"/>
    <n v="1952"/>
    <n v="344"/>
    <n v="287"/>
    <n v="15616"/>
    <n v="15403"/>
    <n v="235"/>
    <x v="0"/>
    <s v="ModelYCampaign"/>
    <n v="2818"/>
    <n v="0.16540727459016394"/>
  </r>
  <r>
    <s v="P295"/>
    <x v="0"/>
    <d v="2025-05-06T00:00:00"/>
    <x v="4"/>
    <s v="Check out our latest image on twitter!"/>
    <n v="1952"/>
    <n v="344"/>
    <n v="287"/>
    <n v="15616"/>
    <n v="15403"/>
    <n v="235"/>
    <x v="2"/>
    <s v="ModelYCampaign"/>
    <n v="2818"/>
    <n v="0.16540727459016394"/>
  </r>
  <r>
    <s v="P295"/>
    <x v="0"/>
    <d v="2025-05-06T00:00:00"/>
    <x v="4"/>
    <s v="Check out our latest image on twitter!"/>
    <n v="1952"/>
    <n v="344"/>
    <n v="287"/>
    <n v="15616"/>
    <n v="15403"/>
    <n v="235"/>
    <x v="1"/>
    <s v="ModelYCampaign"/>
    <n v="2818"/>
    <n v="0.16540727459016394"/>
  </r>
  <r>
    <s v="P296"/>
    <x v="0"/>
    <d v="2025-02-11T00:00:00"/>
    <x v="5"/>
    <s v="Check out our latest video on twitter!"/>
    <n v="3440"/>
    <n v="13"/>
    <n v="20"/>
    <n v="58480"/>
    <n v="58146"/>
    <n v="210"/>
    <x v="2"/>
    <s v="SustainabilityDrive"/>
    <n v="3683"/>
    <n v="5.9387824897400819E-2"/>
  </r>
  <r>
    <s v="P296"/>
    <x v="0"/>
    <d v="2025-02-11T00:00:00"/>
    <x v="5"/>
    <s v="Check out our latest video on twitter!"/>
    <n v="3440"/>
    <n v="13"/>
    <n v="20"/>
    <n v="58480"/>
    <n v="58146"/>
    <n v="210"/>
    <x v="5"/>
    <s v="SustainabilityDrive"/>
    <n v="3683"/>
    <n v="5.9387824897400819E-2"/>
  </r>
  <r>
    <s v="P297"/>
    <x v="0"/>
    <d v="2024-12-24T00:00:00"/>
    <x v="1"/>
    <s v="Check out our latest text on twitter!"/>
    <n v="2166"/>
    <n v="354"/>
    <n v="117"/>
    <n v="10830"/>
    <n v="10245"/>
    <n v="24"/>
    <x v="4"/>
    <s v="SustainabilityDrive"/>
    <n v="2661"/>
    <n v="0.24349030470914126"/>
  </r>
  <r>
    <s v="P298"/>
    <x v="3"/>
    <d v="2024-10-24T00:00:00"/>
    <x v="4"/>
    <s v="Check out our latest image on facebook!"/>
    <n v="4303"/>
    <n v="451"/>
    <n v="286"/>
    <n v="86060"/>
    <n v="85823"/>
    <n v="14"/>
    <x v="2"/>
    <s v="FSDUpdate"/>
    <n v="5054"/>
    <n v="5.8563792702765516E-2"/>
  </r>
  <r>
    <s v="P299"/>
    <x v="3"/>
    <d v="2024-08-26T00:00:00"/>
    <x v="4"/>
    <s v="Check out our latest image on facebook!"/>
    <n v="2581"/>
    <n v="517"/>
    <n v="117"/>
    <n v="23229"/>
    <n v="22331"/>
    <n v="70"/>
    <x v="0"/>
    <s v="FSDUpdate"/>
    <n v="3285"/>
    <n v="0.13840458048129492"/>
  </r>
  <r>
    <s v="P300"/>
    <x v="0"/>
    <d v="2024-08-31T00:00:00"/>
    <x v="3"/>
    <s v="Check out our latest carousel on twitter!"/>
    <n v="4494"/>
    <n v="717"/>
    <n v="45"/>
    <n v="62916"/>
    <n v="62688"/>
    <n v="191"/>
    <x v="2"/>
    <s v="CybertruckLaunch"/>
    <n v="5447"/>
    <n v="8.3539958039290485E-2"/>
  </r>
  <r>
    <s v="P300"/>
    <x v="0"/>
    <d v="2024-08-31T00:00:00"/>
    <x v="3"/>
    <s v="Check out our latest carousel on twitter!"/>
    <n v="4494"/>
    <n v="717"/>
    <n v="45"/>
    <n v="62916"/>
    <n v="62688"/>
    <n v="191"/>
    <x v="4"/>
    <s v="CybertruckLaunch"/>
    <n v="5447"/>
    <n v="8.3539958039290485E-2"/>
  </r>
  <r>
    <s v="P300"/>
    <x v="0"/>
    <d v="2024-08-31T00:00:00"/>
    <x v="3"/>
    <s v="Check out our latest carousel on twitter!"/>
    <n v="4494"/>
    <n v="717"/>
    <n v="45"/>
    <n v="62916"/>
    <n v="62688"/>
    <n v="191"/>
    <x v="3"/>
    <s v="CybertruckLaunch"/>
    <n v="5447"/>
    <n v="8.3539958039290485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n v="3.0428616268120576E-3"/>
  </r>
  <r>
    <x v="0"/>
    <x v="1"/>
    <n v="1312"/>
    <n v="310"/>
    <n v="42654"/>
    <n v="4.9800000000000004"/>
    <n v="9566"/>
    <n v="1002"/>
    <n v="2.3491348994232664E-2"/>
  </r>
  <r>
    <x v="0"/>
    <x v="2"/>
    <n v="584"/>
    <n v="169"/>
    <n v="146834"/>
    <n v="8.31"/>
    <n v="26752"/>
    <n v="415"/>
    <n v="2.826320879360366E-3"/>
  </r>
  <r>
    <x v="0"/>
    <x v="3"/>
    <n v="1535"/>
    <n v="445"/>
    <n v="395536"/>
    <n v="4.1100000000000003"/>
    <n v="30671"/>
    <n v="1090"/>
    <n v="2.7557542170624167E-3"/>
  </r>
  <r>
    <x v="1"/>
    <x v="0"/>
    <n v="656"/>
    <n v="139"/>
    <n v="49157"/>
    <n v="9.0500000000000007"/>
    <n v="9920"/>
    <n v="517"/>
    <n v="1.0517322049758936E-2"/>
  </r>
  <r>
    <x v="1"/>
    <x v="1"/>
    <n v="1697"/>
    <n v="414"/>
    <n v="316555"/>
    <n v="2.37"/>
    <n v="7924"/>
    <n v="1283"/>
    <n v="4.0530081660374974E-3"/>
  </r>
  <r>
    <x v="1"/>
    <x v="2"/>
    <n v="436"/>
    <n v="250"/>
    <n v="254347"/>
    <n v="4.01"/>
    <n v="8912"/>
    <n v="186"/>
    <n v="7.3128442639386348E-4"/>
  </r>
  <r>
    <x v="1"/>
    <x v="3"/>
    <n v="1197"/>
    <n v="203"/>
    <n v="413878"/>
    <n v="3.16"/>
    <n v="21205"/>
    <n v="994"/>
    <n v="2.4016739232334168E-3"/>
  </r>
  <r>
    <x v="2"/>
    <x v="0"/>
    <n v="1048"/>
    <n v="155"/>
    <n v="456946"/>
    <n v="2.46"/>
    <n v="11329"/>
    <n v="893"/>
    <n v="1.9542790614208243E-3"/>
  </r>
  <r>
    <x v="2"/>
    <x v="1"/>
    <n v="1753"/>
    <n v="371"/>
    <n v="169496"/>
    <n v="8.11"/>
    <n v="46670"/>
    <n v="1382"/>
    <n v="8.1535847453627231E-3"/>
  </r>
  <r>
    <x v="2"/>
    <x v="2"/>
    <n v="1335"/>
    <n v="40"/>
    <n v="122732"/>
    <n v="8.19"/>
    <n v="22482"/>
    <n v="1295"/>
    <n v="1.0551445425805821E-2"/>
  </r>
  <r>
    <x v="2"/>
    <x v="3"/>
    <n v="403"/>
    <n v="66"/>
    <n v="382851"/>
    <n v="3.49"/>
    <n v="24313"/>
    <n v="337"/>
    <n v="8.80238003818718E-4"/>
  </r>
  <r>
    <x v="3"/>
    <x v="0"/>
    <n v="911"/>
    <n v="282"/>
    <n v="35664"/>
    <n v="6.92"/>
    <n v="18050"/>
    <n v="629"/>
    <n v="1.7636832660385824E-2"/>
  </r>
  <r>
    <x v="3"/>
    <x v="1"/>
    <n v="1779"/>
    <n v="109"/>
    <n v="26295"/>
    <n v="9.1199999999999992"/>
    <n v="30635"/>
    <n v="1670"/>
    <n v="6.3510173036698994E-2"/>
  </r>
  <r>
    <x v="3"/>
    <x v="2"/>
    <n v="1238"/>
    <n v="403"/>
    <n v="298421"/>
    <n v="3.5"/>
    <n v="31280"/>
    <n v="835"/>
    <n v="2.798060458211721E-3"/>
  </r>
  <r>
    <x v="3"/>
    <x v="3"/>
    <n v="308"/>
    <n v="431"/>
    <n v="426184"/>
    <n v="2.62"/>
    <n v="1783"/>
    <n v="-123"/>
    <n v="-2.8860773750305035E-4"/>
  </r>
  <r>
    <x v="4"/>
    <x v="0"/>
    <n v="226"/>
    <n v="445"/>
    <n v="419447"/>
    <n v="9.36"/>
    <n v="9566"/>
    <n v="-219"/>
    <n v="-5.2211602419375983E-4"/>
  </r>
  <r>
    <x v="4"/>
    <x v="1"/>
    <n v="505"/>
    <n v="441"/>
    <n v="220020"/>
    <n v="4.4800000000000004"/>
    <n v="42307"/>
    <n v="64"/>
    <n v="2.9088264703208797E-4"/>
  </r>
  <r>
    <x v="4"/>
    <x v="2"/>
    <n v="1420"/>
    <n v="63"/>
    <n v="315305"/>
    <n v="6.19"/>
    <n v="5914"/>
    <n v="1357"/>
    <n v="4.3037693661692649E-3"/>
  </r>
  <r>
    <x v="4"/>
    <x v="3"/>
    <n v="144"/>
    <n v="53"/>
    <n v="113678"/>
    <n v="8.7200000000000006"/>
    <n v="30060"/>
    <n v="91"/>
    <n v="8.0050669434719116E-4"/>
  </r>
  <r>
    <x v="5"/>
    <x v="0"/>
    <n v="1757"/>
    <n v="85"/>
    <n v="58223"/>
    <n v="8.74"/>
    <n v="22728"/>
    <n v="1672"/>
    <n v="2.8717173625543171E-2"/>
  </r>
  <r>
    <x v="5"/>
    <x v="1"/>
    <n v="350"/>
    <n v="41"/>
    <n v="251694"/>
    <n v="1.91"/>
    <n v="38610"/>
    <n v="309"/>
    <n v="1.2276812319721568E-3"/>
  </r>
  <r>
    <x v="5"/>
    <x v="2"/>
    <n v="987"/>
    <n v="440"/>
    <n v="389810"/>
    <n v="4.66"/>
    <n v="2932"/>
    <n v="547"/>
    <n v="1.40324773607655E-3"/>
  </r>
  <r>
    <x v="5"/>
    <x v="3"/>
    <n v="883"/>
    <n v="369"/>
    <n v="233694"/>
    <n v="2.88"/>
    <n v="15071"/>
    <n v="514"/>
    <n v="2.1994574101175039E-3"/>
  </r>
  <r>
    <x v="6"/>
    <x v="0"/>
    <n v="1960"/>
    <n v="115"/>
    <n v="154169"/>
    <n v="3.74"/>
    <n v="10740"/>
    <n v="1845"/>
    <n v="1.1967386439556591E-2"/>
  </r>
  <r>
    <x v="6"/>
    <x v="1"/>
    <n v="170"/>
    <n v="334"/>
    <n v="334626"/>
    <n v="6.44"/>
    <n v="43420"/>
    <n v="-164"/>
    <n v="-4.9009939454794306E-4"/>
  </r>
  <r>
    <x v="6"/>
    <x v="2"/>
    <n v="704"/>
    <n v="275"/>
    <n v="226002"/>
    <n v="8.56"/>
    <n v="32393"/>
    <n v="429"/>
    <n v="1.8982132901478749E-3"/>
  </r>
  <r>
    <x v="6"/>
    <x v="3"/>
    <n v="224"/>
    <n v="64"/>
    <n v="156683"/>
    <n v="4.5599999999999996"/>
    <n v="28474"/>
    <n v="160"/>
    <n v="1.0211701333265254E-3"/>
  </r>
  <r>
    <x v="7"/>
    <x v="0"/>
    <n v="508"/>
    <n v="349"/>
    <n v="473812"/>
    <n v="7.88"/>
    <n v="17328"/>
    <n v="159"/>
    <n v="3.3557613568250698E-4"/>
  </r>
  <r>
    <x v="7"/>
    <x v="1"/>
    <n v="1391"/>
    <n v="430"/>
    <n v="295032"/>
    <n v="7.86"/>
    <n v="26067"/>
    <n v="961"/>
    <n v="3.2572737872501967E-3"/>
  </r>
  <r>
    <x v="7"/>
    <x v="2"/>
    <n v="1701"/>
    <n v="385"/>
    <n v="198278"/>
    <n v="5.34"/>
    <n v="32763"/>
    <n v="1316"/>
    <n v="6.6371458255580548E-3"/>
  </r>
  <r>
    <x v="7"/>
    <x v="3"/>
    <n v="804"/>
    <n v="487"/>
    <n v="306564"/>
    <n v="5.52"/>
    <n v="26452"/>
    <n v="317"/>
    <n v="1.0340418313957282E-3"/>
  </r>
  <r>
    <x v="8"/>
    <x v="0"/>
    <n v="653"/>
    <n v="112"/>
    <n v="23664"/>
    <n v="4.05"/>
    <n v="15353"/>
    <n v="541"/>
    <n v="2.2861730899256253E-2"/>
  </r>
  <r>
    <x v="8"/>
    <x v="1"/>
    <n v="160"/>
    <n v="478"/>
    <n v="435034"/>
    <n v="7.73"/>
    <n v="4839"/>
    <n v="-318"/>
    <n v="-7.3097734889686784E-4"/>
  </r>
  <r>
    <x v="8"/>
    <x v="2"/>
    <n v="1756"/>
    <n v="261"/>
    <n v="287574"/>
    <n v="4.3600000000000003"/>
    <n v="39272"/>
    <n v="1495"/>
    <n v="5.1986619096302169E-3"/>
  </r>
  <r>
    <x v="8"/>
    <x v="3"/>
    <n v="576"/>
    <n v="101"/>
    <n v="62499"/>
    <n v="3.48"/>
    <n v="16804"/>
    <n v="475"/>
    <n v="7.600121601945631E-3"/>
  </r>
  <r>
    <x v="9"/>
    <x v="0"/>
    <n v="645"/>
    <n v="293"/>
    <n v="437968"/>
    <n v="7.83"/>
    <n v="49303"/>
    <n v="352"/>
    <n v="8.0371168669857163E-4"/>
  </r>
  <r>
    <x v="9"/>
    <x v="1"/>
    <n v="214"/>
    <n v="411"/>
    <n v="125034"/>
    <n v="6.11"/>
    <n v="26455"/>
    <n v="-197"/>
    <n v="-1.5755714445670778E-3"/>
  </r>
  <r>
    <x v="9"/>
    <x v="2"/>
    <n v="826"/>
    <n v="498"/>
    <n v="449994"/>
    <n v="9.43"/>
    <n v="12384"/>
    <n v="328"/>
    <n v="7.2889860753698943E-4"/>
  </r>
  <r>
    <x v="9"/>
    <x v="3"/>
    <n v="460"/>
    <n v="141"/>
    <n v="320650"/>
    <n v="4.04"/>
    <n v="49372"/>
    <n v="319"/>
    <n v="9.9485420240137223E-4"/>
  </r>
  <r>
    <x v="10"/>
    <x v="0"/>
    <n v="1528"/>
    <n v="203"/>
    <n v="489188"/>
    <n v="6.23"/>
    <n v="47101"/>
    <n v="1325"/>
    <n v="2.7085701202809553E-3"/>
  </r>
  <r>
    <x v="10"/>
    <x v="1"/>
    <n v="1534"/>
    <n v="200"/>
    <n v="307612"/>
    <n v="6.01"/>
    <n v="37903"/>
    <n v="1334"/>
    <n v="4.3366318609156986E-3"/>
  </r>
  <r>
    <x v="10"/>
    <x v="2"/>
    <n v="485"/>
    <n v="448"/>
    <n v="434883"/>
    <n v="8.5500000000000007"/>
    <n v="33258"/>
    <n v="37"/>
    <n v="8.5080354946042954E-5"/>
  </r>
  <r>
    <x v="10"/>
    <x v="3"/>
    <n v="1210"/>
    <n v="178"/>
    <n v="102042"/>
    <n v="5.42"/>
    <n v="6915"/>
    <n v="1032"/>
    <n v="1.011348268360087E-2"/>
  </r>
  <r>
    <x v="11"/>
    <x v="0"/>
    <n v="215"/>
    <n v="139"/>
    <n v="325444"/>
    <n v="3.25"/>
    <n v="35501"/>
    <n v="76"/>
    <n v="2.335271198731579E-4"/>
  </r>
  <r>
    <x v="11"/>
    <x v="1"/>
    <n v="1078"/>
    <n v="20"/>
    <n v="183924"/>
    <n v="8.84"/>
    <n v="14203"/>
    <n v="1058"/>
    <n v="5.7523759813836147E-3"/>
  </r>
  <r>
    <x v="11"/>
    <x v="2"/>
    <n v="1751"/>
    <n v="86"/>
    <n v="188655"/>
    <n v="7.24"/>
    <n v="22206"/>
    <n v="1665"/>
    <n v="8.825634093981077E-3"/>
  </r>
  <r>
    <x v="11"/>
    <x v="3"/>
    <n v="221"/>
    <n v="31"/>
    <n v="87443"/>
    <n v="6.19"/>
    <n v="10283"/>
    <n v="190"/>
    <n v="2.1728440241071327E-3"/>
  </r>
  <r>
    <x v="12"/>
    <x v="0"/>
    <n v="1685"/>
    <n v="76"/>
    <n v="453799"/>
    <n v="5.71"/>
    <n v="24913"/>
    <n v="1609"/>
    <n v="3.5456226214689766E-3"/>
  </r>
  <r>
    <x v="12"/>
    <x v="1"/>
    <n v="248"/>
    <n v="211"/>
    <n v="379380"/>
    <n v="9.0399999999999991"/>
    <n v="26925"/>
    <n v="37"/>
    <n v="9.7527544941747058E-5"/>
  </r>
  <r>
    <x v="12"/>
    <x v="2"/>
    <n v="1300"/>
    <n v="71"/>
    <n v="186454"/>
    <n v="3.91"/>
    <n v="9942"/>
    <n v="1229"/>
    <n v="6.5914381026955706E-3"/>
  </r>
  <r>
    <x v="12"/>
    <x v="3"/>
    <n v="422"/>
    <n v="394"/>
    <n v="239044"/>
    <n v="7.83"/>
    <n v="32929"/>
    <n v="28"/>
    <n v="1.1713324743561855E-4"/>
  </r>
  <r>
    <x v="13"/>
    <x v="0"/>
    <n v="1429"/>
    <n v="182"/>
    <n v="101332"/>
    <n v="7.16"/>
    <n v="37829"/>
    <n v="1247"/>
    <n v="1.2306082974775983E-2"/>
  </r>
  <r>
    <x v="13"/>
    <x v="1"/>
    <n v="1520"/>
    <n v="475"/>
    <n v="496982"/>
    <n v="6.41"/>
    <n v="24384"/>
    <n v="1045"/>
    <n v="2.1026918479944948E-3"/>
  </r>
  <r>
    <x v="13"/>
    <x v="2"/>
    <n v="557"/>
    <n v="360"/>
    <n v="318779"/>
    <n v="8.02"/>
    <n v="25797"/>
    <n v="197"/>
    <n v="6.1798299135137512E-4"/>
  </r>
  <r>
    <x v="13"/>
    <x v="3"/>
    <n v="728"/>
    <n v="395"/>
    <n v="370971"/>
    <n v="3.86"/>
    <n v="12646"/>
    <n v="333"/>
    <n v="8.9764429025449434E-4"/>
  </r>
  <r>
    <x v="14"/>
    <x v="0"/>
    <n v="1592"/>
    <n v="20"/>
    <n v="378054"/>
    <n v="9.09"/>
    <n v="26663"/>
    <n v="1572"/>
    <n v="4.1581361392816901E-3"/>
  </r>
  <r>
    <x v="14"/>
    <x v="1"/>
    <n v="1842"/>
    <n v="414"/>
    <n v="307524"/>
    <n v="1.76"/>
    <n v="40478"/>
    <n v="1428"/>
    <n v="4.6435400163889647E-3"/>
  </r>
  <r>
    <x v="14"/>
    <x v="2"/>
    <n v="751"/>
    <n v="491"/>
    <n v="434047"/>
    <n v="9.24"/>
    <n v="15476"/>
    <n v="260"/>
    <n v="5.990134708914012E-4"/>
  </r>
  <r>
    <x v="14"/>
    <x v="3"/>
    <n v="1409"/>
    <n v="309"/>
    <n v="64583"/>
    <n v="8.99"/>
    <n v="10217"/>
    <n v="1100"/>
    <n v="1.7032345973398571E-2"/>
  </r>
  <r>
    <x v="15"/>
    <x v="0"/>
    <n v="778"/>
    <n v="401"/>
    <n v="50793"/>
    <n v="3.4"/>
    <n v="21939"/>
    <n v="377"/>
    <n v="7.4222825979957871E-3"/>
  </r>
  <r>
    <x v="15"/>
    <x v="1"/>
    <n v="443"/>
    <n v="345"/>
    <n v="474162"/>
    <n v="9.1999999999999993"/>
    <n v="47462"/>
    <n v="98"/>
    <n v="2.0668041724136477E-4"/>
  </r>
  <r>
    <x v="15"/>
    <x v="2"/>
    <n v="1472"/>
    <n v="347"/>
    <n v="392355"/>
    <n v="8.59"/>
    <n v="30270"/>
    <n v="1125"/>
    <n v="2.8673012960201858E-3"/>
  </r>
  <r>
    <x v="15"/>
    <x v="3"/>
    <n v="123"/>
    <n v="155"/>
    <n v="119934"/>
    <n v="3.5"/>
    <n v="5442"/>
    <n v="-32"/>
    <n v="-2.6681341404439108E-4"/>
  </r>
  <r>
    <x v="16"/>
    <x v="0"/>
    <n v="817"/>
    <n v="151"/>
    <n v="422625"/>
    <n v="2.36"/>
    <n v="1083"/>
    <n v="666"/>
    <n v="1.5758651286601596E-3"/>
  </r>
  <r>
    <x v="16"/>
    <x v="1"/>
    <n v="198"/>
    <n v="217"/>
    <n v="239753"/>
    <n v="7.36"/>
    <n v="11901"/>
    <n v="-19"/>
    <n v="-7.9248226299566635E-5"/>
  </r>
  <r>
    <x v="16"/>
    <x v="2"/>
    <n v="1911"/>
    <n v="231"/>
    <n v="268516"/>
    <n v="8.5500000000000007"/>
    <n v="24018"/>
    <n v="1680"/>
    <n v="6.2566104068286429E-3"/>
  </r>
  <r>
    <x v="16"/>
    <x v="3"/>
    <n v="1218"/>
    <n v="212"/>
    <n v="63177"/>
    <n v="8.1300000000000008"/>
    <n v="38883"/>
    <n v="1006"/>
    <n v="1.592351646960128E-2"/>
  </r>
  <r>
    <x v="17"/>
    <x v="0"/>
    <n v="1433"/>
    <n v="408"/>
    <n v="370269"/>
    <n v="3.3"/>
    <n v="30575"/>
    <n v="1025"/>
    <n v="2.7682576721248606E-3"/>
  </r>
  <r>
    <x v="17"/>
    <x v="1"/>
    <n v="250"/>
    <n v="429"/>
    <n v="453423"/>
    <n v="1.77"/>
    <n v="2315"/>
    <n v="-179"/>
    <n v="-3.9477485703195471E-4"/>
  </r>
  <r>
    <x v="17"/>
    <x v="2"/>
    <n v="752"/>
    <n v="153"/>
    <n v="64906"/>
    <n v="2.09"/>
    <n v="12148"/>
    <n v="599"/>
    <n v="9.2287307798970819E-3"/>
  </r>
  <r>
    <x v="17"/>
    <x v="3"/>
    <n v="1918"/>
    <n v="212"/>
    <n v="94360"/>
    <n v="7.36"/>
    <n v="36851"/>
    <n v="1706"/>
    <n v="1.8079694785926241E-2"/>
  </r>
  <r>
    <x v="18"/>
    <x v="0"/>
    <n v="1939"/>
    <n v="67"/>
    <n v="187183"/>
    <n v="6.25"/>
    <n v="41215"/>
    <n v="1872"/>
    <n v="1.0000908202133741E-2"/>
  </r>
  <r>
    <x v="18"/>
    <x v="1"/>
    <n v="1929"/>
    <n v="267"/>
    <n v="379363"/>
    <n v="1.75"/>
    <n v="43836"/>
    <n v="1662"/>
    <n v="4.3810281972675247E-3"/>
  </r>
  <r>
    <x v="18"/>
    <x v="2"/>
    <n v="437"/>
    <n v="330"/>
    <n v="476486"/>
    <n v="4.97"/>
    <n v="4509"/>
    <n v="107"/>
    <n v="2.2456063766826309E-4"/>
  </r>
  <r>
    <x v="18"/>
    <x v="3"/>
    <n v="307"/>
    <n v="189"/>
    <n v="117767"/>
    <n v="9.3000000000000007"/>
    <n v="27822"/>
    <n v="118"/>
    <n v="1.0019784829366461E-3"/>
  </r>
  <r>
    <x v="19"/>
    <x v="0"/>
    <n v="1527"/>
    <n v="303"/>
    <n v="388555"/>
    <n v="8.9"/>
    <n v="36397"/>
    <n v="1224"/>
    <n v="3.1501331857780751E-3"/>
  </r>
  <r>
    <x v="19"/>
    <x v="1"/>
    <n v="643"/>
    <n v="358"/>
    <n v="157599"/>
    <n v="3.88"/>
    <n v="7285"/>
    <n v="285"/>
    <n v="1.8083871090552605E-3"/>
  </r>
  <r>
    <x v="19"/>
    <x v="2"/>
    <n v="201"/>
    <n v="221"/>
    <n v="309772"/>
    <n v="5.9"/>
    <n v="33174"/>
    <n v="-20"/>
    <n v="-6.456361452939582E-5"/>
  </r>
  <r>
    <x v="19"/>
    <x v="3"/>
    <n v="414"/>
    <n v="47"/>
    <n v="199178"/>
    <n v="1.53"/>
    <n v="6742"/>
    <n v="367"/>
    <n v="1.8425729749269497E-3"/>
  </r>
  <r>
    <x v="20"/>
    <x v="0"/>
    <n v="703"/>
    <n v="441"/>
    <n v="357089"/>
    <n v="6.5"/>
    <n v="32478"/>
    <n v="262"/>
    <n v="7.3371064356504961E-4"/>
  </r>
  <r>
    <x v="20"/>
    <x v="1"/>
    <n v="508"/>
    <n v="69"/>
    <n v="23492"/>
    <n v="3.16"/>
    <n v="42824"/>
    <n v="439"/>
    <n v="1.8687212668142345E-2"/>
  </r>
  <r>
    <x v="20"/>
    <x v="2"/>
    <n v="697"/>
    <n v="61"/>
    <n v="258287"/>
    <n v="8.25"/>
    <n v="21208"/>
    <n v="636"/>
    <n v="2.4623771231227277E-3"/>
  </r>
  <r>
    <x v="20"/>
    <x v="3"/>
    <n v="1707"/>
    <n v="223"/>
    <n v="256910"/>
    <n v="5.41"/>
    <n v="44321"/>
    <n v="1484"/>
    <n v="5.7763419096181542E-3"/>
  </r>
  <r>
    <x v="21"/>
    <x v="0"/>
    <n v="642"/>
    <n v="66"/>
    <n v="346522"/>
    <n v="5.85"/>
    <n v="13116"/>
    <n v="576"/>
    <n v="1.6622321237901201E-3"/>
  </r>
  <r>
    <x v="21"/>
    <x v="1"/>
    <n v="859"/>
    <n v="473"/>
    <n v="209987"/>
    <n v="4.46"/>
    <n v="30214"/>
    <n v="386"/>
    <n v="1.8382090319876945E-3"/>
  </r>
  <r>
    <x v="21"/>
    <x v="2"/>
    <n v="191"/>
    <n v="154"/>
    <n v="240550"/>
    <n v="5.22"/>
    <n v="15827"/>
    <n v="37"/>
    <n v="1.5381417584701726E-4"/>
  </r>
  <r>
    <x v="21"/>
    <x v="3"/>
    <n v="1814"/>
    <n v="157"/>
    <n v="305827"/>
    <n v="1.99"/>
    <n v="46643"/>
    <n v="1657"/>
    <n v="5.4180958515762179E-3"/>
  </r>
  <r>
    <x v="22"/>
    <x v="0"/>
    <n v="1466"/>
    <n v="69"/>
    <n v="54935"/>
    <n v="6.85"/>
    <n v="36484"/>
    <n v="1397"/>
    <n v="2.5430053699827069E-2"/>
  </r>
  <r>
    <x v="22"/>
    <x v="1"/>
    <n v="947"/>
    <n v="407"/>
    <n v="319186"/>
    <n v="3.32"/>
    <n v="4996"/>
    <n v="540"/>
    <n v="1.6918035252172713E-3"/>
  </r>
  <r>
    <x v="22"/>
    <x v="2"/>
    <n v="1821"/>
    <n v="218"/>
    <n v="439080"/>
    <n v="5.68"/>
    <n v="36095"/>
    <n v="1603"/>
    <n v="3.6508153411678964E-3"/>
  </r>
  <r>
    <x v="22"/>
    <x v="3"/>
    <n v="1507"/>
    <n v="463"/>
    <n v="258944"/>
    <n v="6.08"/>
    <n v="16443"/>
    <n v="1044"/>
    <n v="4.0317597627286209E-3"/>
  </r>
  <r>
    <x v="23"/>
    <x v="0"/>
    <n v="1075"/>
    <n v="173"/>
    <n v="51395"/>
    <n v="4.66"/>
    <n v="47812"/>
    <n v="902"/>
    <n v="1.7550345364335054E-2"/>
  </r>
  <r>
    <x v="23"/>
    <x v="1"/>
    <n v="171"/>
    <n v="277"/>
    <n v="309483"/>
    <n v="8.6999999999999993"/>
    <n v="38452"/>
    <n v="-106"/>
    <n v="-3.4250669665215861E-4"/>
  </r>
  <r>
    <x v="23"/>
    <x v="2"/>
    <n v="1487"/>
    <n v="337"/>
    <n v="87305"/>
    <n v="2.46"/>
    <n v="30428"/>
    <n v="1150"/>
    <n v="1.3172212358971423E-2"/>
  </r>
  <r>
    <x v="23"/>
    <x v="3"/>
    <n v="454"/>
    <n v="105"/>
    <n v="121091"/>
    <n v="7.97"/>
    <n v="9269"/>
    <n v="349"/>
    <n v="2.8821299683708945E-3"/>
  </r>
  <r>
    <x v="24"/>
    <x v="0"/>
    <n v="187"/>
    <n v="236"/>
    <n v="51087"/>
    <n v="9.41"/>
    <n v="29533"/>
    <n v="-49"/>
    <n v="-9.5914811987394058E-4"/>
  </r>
  <r>
    <x v="24"/>
    <x v="1"/>
    <n v="513"/>
    <n v="441"/>
    <n v="338847"/>
    <n v="2.68"/>
    <n v="39997"/>
    <n v="72"/>
    <n v="2.1248528096751631E-4"/>
  </r>
  <r>
    <x v="24"/>
    <x v="2"/>
    <n v="628"/>
    <n v="183"/>
    <n v="487523"/>
    <n v="7.32"/>
    <n v="5391"/>
    <n v="445"/>
    <n v="9.1277744844858602E-4"/>
  </r>
  <r>
    <x v="24"/>
    <x v="3"/>
    <n v="278"/>
    <n v="218"/>
    <n v="301695"/>
    <n v="4.68"/>
    <n v="22373"/>
    <n v="60"/>
    <n v="1.9887634863023914E-4"/>
  </r>
  <r>
    <x v="25"/>
    <x v="0"/>
    <n v="1854"/>
    <n v="161"/>
    <n v="282466"/>
    <n v="5.17"/>
    <n v="1810"/>
    <n v="1693"/>
    <n v="5.9936417126309005E-3"/>
  </r>
  <r>
    <x v="25"/>
    <x v="1"/>
    <n v="1710"/>
    <n v="378"/>
    <n v="336661"/>
    <n v="6.2"/>
    <n v="28498"/>
    <n v="1332"/>
    <n v="3.9565022381564839E-3"/>
  </r>
  <r>
    <x v="25"/>
    <x v="2"/>
    <n v="330"/>
    <n v="232"/>
    <n v="88455"/>
    <n v="2.69"/>
    <n v="39530"/>
    <n v="98"/>
    <n v="1.1079079758069075E-3"/>
  </r>
  <r>
    <x v="25"/>
    <x v="3"/>
    <n v="1293"/>
    <n v="408"/>
    <n v="62535"/>
    <n v="8.9"/>
    <n v="37876"/>
    <n v="885"/>
    <n v="1.4152074838090669E-2"/>
  </r>
  <r>
    <x v="26"/>
    <x v="0"/>
    <n v="1696"/>
    <n v="71"/>
    <n v="421957"/>
    <n v="3.79"/>
    <n v="36103"/>
    <n v="1625"/>
    <n v="3.8511033114748661E-3"/>
  </r>
  <r>
    <x v="26"/>
    <x v="1"/>
    <n v="1902"/>
    <n v="196"/>
    <n v="470269"/>
    <n v="4.79"/>
    <n v="26103"/>
    <n v="1706"/>
    <n v="3.6277109484146308E-3"/>
  </r>
  <r>
    <x v="26"/>
    <x v="2"/>
    <n v="1441"/>
    <n v="268"/>
    <n v="309904"/>
    <n v="6.37"/>
    <n v="3455"/>
    <n v="1173"/>
    <n v="3.7850431101244257E-3"/>
  </r>
  <r>
    <x v="26"/>
    <x v="3"/>
    <n v="452"/>
    <n v="161"/>
    <n v="221274"/>
    <n v="2.65"/>
    <n v="40888"/>
    <n v="291"/>
    <n v="1.3151115811166245E-3"/>
  </r>
  <r>
    <x v="27"/>
    <x v="0"/>
    <n v="1494"/>
    <n v="375"/>
    <n v="220616"/>
    <n v="1.81"/>
    <n v="22724"/>
    <n v="1119"/>
    <n v="5.0721615839286359E-3"/>
  </r>
  <r>
    <x v="27"/>
    <x v="1"/>
    <n v="1514"/>
    <n v="141"/>
    <n v="35842"/>
    <n v="7.47"/>
    <n v="18601"/>
    <n v="1373"/>
    <n v="3.8307014117515761E-2"/>
  </r>
  <r>
    <x v="27"/>
    <x v="2"/>
    <n v="1937"/>
    <n v="210"/>
    <n v="20607"/>
    <n v="4.2"/>
    <n v="20861"/>
    <n v="1727"/>
    <n v="8.3806473528412681E-2"/>
  </r>
  <r>
    <x v="27"/>
    <x v="3"/>
    <n v="736"/>
    <n v="163"/>
    <n v="451894"/>
    <n v="5.43"/>
    <n v="46625"/>
    <n v="573"/>
    <n v="1.2679964770499277E-3"/>
  </r>
  <r>
    <x v="28"/>
    <x v="0"/>
    <n v="1502"/>
    <n v="70"/>
    <n v="465553"/>
    <n v="3.32"/>
    <n v="20692"/>
    <n v="1432"/>
    <n v="3.0759118725472716E-3"/>
  </r>
  <r>
    <x v="28"/>
    <x v="1"/>
    <n v="1623"/>
    <n v="246"/>
    <n v="415815"/>
    <n v="8.11"/>
    <n v="18656"/>
    <n v="1377"/>
    <n v="3.311568846722701E-3"/>
  </r>
  <r>
    <x v="28"/>
    <x v="2"/>
    <n v="1592"/>
    <n v="233"/>
    <n v="327183"/>
    <n v="6.66"/>
    <n v="13316"/>
    <n v="1359"/>
    <n v="4.1536387893013997E-3"/>
  </r>
  <r>
    <x v="28"/>
    <x v="3"/>
    <n v="1004"/>
    <n v="128"/>
    <n v="488901"/>
    <n v="8.09"/>
    <n v="49558"/>
    <n v="876"/>
    <n v="1.7917737946946315E-3"/>
  </r>
  <r>
    <x v="29"/>
    <x v="0"/>
    <n v="1092"/>
    <n v="408"/>
    <n v="280795"/>
    <n v="8.44"/>
    <n v="4683"/>
    <n v="684"/>
    <n v="2.4359408109118751E-3"/>
  </r>
  <r>
    <x v="29"/>
    <x v="1"/>
    <n v="1155"/>
    <n v="425"/>
    <n v="93347"/>
    <n v="2.02"/>
    <n v="47502"/>
    <n v="730"/>
    <n v="7.8202834584935772E-3"/>
  </r>
  <r>
    <x v="29"/>
    <x v="2"/>
    <n v="1137"/>
    <n v="226"/>
    <n v="81119"/>
    <n v="7.74"/>
    <n v="35359"/>
    <n v="911"/>
    <n v="1.1230414576116569E-2"/>
  </r>
  <r>
    <x v="29"/>
    <x v="3"/>
    <n v="1900"/>
    <n v="311"/>
    <n v="25177"/>
    <n v="2.89"/>
    <n v="14154"/>
    <n v="1589"/>
    <n v="6.3113158835445049E-2"/>
  </r>
  <r>
    <x v="30"/>
    <x v="0"/>
    <n v="1814"/>
    <n v="49"/>
    <n v="140804"/>
    <n v="1.76"/>
    <n v="4313"/>
    <n v="1765"/>
    <n v="1.253515525127127E-2"/>
  </r>
  <r>
    <x v="30"/>
    <x v="1"/>
    <n v="1980"/>
    <n v="204"/>
    <n v="379431"/>
    <n v="3.09"/>
    <n v="25140"/>
    <n v="1776"/>
    <n v="4.6806929323118035E-3"/>
  </r>
  <r>
    <x v="30"/>
    <x v="2"/>
    <n v="1786"/>
    <n v="257"/>
    <n v="274831"/>
    <n v="4.68"/>
    <n v="9118"/>
    <n v="1529"/>
    <n v="5.5634189738421064E-3"/>
  </r>
  <r>
    <x v="30"/>
    <x v="3"/>
    <n v="1495"/>
    <n v="35"/>
    <n v="136845"/>
    <n v="4.4800000000000004"/>
    <n v="39931"/>
    <n v="1460"/>
    <n v="1.0669005078738719E-2"/>
  </r>
  <r>
    <x v="31"/>
    <x v="0"/>
    <n v="1013"/>
    <n v="110"/>
    <n v="466382"/>
    <n v="5.3"/>
    <n v="37132"/>
    <n v="903"/>
    <n v="1.9361810704529763E-3"/>
  </r>
  <r>
    <x v="31"/>
    <x v="1"/>
    <n v="816"/>
    <n v="196"/>
    <n v="95728"/>
    <n v="8.1999999999999993"/>
    <n v="17951"/>
    <n v="620"/>
    <n v="6.4766839378238338E-3"/>
  </r>
  <r>
    <x v="31"/>
    <x v="2"/>
    <n v="1633"/>
    <n v="445"/>
    <n v="371156"/>
    <n v="2.2200000000000002"/>
    <n v="2798"/>
    <n v="1188"/>
    <n v="3.2008104408927781E-3"/>
  </r>
  <r>
    <x v="31"/>
    <x v="3"/>
    <n v="891"/>
    <n v="45"/>
    <n v="95410"/>
    <n v="8.33"/>
    <n v="15045"/>
    <n v="846"/>
    <n v="8.8669950738916262E-3"/>
  </r>
  <r>
    <x v="32"/>
    <x v="0"/>
    <n v="1855"/>
    <n v="133"/>
    <n v="349413"/>
    <n v="3.3"/>
    <n v="14548"/>
    <n v="1722"/>
    <n v="4.9282654051223049E-3"/>
  </r>
  <r>
    <x v="32"/>
    <x v="1"/>
    <n v="651"/>
    <n v="353"/>
    <n v="224699"/>
    <n v="5.61"/>
    <n v="45708"/>
    <n v="298"/>
    <n v="1.3262186302564765E-3"/>
  </r>
  <r>
    <x v="32"/>
    <x v="2"/>
    <n v="118"/>
    <n v="262"/>
    <n v="487896"/>
    <n v="2.56"/>
    <n v="12350"/>
    <n v="-144"/>
    <n v="-2.9514486693885583E-4"/>
  </r>
  <r>
    <x v="32"/>
    <x v="3"/>
    <n v="1331"/>
    <n v="430"/>
    <n v="14437"/>
    <n v="3.29"/>
    <n v="40868"/>
    <n v="901"/>
    <n v="6.2409087760615087E-2"/>
  </r>
  <r>
    <x v="33"/>
    <x v="0"/>
    <n v="1748"/>
    <n v="176"/>
    <n v="383681"/>
    <n v="9.24"/>
    <n v="43122"/>
    <n v="1572"/>
    <n v="4.0971536250166149E-3"/>
  </r>
  <r>
    <x v="33"/>
    <x v="1"/>
    <n v="663"/>
    <n v="236"/>
    <n v="479490"/>
    <n v="4.51"/>
    <n v="23853"/>
    <n v="427"/>
    <n v="8.9052952094934197E-4"/>
  </r>
  <r>
    <x v="33"/>
    <x v="2"/>
    <n v="1040"/>
    <n v="149"/>
    <n v="124404"/>
    <n v="5.23"/>
    <n v="45380"/>
    <n v="891"/>
    <n v="7.1621491270377159E-3"/>
  </r>
  <r>
    <x v="33"/>
    <x v="3"/>
    <n v="1166"/>
    <n v="442"/>
    <n v="336949"/>
    <n v="4.68"/>
    <n v="7705"/>
    <n v="724"/>
    <n v="2.1486931256659019E-3"/>
  </r>
  <r>
    <x v="34"/>
    <x v="0"/>
    <n v="115"/>
    <n v="281"/>
    <n v="357265"/>
    <n v="9.23"/>
    <n v="25525"/>
    <n v="-166"/>
    <n v="-4.6464109274628077E-4"/>
  </r>
  <r>
    <x v="34"/>
    <x v="1"/>
    <n v="1249"/>
    <n v="351"/>
    <n v="321307"/>
    <n v="6.37"/>
    <n v="20560"/>
    <n v="898"/>
    <n v="2.7948348464241365E-3"/>
  </r>
  <r>
    <x v="34"/>
    <x v="2"/>
    <n v="1501"/>
    <n v="75"/>
    <n v="262569"/>
    <n v="2.0099999999999998"/>
    <n v="19119"/>
    <n v="1426"/>
    <n v="5.4309533874905263E-3"/>
  </r>
  <r>
    <x v="34"/>
    <x v="3"/>
    <n v="1411"/>
    <n v="186"/>
    <n v="461669"/>
    <n v="3.72"/>
    <n v="43999"/>
    <n v="1225"/>
    <n v="2.6534161921203288E-3"/>
  </r>
  <r>
    <x v="35"/>
    <x v="0"/>
    <n v="1556"/>
    <n v="476"/>
    <n v="351556"/>
    <n v="3.89"/>
    <n v="10825"/>
    <n v="1080"/>
    <n v="3.0720567989168156E-3"/>
  </r>
  <r>
    <x v="35"/>
    <x v="1"/>
    <n v="1159"/>
    <n v="411"/>
    <n v="135987"/>
    <n v="8.6999999999999993"/>
    <n v="40323"/>
    <n v="748"/>
    <n v="5.5005257855530306E-3"/>
  </r>
  <r>
    <x v="35"/>
    <x v="2"/>
    <n v="927"/>
    <n v="358"/>
    <n v="177554"/>
    <n v="6.95"/>
    <n v="48270"/>
    <n v="569"/>
    <n v="3.2046588643454949E-3"/>
  </r>
  <r>
    <x v="35"/>
    <x v="3"/>
    <n v="152"/>
    <n v="355"/>
    <n v="270766"/>
    <n v="9.48"/>
    <n v="18001"/>
    <n v="-203"/>
    <n v="-7.4972485467156139E-4"/>
  </r>
  <r>
    <x v="36"/>
    <x v="0"/>
    <n v="1957"/>
    <n v="234"/>
    <n v="222126"/>
    <n v="4.6100000000000003"/>
    <n v="3314"/>
    <n v="1723"/>
    <n v="7.7568587198256845E-3"/>
  </r>
  <r>
    <x v="36"/>
    <x v="1"/>
    <n v="1294"/>
    <n v="382"/>
    <n v="309914"/>
    <n v="8.0299999999999994"/>
    <n v="23489"/>
    <n v="912"/>
    <n v="2.9427518601934728E-3"/>
  </r>
  <r>
    <x v="36"/>
    <x v="2"/>
    <n v="1587"/>
    <n v="385"/>
    <n v="126582"/>
    <n v="6.99"/>
    <n v="42832"/>
    <n v="1202"/>
    <n v="9.4958208908059605E-3"/>
  </r>
  <r>
    <x v="36"/>
    <x v="3"/>
    <n v="1707"/>
    <n v="263"/>
    <n v="485280"/>
    <n v="9.0299999999999994"/>
    <n v="24494"/>
    <n v="1444"/>
    <n v="2.9756017144741179E-3"/>
  </r>
  <r>
    <x v="37"/>
    <x v="0"/>
    <n v="1138"/>
    <n v="173"/>
    <n v="453243"/>
    <n v="2.86"/>
    <n v="44097"/>
    <n v="965"/>
    <n v="2.1291007252180398E-3"/>
  </r>
  <r>
    <x v="37"/>
    <x v="1"/>
    <n v="1895"/>
    <n v="305"/>
    <n v="104967"/>
    <n v="3.85"/>
    <n v="31853"/>
    <n v="1590"/>
    <n v="1.5147617822744291E-2"/>
  </r>
  <r>
    <x v="37"/>
    <x v="2"/>
    <n v="362"/>
    <n v="399"/>
    <n v="145608"/>
    <n v="7.3"/>
    <n v="37636"/>
    <n v="-37"/>
    <n v="-2.5410691720235154E-4"/>
  </r>
  <r>
    <x v="37"/>
    <x v="3"/>
    <n v="1662"/>
    <n v="487"/>
    <n v="105980"/>
    <n v="9.08"/>
    <n v="22996"/>
    <n v="1175"/>
    <n v="1.1086997546706926E-2"/>
  </r>
  <r>
    <x v="38"/>
    <x v="0"/>
    <n v="1440"/>
    <n v="65"/>
    <n v="126524"/>
    <n v="4.34"/>
    <n v="49772"/>
    <n v="1375"/>
    <n v="1.0867503398564699E-2"/>
  </r>
  <r>
    <x v="38"/>
    <x v="1"/>
    <n v="1884"/>
    <n v="177"/>
    <n v="230448"/>
    <n v="7.8"/>
    <n v="22713"/>
    <n v="1707"/>
    <n v="7.4073109768798169E-3"/>
  </r>
  <r>
    <x v="38"/>
    <x v="2"/>
    <n v="861"/>
    <n v="153"/>
    <n v="317007"/>
    <n v="3.85"/>
    <n v="8718"/>
    <n v="708"/>
    <n v="2.2333891680625349E-3"/>
  </r>
  <r>
    <x v="38"/>
    <x v="3"/>
    <n v="1063"/>
    <n v="47"/>
    <n v="464239"/>
    <n v="6.58"/>
    <n v="39031"/>
    <n v="1016"/>
    <n v="2.1885278918832756E-3"/>
  </r>
  <r>
    <x v="39"/>
    <x v="0"/>
    <n v="1371"/>
    <n v="56"/>
    <n v="257579"/>
    <n v="8.6199999999999992"/>
    <n v="33799"/>
    <n v="1315"/>
    <n v="5.1052298518124532E-3"/>
  </r>
  <r>
    <x v="39"/>
    <x v="1"/>
    <n v="345"/>
    <n v="464"/>
    <n v="366881"/>
    <n v="4.55"/>
    <n v="20553"/>
    <n v="-119"/>
    <n v="-3.2435585380545735E-4"/>
  </r>
  <r>
    <x v="39"/>
    <x v="2"/>
    <n v="946"/>
    <n v="47"/>
    <n v="466575"/>
    <n v="8.33"/>
    <n v="10002"/>
    <n v="899"/>
    <n v="1.9268070513850934E-3"/>
  </r>
  <r>
    <x v="39"/>
    <x v="3"/>
    <n v="510"/>
    <n v="195"/>
    <n v="224534"/>
    <n v="9.4"/>
    <n v="30987"/>
    <n v="315"/>
    <n v="1.4029055733207443E-3"/>
  </r>
  <r>
    <x v="40"/>
    <x v="0"/>
    <n v="393"/>
    <n v="181"/>
    <n v="462142"/>
    <n v="7.23"/>
    <n v="6296"/>
    <n v="212"/>
    <n v="4.5873346287504706E-4"/>
  </r>
  <r>
    <x v="40"/>
    <x v="1"/>
    <n v="1098"/>
    <n v="190"/>
    <n v="340842"/>
    <n v="9.39"/>
    <n v="21539"/>
    <n v="908"/>
    <n v="2.6639909400836752E-3"/>
  </r>
  <r>
    <x v="40"/>
    <x v="2"/>
    <n v="1399"/>
    <n v="49"/>
    <n v="12471"/>
    <n v="5.12"/>
    <n v="14722"/>
    <n v="1350"/>
    <n v="0.10825114265095021"/>
  </r>
  <r>
    <x v="40"/>
    <x v="3"/>
    <n v="1658"/>
    <n v="416"/>
    <n v="98397"/>
    <n v="6.11"/>
    <n v="11383"/>
    <n v="1242"/>
    <n v="1.2622336046830695E-2"/>
  </r>
  <r>
    <x v="41"/>
    <x v="0"/>
    <n v="1102"/>
    <n v="422"/>
    <n v="410330"/>
    <n v="7.74"/>
    <n v="9480"/>
    <n v="680"/>
    <n v="1.6572027392586454E-3"/>
  </r>
  <r>
    <x v="41"/>
    <x v="1"/>
    <n v="1358"/>
    <n v="242"/>
    <n v="342129"/>
    <n v="4.9400000000000004"/>
    <n v="29116"/>
    <n v="1116"/>
    <n v="3.2619275185675578E-3"/>
  </r>
  <r>
    <x v="41"/>
    <x v="2"/>
    <n v="1077"/>
    <n v="216"/>
    <n v="12447"/>
    <n v="1.8"/>
    <n v="14068"/>
    <n v="861"/>
    <n v="6.9173294769824048E-2"/>
  </r>
  <r>
    <x v="41"/>
    <x v="3"/>
    <n v="1596"/>
    <n v="211"/>
    <n v="17380"/>
    <n v="8.64"/>
    <n v="35801"/>
    <n v="1385"/>
    <n v="7.9689298043728429E-2"/>
  </r>
  <r>
    <x v="42"/>
    <x v="0"/>
    <n v="490"/>
    <n v="29"/>
    <n v="364810"/>
    <n v="1.53"/>
    <n v="49077"/>
    <n v="461"/>
    <n v="1.2636715002329981E-3"/>
  </r>
  <r>
    <x v="42"/>
    <x v="1"/>
    <n v="609"/>
    <n v="135"/>
    <n v="373606"/>
    <n v="8.52"/>
    <n v="21453"/>
    <n v="474"/>
    <n v="1.268716241173857E-3"/>
  </r>
  <r>
    <x v="42"/>
    <x v="2"/>
    <n v="364"/>
    <n v="72"/>
    <n v="211090"/>
    <n v="5.53"/>
    <n v="21061"/>
    <n v="292"/>
    <n v="1.3832962243592781E-3"/>
  </r>
  <r>
    <x v="42"/>
    <x v="3"/>
    <n v="442"/>
    <n v="53"/>
    <n v="441931"/>
    <n v="1.87"/>
    <n v="20059"/>
    <n v="389"/>
    <n v="8.8022790888170322E-4"/>
  </r>
  <r>
    <x v="43"/>
    <x v="0"/>
    <n v="1033"/>
    <n v="392"/>
    <n v="282780"/>
    <n v="6.27"/>
    <n v="23140"/>
    <n v="641"/>
    <n v="2.2667798288422093E-3"/>
  </r>
  <r>
    <x v="43"/>
    <x v="1"/>
    <n v="988"/>
    <n v="474"/>
    <n v="370070"/>
    <n v="9.4600000000000009"/>
    <n v="23461"/>
    <n v="514"/>
    <n v="1.3889264193260734E-3"/>
  </r>
  <r>
    <x v="43"/>
    <x v="2"/>
    <n v="1946"/>
    <n v="270"/>
    <n v="198350"/>
    <n v="7.5"/>
    <n v="11805"/>
    <n v="1676"/>
    <n v="8.4497101083942528E-3"/>
  </r>
  <r>
    <x v="43"/>
    <x v="3"/>
    <n v="1957"/>
    <n v="490"/>
    <n v="435726"/>
    <n v="4.7300000000000004"/>
    <n v="15969"/>
    <n v="1467"/>
    <n v="3.3667947287974553E-3"/>
  </r>
  <r>
    <x v="44"/>
    <x v="0"/>
    <n v="559"/>
    <n v="392"/>
    <n v="78789"/>
    <n v="3.19"/>
    <n v="2436"/>
    <n v="167"/>
    <n v="2.1195852212872357E-3"/>
  </r>
  <r>
    <x v="44"/>
    <x v="1"/>
    <n v="1307"/>
    <n v="278"/>
    <n v="98596"/>
    <n v="2.4900000000000002"/>
    <n v="47603"/>
    <n v="1029"/>
    <n v="1.0436528865268368E-2"/>
  </r>
  <r>
    <x v="44"/>
    <x v="2"/>
    <n v="1432"/>
    <n v="425"/>
    <n v="29589"/>
    <n v="4.5"/>
    <n v="42964"/>
    <n v="1007"/>
    <n v="3.4032917638311531E-2"/>
  </r>
  <r>
    <x v="44"/>
    <x v="3"/>
    <n v="623"/>
    <n v="414"/>
    <n v="290354"/>
    <n v="6.49"/>
    <n v="39923"/>
    <n v="209"/>
    <n v="7.1981098934404211E-4"/>
  </r>
  <r>
    <x v="45"/>
    <x v="0"/>
    <n v="198"/>
    <n v="358"/>
    <n v="66682"/>
    <n v="6.73"/>
    <n v="2293"/>
    <n v="-160"/>
    <n v="-2.3994481269308059E-3"/>
  </r>
  <r>
    <x v="45"/>
    <x v="1"/>
    <n v="198"/>
    <n v="373"/>
    <n v="70707"/>
    <n v="4.83"/>
    <n v="25920"/>
    <n v="-175"/>
    <n v="-2.4750024750024749E-3"/>
  </r>
  <r>
    <x v="45"/>
    <x v="2"/>
    <n v="353"/>
    <n v="300"/>
    <n v="142507"/>
    <n v="5.3"/>
    <n v="11035"/>
    <n v="53"/>
    <n v="3.7191155522184875E-4"/>
  </r>
  <r>
    <x v="45"/>
    <x v="3"/>
    <n v="520"/>
    <n v="375"/>
    <n v="369525"/>
    <n v="6.54"/>
    <n v="20733"/>
    <n v="145"/>
    <n v="3.9239564305527366E-4"/>
  </r>
  <r>
    <x v="46"/>
    <x v="0"/>
    <n v="961"/>
    <n v="358"/>
    <n v="62942"/>
    <n v="6.8"/>
    <n v="18693"/>
    <n v="603"/>
    <n v="9.5802484827301332E-3"/>
  </r>
  <r>
    <x v="46"/>
    <x v="1"/>
    <n v="1375"/>
    <n v="330"/>
    <n v="377382"/>
    <n v="2.6"/>
    <n v="7875"/>
    <n v="1045"/>
    <n v="2.7690774864725927E-3"/>
  </r>
  <r>
    <x v="46"/>
    <x v="2"/>
    <n v="1147"/>
    <n v="388"/>
    <n v="333851"/>
    <n v="2.44"/>
    <n v="8471"/>
    <n v="759"/>
    <n v="2.2734693021737242E-3"/>
  </r>
  <r>
    <x v="46"/>
    <x v="3"/>
    <n v="1707"/>
    <n v="74"/>
    <n v="270958"/>
    <n v="3.09"/>
    <n v="14090"/>
    <n v="1633"/>
    <n v="6.0267642955734836E-3"/>
  </r>
  <r>
    <x v="47"/>
    <x v="0"/>
    <n v="1693"/>
    <n v="154"/>
    <n v="445944"/>
    <n v="5.69"/>
    <n v="14216"/>
    <n v="1539"/>
    <n v="3.4511059684624078E-3"/>
  </r>
  <r>
    <x v="47"/>
    <x v="1"/>
    <n v="833"/>
    <n v="380"/>
    <n v="224830"/>
    <n v="3.86"/>
    <n v="3582"/>
    <n v="453"/>
    <n v="2.014855668727483E-3"/>
  </r>
  <r>
    <x v="47"/>
    <x v="2"/>
    <n v="1222"/>
    <n v="274"/>
    <n v="487289"/>
    <n v="3.16"/>
    <n v="32500"/>
    <n v="948"/>
    <n v="1.9454574184929272E-3"/>
  </r>
  <r>
    <x v="47"/>
    <x v="3"/>
    <n v="777"/>
    <n v="140"/>
    <n v="11435"/>
    <n v="1.6"/>
    <n v="6832"/>
    <n v="637"/>
    <n v="5.5706165282028861E-2"/>
  </r>
  <r>
    <x v="48"/>
    <x v="0"/>
    <n v="1957"/>
    <n v="76"/>
    <n v="447902"/>
    <n v="6.09"/>
    <n v="33381"/>
    <n v="1881"/>
    <n v="4.1995793722733989E-3"/>
  </r>
  <r>
    <x v="48"/>
    <x v="1"/>
    <n v="405"/>
    <n v="66"/>
    <n v="418696"/>
    <n v="5.59"/>
    <n v="48419"/>
    <n v="339"/>
    <n v="8.0965664826031301E-4"/>
  </r>
  <r>
    <x v="48"/>
    <x v="2"/>
    <n v="1581"/>
    <n v="71"/>
    <n v="484364"/>
    <n v="3.55"/>
    <n v="16149"/>
    <n v="1510"/>
    <n v="3.1174901520344203E-3"/>
  </r>
  <r>
    <x v="48"/>
    <x v="3"/>
    <n v="1035"/>
    <n v="171"/>
    <n v="148477"/>
    <n v="5.21"/>
    <n v="7541"/>
    <n v="864"/>
    <n v="5.8190830903102836E-3"/>
  </r>
  <r>
    <x v="49"/>
    <x v="0"/>
    <n v="1765"/>
    <n v="109"/>
    <n v="468301"/>
    <n v="1.82"/>
    <n v="20042"/>
    <n v="1656"/>
    <n v="3.5361871958419907E-3"/>
  </r>
  <r>
    <x v="49"/>
    <x v="1"/>
    <n v="837"/>
    <n v="430"/>
    <n v="364820"/>
    <n v="4"/>
    <n v="49400"/>
    <n v="407"/>
    <n v="1.1156186612576065E-3"/>
  </r>
  <r>
    <x v="49"/>
    <x v="2"/>
    <n v="337"/>
    <n v="68"/>
    <n v="456298"/>
    <n v="7.57"/>
    <n v="4007"/>
    <n v="269"/>
    <n v="5.8952701962314107E-4"/>
  </r>
  <r>
    <x v="49"/>
    <x v="3"/>
    <n v="119"/>
    <n v="456"/>
    <n v="82558"/>
    <n v="6.81"/>
    <n v="12174"/>
    <n v="-337"/>
    <n v="-4.0819787301048958E-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34"/>
    <x v="0"/>
    <s v="2024-06-01"/>
    <x v="0"/>
    <s v="Check out our latest text on facebook!"/>
    <n v="1272"/>
    <n v="465"/>
    <n v="99"/>
    <n v="24168"/>
    <n v="23719"/>
    <n v="42"/>
    <n v="1878"/>
    <n v="7.5968222442899705E-2"/>
    <x v="0"/>
    <x v="0"/>
    <x v="0"/>
    <m/>
  </r>
  <r>
    <s v="P202"/>
    <x v="0"/>
    <s v="2024-06-02"/>
    <x v="1"/>
    <s v="Check out our latest image on facebook!"/>
    <n v="1871"/>
    <n v="252"/>
    <n v="335"/>
    <n v="29936"/>
    <n v="29576"/>
    <n v="288"/>
    <n v="2746"/>
    <n v="8.2108498129342594E-2"/>
    <x v="1"/>
    <x v="0"/>
    <x v="0"/>
    <s v="FSDUpdate"/>
  </r>
  <r>
    <s v="P220"/>
    <x v="1"/>
    <s v="2024-06-02"/>
    <x v="2"/>
    <s v="Check out our latest story on instagram!"/>
    <n v="84"/>
    <n v="897"/>
    <n v="85"/>
    <n v="588"/>
    <n v="8"/>
    <n v="12"/>
    <n v="1078"/>
    <n v="1.8129251700680271"/>
    <x v="1"/>
    <x v="0"/>
    <x v="0"/>
    <m/>
  </r>
  <r>
    <s v="P090"/>
    <x v="1"/>
    <s v="2024-06-03"/>
    <x v="1"/>
    <s v="Check out our latest image on instagram!"/>
    <n v="3861"/>
    <n v="960"/>
    <n v="101"/>
    <n v="69498"/>
    <n v="68817"/>
    <n v="297"/>
    <n v="5219"/>
    <n v="7.0822181933293038E-2"/>
    <x v="0"/>
    <x v="0"/>
    <x v="0"/>
    <s v="SustainabilityDrive"/>
  </r>
  <r>
    <s v="P146"/>
    <x v="2"/>
    <s v="2024-06-05"/>
    <x v="3"/>
    <s v="Check out our latest reel on youtube!"/>
    <n v="3065"/>
    <n v="772"/>
    <n v="142"/>
    <n v="18390"/>
    <n v="17875"/>
    <n v="200"/>
    <n v="4179"/>
    <n v="0.21636759108210984"/>
    <x v="1"/>
    <x v="1"/>
    <x v="0"/>
    <m/>
  </r>
  <r>
    <s v="P188"/>
    <x v="2"/>
    <s v="2024-06-06"/>
    <x v="3"/>
    <s v="Check out our latest reel on youtube!"/>
    <n v="2728"/>
    <n v="533"/>
    <n v="215"/>
    <n v="40920"/>
    <n v="40816"/>
    <n v="137"/>
    <n v="3613"/>
    <n v="8.4946236559139784E-2"/>
    <x v="2"/>
    <x v="0"/>
    <x v="0"/>
    <s v="ModelYCampaign"/>
  </r>
  <r>
    <s v="P087"/>
    <x v="3"/>
    <s v="2024-06-06"/>
    <x v="4"/>
    <s v="Check out our latest video on twitter!"/>
    <n v="1436"/>
    <n v="765"/>
    <n v="496"/>
    <n v="12924"/>
    <n v="12701"/>
    <n v="197"/>
    <n v="2894"/>
    <n v="0.20868152274837512"/>
    <x v="2"/>
    <x v="0"/>
    <x v="0"/>
    <s v="FSDUpdate"/>
  </r>
  <r>
    <s v="P276"/>
    <x v="3"/>
    <s v="2024-06-07"/>
    <x v="5"/>
    <s v="Check out our latest carousel on twitter!"/>
    <n v="1556"/>
    <n v="195"/>
    <n v="131"/>
    <n v="9336"/>
    <n v="8875"/>
    <n v="137"/>
    <n v="2019"/>
    <n v="0.2015852613538989"/>
    <x v="0"/>
    <x v="0"/>
    <x v="0"/>
    <s v="ModelYCampaign"/>
  </r>
  <r>
    <s v="P049"/>
    <x v="3"/>
    <s v="2024-06-10"/>
    <x v="2"/>
    <s v="Check out our latest story on twitter!"/>
    <n v="2164"/>
    <n v="549"/>
    <n v="274"/>
    <n v="28132"/>
    <n v="27361"/>
    <n v="177"/>
    <n v="3164"/>
    <n v="0.10617801791554102"/>
    <x v="0"/>
    <x v="0"/>
    <x v="0"/>
    <s v="SustainabilityDrive"/>
  </r>
  <r>
    <s v="P098"/>
    <x v="3"/>
    <s v="2024-06-10"/>
    <x v="2"/>
    <s v="Check out our latest story on twitter!"/>
    <n v="1575"/>
    <n v="771"/>
    <n v="486"/>
    <n v="25200"/>
    <n v="24826"/>
    <n v="17"/>
    <n v="2849"/>
    <n v="0.11238095238095239"/>
    <x v="2"/>
    <x v="0"/>
    <x v="0"/>
    <s v="SustainabilityDrive"/>
  </r>
  <r>
    <s v="P103"/>
    <x v="0"/>
    <s v="2024-06-11"/>
    <x v="1"/>
    <s v="Check out our latest image on facebook!"/>
    <n v="3689"/>
    <n v="48"/>
    <n v="306"/>
    <n v="40579"/>
    <n v="39588"/>
    <n v="212"/>
    <n v="4255"/>
    <n v="9.9632815002833983E-2"/>
    <x v="1"/>
    <x v="0"/>
    <x v="0"/>
    <s v="ModelYCampaign"/>
  </r>
  <r>
    <s v="P218"/>
    <x v="0"/>
    <s v="2024-06-11"/>
    <x v="5"/>
    <s v="Check out our latest carousel on facebook!"/>
    <n v="1869"/>
    <n v="453"/>
    <n v="490"/>
    <n v="14952"/>
    <n v="14309"/>
    <n v="275"/>
    <n v="3087"/>
    <n v="0.18806848582129482"/>
    <x v="0"/>
    <x v="0"/>
    <x v="0"/>
    <s v="SustainabilityDrive"/>
  </r>
  <r>
    <s v="P227"/>
    <x v="1"/>
    <s v="2024-06-12"/>
    <x v="0"/>
    <s v="Check out our latest text on instagram!"/>
    <n v="246"/>
    <n v="149"/>
    <n v="130"/>
    <n v="4674"/>
    <n v="4390"/>
    <n v="217"/>
    <n v="742"/>
    <n v="0.11232349165596919"/>
    <x v="2"/>
    <x v="0"/>
    <x v="0"/>
    <s v="FSDUpdate"/>
  </r>
  <r>
    <s v="P080"/>
    <x v="1"/>
    <s v="2024-06-13"/>
    <x v="2"/>
    <s v="Check out our latest story on instagram!"/>
    <n v="2103"/>
    <n v="892"/>
    <n v="103"/>
    <n v="39957"/>
    <n v="39466"/>
    <n v="28"/>
    <n v="3126"/>
    <n v="7.7533348349475686E-2"/>
    <x v="2"/>
    <x v="0"/>
    <x v="0"/>
    <m/>
  </r>
  <r>
    <s v="P051"/>
    <x v="0"/>
    <s v="2024-06-13"/>
    <x v="5"/>
    <s v="Check out our latest carousel on facebook!"/>
    <n v="2200"/>
    <n v="504"/>
    <n v="239"/>
    <n v="37400"/>
    <n v="36938"/>
    <n v="225"/>
    <n v="3168"/>
    <n v="7.8689839572192513E-2"/>
    <x v="2"/>
    <x v="0"/>
    <x v="0"/>
    <s v="ModelYCampaign"/>
  </r>
  <r>
    <s v="P105"/>
    <x v="1"/>
    <s v="2024-06-14"/>
    <x v="5"/>
    <s v="Check out our latest carousel on instagram!"/>
    <n v="498"/>
    <n v="38"/>
    <n v="42"/>
    <n v="4482"/>
    <n v="3647"/>
    <n v="32"/>
    <n v="610"/>
    <n v="0.12896028558679162"/>
    <x v="2"/>
    <x v="0"/>
    <x v="0"/>
    <s v="CybertruckLaunch"/>
  </r>
  <r>
    <s v="P123"/>
    <x v="1"/>
    <s v="2024-06-14"/>
    <x v="2"/>
    <s v="Check out our latest story on instagram!"/>
    <n v="4363"/>
    <n v="649"/>
    <n v="140"/>
    <n v="21815"/>
    <n v="21481"/>
    <n v="157"/>
    <n v="5309"/>
    <n v="0.23616777446710979"/>
    <x v="1"/>
    <x v="0"/>
    <x v="0"/>
    <s v="CybertruckLaunch"/>
  </r>
  <r>
    <s v="P149"/>
    <x v="3"/>
    <s v="2024-06-16"/>
    <x v="4"/>
    <s v="Check out our latest video on twitter!"/>
    <n v="1702"/>
    <n v="750"/>
    <n v="179"/>
    <n v="34040"/>
    <n v="33174"/>
    <n v="76"/>
    <n v="2707"/>
    <n v="7.7291421856639245E-2"/>
    <x v="1"/>
    <x v="0"/>
    <x v="0"/>
    <s v="CybertruckLaunch"/>
  </r>
  <r>
    <s v="P078"/>
    <x v="3"/>
    <s v="2024-06-17"/>
    <x v="1"/>
    <s v="Check out our latest image on twitter!"/>
    <n v="954"/>
    <n v="324"/>
    <n v="288"/>
    <n v="19080"/>
    <n v="18859"/>
    <n v="21"/>
    <n v="1587"/>
    <n v="8.2075471698113203E-2"/>
    <x v="2"/>
    <x v="0"/>
    <x v="0"/>
    <s v="SustainabilityDrive"/>
  </r>
  <r>
    <s v="P055"/>
    <x v="0"/>
    <s v="2024-06-17"/>
    <x v="1"/>
    <s v="Check out our latest image on facebook!"/>
    <n v="1226"/>
    <n v="119"/>
    <n v="7"/>
    <n v="14712"/>
    <n v="14049"/>
    <n v="123"/>
    <n v="1475"/>
    <n v="9.1897770527460579E-2"/>
    <x v="1"/>
    <x v="0"/>
    <x v="0"/>
    <s v="SustainabilityDrive"/>
  </r>
  <r>
    <s v="P294"/>
    <x v="0"/>
    <s v="2024-06-19"/>
    <x v="5"/>
    <s v="Check out our latest carousel on facebook!"/>
    <n v="4731"/>
    <n v="173"/>
    <n v="276"/>
    <n v="28386"/>
    <n v="28185"/>
    <n v="89"/>
    <n v="5269"/>
    <n v="0.18248432325794406"/>
    <x v="1"/>
    <x v="0"/>
    <x v="0"/>
    <s v="FSDUpdate"/>
  </r>
  <r>
    <s v="P176"/>
    <x v="0"/>
    <s v="2024-06-20"/>
    <x v="4"/>
    <s v="Check out our latest video on facebook!"/>
    <n v="3798"/>
    <n v="31"/>
    <n v="279"/>
    <n v="75960"/>
    <n v="75813"/>
    <n v="266"/>
    <n v="4374"/>
    <n v="5.4081095313322801E-2"/>
    <x v="0"/>
    <x v="0"/>
    <x v="0"/>
    <s v="CybertruckLaunch"/>
  </r>
  <r>
    <s v="P225"/>
    <x v="3"/>
    <s v="2024-06-20"/>
    <x v="5"/>
    <s v="Check out our latest carousel on twitter!"/>
    <n v="4672"/>
    <n v="325"/>
    <n v="32"/>
    <n v="88768"/>
    <n v="87833"/>
    <n v="118"/>
    <n v="5147"/>
    <n v="5.6653298485940883E-2"/>
    <x v="1"/>
    <x v="0"/>
    <x v="0"/>
    <m/>
  </r>
  <r>
    <s v="P107"/>
    <x v="2"/>
    <s v="2024-06-21"/>
    <x v="1"/>
    <s v="Check out our latest image on youtube!"/>
    <n v="4832"/>
    <n v="893"/>
    <n v="10"/>
    <n v="91808"/>
    <n v="91296"/>
    <n v="182"/>
    <n v="5917"/>
    <n v="6.2467323109097243E-2"/>
    <x v="0"/>
    <x v="0"/>
    <x v="0"/>
    <m/>
  </r>
  <r>
    <s v="P250"/>
    <x v="0"/>
    <s v="2024-06-22"/>
    <x v="3"/>
    <s v="Check out our latest reel on facebook!"/>
    <n v="3813"/>
    <n v="935"/>
    <n v="274"/>
    <n v="68634"/>
    <n v="68488"/>
    <n v="251"/>
    <n v="5273"/>
    <n v="7.3170731707317069E-2"/>
    <x v="2"/>
    <x v="0"/>
    <x v="0"/>
    <m/>
  </r>
  <r>
    <s v="P059"/>
    <x v="1"/>
    <s v="2024-06-22"/>
    <x v="0"/>
    <s v="Check out our latest text on instagram!"/>
    <n v="2180"/>
    <n v="263"/>
    <n v="387"/>
    <n v="30520"/>
    <n v="30059"/>
    <n v="174"/>
    <n v="3004"/>
    <n v="9.2726081258191345E-2"/>
    <x v="1"/>
    <x v="0"/>
    <x v="0"/>
    <m/>
  </r>
  <r>
    <s v="P174"/>
    <x v="0"/>
    <s v="2024-06-22"/>
    <x v="0"/>
    <s v="Check out our latest text on facebook!"/>
    <n v="3828"/>
    <n v="148"/>
    <n v="253"/>
    <n v="30624"/>
    <n v="30229"/>
    <n v="235"/>
    <n v="4464"/>
    <n v="0.13809430512016718"/>
    <x v="1"/>
    <x v="0"/>
    <x v="0"/>
    <m/>
  </r>
  <r>
    <s v="P019"/>
    <x v="1"/>
    <s v="2024-06-23"/>
    <x v="4"/>
    <s v="Check out our latest video on instagram!"/>
    <n v="1071"/>
    <n v="519"/>
    <n v="22"/>
    <n v="16065"/>
    <n v="15865"/>
    <n v="103"/>
    <n v="1715"/>
    <n v="0.10034235916588857"/>
    <x v="0"/>
    <x v="0"/>
    <x v="0"/>
    <s v="SustainabilityDrive"/>
  </r>
  <r>
    <s v="P007"/>
    <x v="3"/>
    <s v="2024-06-24"/>
    <x v="5"/>
    <s v="Check out our latest carousel on twitter!"/>
    <n v="3860"/>
    <n v="201"/>
    <n v="279"/>
    <n v="61760"/>
    <n v="61660"/>
    <n v="235"/>
    <n v="4575"/>
    <n v="7.0272020725388601E-2"/>
    <x v="0"/>
    <x v="0"/>
    <x v="0"/>
    <s v="ModelYCampaign"/>
  </r>
  <r>
    <s v="P208"/>
    <x v="2"/>
    <s v="2024-06-24"/>
    <x v="4"/>
    <s v="Check out our latest video on youtube!"/>
    <n v="2949"/>
    <n v="476"/>
    <n v="403"/>
    <n v="44235"/>
    <n v="43705"/>
    <n v="135"/>
    <n v="3963"/>
    <n v="8.6537809426924378E-2"/>
    <x v="0"/>
    <x v="0"/>
    <x v="0"/>
    <s v="ModelYCampaign"/>
  </r>
  <r>
    <s v="P206"/>
    <x v="3"/>
    <s v="2024-06-24"/>
    <x v="0"/>
    <s v="Check out our latest text on twitter!"/>
    <n v="941"/>
    <n v="121"/>
    <n v="458"/>
    <n v="14115"/>
    <n v="13838"/>
    <n v="87"/>
    <n v="1607"/>
    <n v="0.10768685795253277"/>
    <x v="1"/>
    <x v="0"/>
    <x v="0"/>
    <s v="CybertruckLaunch"/>
  </r>
  <r>
    <s v="P005"/>
    <x v="2"/>
    <s v="2024-06-26"/>
    <x v="3"/>
    <s v="Check out our latest reel on youtube!"/>
    <n v="3557"/>
    <n v="687"/>
    <n v="424"/>
    <n v="71140"/>
    <n v="70701"/>
    <n v="224"/>
    <n v="4892"/>
    <n v="6.5617093055946027E-2"/>
    <x v="1"/>
    <x v="2"/>
    <x v="0"/>
    <s v="CybertruckLaunch"/>
  </r>
  <r>
    <s v="P228"/>
    <x v="1"/>
    <s v="2024-07-01"/>
    <x v="2"/>
    <s v="Check out our latest story on instagram!"/>
    <n v="4808"/>
    <n v="772"/>
    <n v="320"/>
    <n v="72120"/>
    <n v="71696"/>
    <n v="195"/>
    <n v="6095"/>
    <n v="8.1808097615085965E-2"/>
    <x v="1"/>
    <x v="0"/>
    <x v="0"/>
    <s v="CybertruckLaunch"/>
  </r>
  <r>
    <s v="P099"/>
    <x v="2"/>
    <s v="2024-07-02"/>
    <x v="5"/>
    <s v="Check out our latest carousel on youtube!"/>
    <n v="4171"/>
    <n v="548"/>
    <n v="86"/>
    <n v="66736"/>
    <n v="66634"/>
    <n v="173"/>
    <n v="4978"/>
    <n v="7.2000119875329657E-2"/>
    <x v="2"/>
    <x v="0"/>
    <x v="0"/>
    <s v="FSDUpdate"/>
  </r>
  <r>
    <s v="P229"/>
    <x v="1"/>
    <s v="2024-07-03"/>
    <x v="5"/>
    <s v="Check out our latest carousel on instagram!"/>
    <n v="4799"/>
    <n v="694"/>
    <n v="289"/>
    <n v="43191"/>
    <n v="42228"/>
    <n v="118"/>
    <n v="5900"/>
    <n v="0.13387048227640017"/>
    <x v="0"/>
    <x v="0"/>
    <x v="0"/>
    <m/>
  </r>
  <r>
    <s v="P050"/>
    <x v="2"/>
    <s v="2024-07-03"/>
    <x v="2"/>
    <s v="Check out our latest story on youtube!"/>
    <n v="2754"/>
    <n v="130"/>
    <n v="90"/>
    <n v="22032"/>
    <n v="21288"/>
    <n v="112"/>
    <n v="3086"/>
    <n v="0.13498547567175018"/>
    <x v="0"/>
    <x v="0"/>
    <x v="0"/>
    <s v="FSDUpdate"/>
  </r>
  <r>
    <s v="P088"/>
    <x v="0"/>
    <s v="2024-07-07"/>
    <x v="2"/>
    <s v="Check out our latest story on facebook!"/>
    <n v="302"/>
    <n v="47"/>
    <n v="430"/>
    <n v="5738"/>
    <n v="4890"/>
    <n v="25"/>
    <n v="804"/>
    <n v="0.13576158940397351"/>
    <x v="0"/>
    <x v="0"/>
    <x v="0"/>
    <s v="SustainabilityDrive"/>
  </r>
  <r>
    <s v="P242"/>
    <x v="0"/>
    <s v="2024-07-07"/>
    <x v="3"/>
    <s v="Check out our latest reel on facebook!"/>
    <n v="4767"/>
    <n v="190"/>
    <n v="340"/>
    <n v="28602"/>
    <n v="28044"/>
    <n v="210"/>
    <n v="5507"/>
    <n v="0.18519683938186141"/>
    <x v="1"/>
    <x v="0"/>
    <x v="0"/>
    <s v="FSDUpdate"/>
  </r>
  <r>
    <s v="P177"/>
    <x v="1"/>
    <s v="2024-07-10"/>
    <x v="5"/>
    <s v="Check out our latest carousel on instagram!"/>
    <n v="3099"/>
    <n v="694"/>
    <n v="171"/>
    <n v="43386"/>
    <n v="42921"/>
    <n v="52"/>
    <n v="4016"/>
    <n v="9.1365878393951966E-2"/>
    <x v="0"/>
    <x v="0"/>
    <x v="0"/>
    <s v="FSDUpdate"/>
  </r>
  <r>
    <s v="P136"/>
    <x v="1"/>
    <s v="2024-07-11"/>
    <x v="0"/>
    <s v="Check out our latest text on instagram!"/>
    <n v="3134"/>
    <n v="888"/>
    <n v="444"/>
    <n v="21938"/>
    <n v="21337"/>
    <n v="130"/>
    <n v="4596"/>
    <n v="0.20357370772176134"/>
    <x v="1"/>
    <x v="0"/>
    <x v="0"/>
    <s v="SustainabilityDrive"/>
  </r>
  <r>
    <s v="P008"/>
    <x v="2"/>
    <s v="2024-07-13"/>
    <x v="1"/>
    <s v="Check out our latest image on youtube!"/>
    <n v="3929"/>
    <n v="262"/>
    <n v="278"/>
    <n v="43219"/>
    <n v="42841"/>
    <n v="39"/>
    <n v="4508"/>
    <n v="0.10340359564080613"/>
    <x v="1"/>
    <x v="0"/>
    <x v="0"/>
    <s v="SustainabilityDrive"/>
  </r>
  <r>
    <s v="P179"/>
    <x v="0"/>
    <s v="2024-07-15"/>
    <x v="5"/>
    <s v="Check out our latest carousel on facebook!"/>
    <n v="3796"/>
    <n v="667"/>
    <n v="395"/>
    <n v="64532"/>
    <n v="63550"/>
    <n v="292"/>
    <n v="5150"/>
    <n v="7.5280481001673588E-2"/>
    <x v="0"/>
    <x v="0"/>
    <x v="0"/>
    <m/>
  </r>
  <r>
    <s v="P230"/>
    <x v="0"/>
    <s v="2024-07-15"/>
    <x v="3"/>
    <s v="Check out our latest reel on facebook!"/>
    <n v="3663"/>
    <n v="17"/>
    <n v="295"/>
    <n v="51282"/>
    <n v="50567"/>
    <n v="84"/>
    <n v="4059"/>
    <n v="7.7512577512577507E-2"/>
    <x v="1"/>
    <x v="0"/>
    <x v="0"/>
    <s v="FSDUpdate"/>
  </r>
  <r>
    <s v="P140"/>
    <x v="0"/>
    <s v="2024-07-15"/>
    <x v="1"/>
    <s v="Check out our latest image on facebook!"/>
    <n v="2291"/>
    <n v="78"/>
    <n v="485"/>
    <n v="18328"/>
    <n v="18101"/>
    <n v="10"/>
    <n v="2864"/>
    <n v="0.15571802706241816"/>
    <x v="1"/>
    <x v="3"/>
    <x v="0"/>
    <s v="ModelYCampaign"/>
  </r>
  <r>
    <s v="P238"/>
    <x v="3"/>
    <s v="2024-07-16"/>
    <x v="0"/>
    <s v="Check out our latest text on twitter!"/>
    <n v="4725"/>
    <n v="400"/>
    <n v="362"/>
    <n v="75600"/>
    <n v="74927"/>
    <n v="43"/>
    <n v="5530"/>
    <n v="7.2579365079365077E-2"/>
    <x v="2"/>
    <x v="0"/>
    <x v="0"/>
    <s v="SustainabilityDrive"/>
  </r>
  <r>
    <s v="P249"/>
    <x v="3"/>
    <s v="2024-07-18"/>
    <x v="1"/>
    <s v="Check out our latest image on twitter!"/>
    <n v="827"/>
    <n v="77"/>
    <n v="402"/>
    <n v="14886"/>
    <n v="14129"/>
    <n v="254"/>
    <n v="1560"/>
    <n v="8.7733440816874911E-2"/>
    <x v="1"/>
    <x v="0"/>
    <x v="0"/>
    <s v="ModelYCampaign"/>
  </r>
  <r>
    <s v="P285"/>
    <x v="2"/>
    <s v="2024-07-18"/>
    <x v="0"/>
    <s v="Check out our latest text on youtube!"/>
    <n v="4021"/>
    <n v="794"/>
    <n v="77"/>
    <n v="36189"/>
    <n v="35505"/>
    <n v="174"/>
    <n v="5066"/>
    <n v="0.13517919809886983"/>
    <x v="1"/>
    <x v="0"/>
    <x v="0"/>
    <m/>
  </r>
  <r>
    <s v="P211"/>
    <x v="3"/>
    <s v="2024-07-18"/>
    <x v="5"/>
    <s v="Check out our latest carousel on twitter!"/>
    <n v="2120"/>
    <n v="38"/>
    <n v="212"/>
    <n v="12720"/>
    <n v="12564"/>
    <n v="21"/>
    <n v="2391"/>
    <n v="0.18632075471698112"/>
    <x v="2"/>
    <x v="0"/>
    <x v="0"/>
    <s v="SustainabilityDrive"/>
  </r>
  <r>
    <s v="P012"/>
    <x v="0"/>
    <s v="2024-07-21"/>
    <x v="3"/>
    <s v="Check out our latest reel on facebook!"/>
    <n v="1946"/>
    <n v="686"/>
    <n v="377"/>
    <n v="23352"/>
    <n v="22982"/>
    <n v="213"/>
    <n v="3222"/>
    <n v="0.12885405960945528"/>
    <x v="2"/>
    <x v="0"/>
    <x v="0"/>
    <s v="FSDUpdate"/>
  </r>
  <r>
    <s v="P129"/>
    <x v="3"/>
    <s v="2024-07-21"/>
    <x v="0"/>
    <s v="Check out our latest text on twitter!"/>
    <n v="2147"/>
    <n v="430"/>
    <n v="393"/>
    <n v="17176"/>
    <n v="16483"/>
    <n v="170"/>
    <n v="3140"/>
    <n v="0.17291569632044715"/>
    <x v="0"/>
    <x v="0"/>
    <x v="0"/>
    <m/>
  </r>
  <r>
    <s v="P157"/>
    <x v="2"/>
    <s v="2024-07-23"/>
    <x v="2"/>
    <s v="Check out our latest story on youtube!"/>
    <n v="4775"/>
    <n v="173"/>
    <n v="206"/>
    <n v="47750"/>
    <n v="47544"/>
    <n v="187"/>
    <n v="5341"/>
    <n v="0.10793717277486911"/>
    <x v="2"/>
    <x v="0"/>
    <x v="0"/>
    <s v="ModelYCampaign"/>
  </r>
  <r>
    <s v="P082"/>
    <x v="1"/>
    <s v="2024-07-24"/>
    <x v="1"/>
    <s v="Check out our latest image on instagram!"/>
    <n v="725"/>
    <n v="88"/>
    <n v="428"/>
    <n v="14500"/>
    <n v="13637"/>
    <n v="200"/>
    <n v="1441"/>
    <n v="8.558620689655172E-2"/>
    <x v="2"/>
    <x v="2"/>
    <x v="1"/>
    <s v="FSDUpdate"/>
  </r>
  <r>
    <s v="P151"/>
    <x v="1"/>
    <s v="2024-07-26"/>
    <x v="1"/>
    <s v="Check out our latest image on instagram!"/>
    <n v="3559"/>
    <n v="59"/>
    <n v="289"/>
    <n v="35590"/>
    <n v="35105"/>
    <n v="122"/>
    <n v="4029"/>
    <n v="0.10977802753582468"/>
    <x v="1"/>
    <x v="0"/>
    <x v="0"/>
    <s v="CybertruckLaunch"/>
  </r>
  <r>
    <s v="P066"/>
    <x v="3"/>
    <s v="2024-07-26"/>
    <x v="5"/>
    <s v="Check out our latest carousel on twitter!"/>
    <n v="432"/>
    <n v="171"/>
    <n v="280"/>
    <n v="3024"/>
    <n v="2285"/>
    <n v="184"/>
    <n v="1067"/>
    <n v="0.29199735449735448"/>
    <x v="1"/>
    <x v="0"/>
    <x v="0"/>
    <s v="CybertruckLaunch"/>
  </r>
  <r>
    <s v="P184"/>
    <x v="3"/>
    <s v="2024-07-28"/>
    <x v="1"/>
    <s v="Check out our latest image on twitter!"/>
    <n v="3215"/>
    <n v="960"/>
    <n v="202"/>
    <n v="32150"/>
    <n v="31404"/>
    <n v="251"/>
    <n v="4628"/>
    <n v="0.13614307931570763"/>
    <x v="1"/>
    <x v="0"/>
    <x v="0"/>
    <s v="CybertruckLaunch"/>
  </r>
  <r>
    <s v="P216"/>
    <x v="2"/>
    <s v="2024-07-29"/>
    <x v="2"/>
    <s v="Check out our latest story on youtube!"/>
    <n v="1509"/>
    <n v="88"/>
    <n v="163"/>
    <n v="30180"/>
    <n v="29689"/>
    <n v="119"/>
    <n v="1879"/>
    <n v="5.8316766070245198E-2"/>
    <x v="1"/>
    <x v="0"/>
    <x v="0"/>
    <s v="ModelYCampaign"/>
  </r>
  <r>
    <s v="P110"/>
    <x v="1"/>
    <s v="2024-07-29"/>
    <x v="3"/>
    <s v="Check out our latest reel on instagram!"/>
    <n v="3523"/>
    <n v="753"/>
    <n v="482"/>
    <n v="38753"/>
    <n v="38579"/>
    <n v="270"/>
    <n v="5028"/>
    <n v="0.12277759141227776"/>
    <x v="1"/>
    <x v="0"/>
    <x v="0"/>
    <s v="ModelYCampaign"/>
  </r>
  <r>
    <s v="P121"/>
    <x v="1"/>
    <s v="2024-07-29"/>
    <x v="2"/>
    <s v="Check out our latest story on instagram!"/>
    <n v="498"/>
    <n v="701"/>
    <n v="412"/>
    <n v="4980"/>
    <n v="4185"/>
    <n v="185"/>
    <n v="1796"/>
    <n v="0.32349397590361445"/>
    <x v="2"/>
    <x v="0"/>
    <x v="0"/>
    <m/>
  </r>
  <r>
    <s v="P063"/>
    <x v="3"/>
    <s v="2024-07-31"/>
    <x v="5"/>
    <s v="Check out our latest carousel on twitter!"/>
    <n v="4507"/>
    <n v="217"/>
    <n v="13"/>
    <n v="90140"/>
    <n v="89591"/>
    <n v="125"/>
    <n v="4862"/>
    <n v="5.2551586421122697E-2"/>
    <x v="2"/>
    <x v="0"/>
    <x v="0"/>
    <s v="FSDUpdate"/>
  </r>
  <r>
    <s v="P182"/>
    <x v="0"/>
    <s v="2024-07-31"/>
    <x v="1"/>
    <s v="Check out our latest image on facebook!"/>
    <n v="4689"/>
    <n v="134"/>
    <n v="403"/>
    <n v="51579"/>
    <n v="50924"/>
    <n v="173"/>
    <n v="5399"/>
    <n v="0.10132030477519921"/>
    <x v="0"/>
    <x v="0"/>
    <x v="0"/>
    <s v="SustainabilityDrive"/>
  </r>
  <r>
    <s v="P032"/>
    <x v="3"/>
    <s v="2024-07-31"/>
    <x v="5"/>
    <s v="Check out our latest carousel on twitter!"/>
    <n v="2278"/>
    <n v="10"/>
    <n v="321"/>
    <n v="13668"/>
    <n v="12676"/>
    <n v="275"/>
    <n v="2884"/>
    <n v="0.19088381621305239"/>
    <x v="1"/>
    <x v="0"/>
    <x v="0"/>
    <s v="CybertruckLaunch"/>
  </r>
  <r>
    <s v="P137"/>
    <x v="0"/>
    <s v="2024-07-31"/>
    <x v="4"/>
    <s v="Check out our latest video on facebook!"/>
    <n v="3008"/>
    <n v="94"/>
    <n v="37"/>
    <n v="15040"/>
    <n v="14639"/>
    <n v="277"/>
    <n v="3416"/>
    <n v="0.20871010638297871"/>
    <x v="2"/>
    <x v="0"/>
    <x v="0"/>
    <m/>
  </r>
  <r>
    <s v="P075"/>
    <x v="1"/>
    <s v="2024-08-01"/>
    <x v="3"/>
    <s v="Check out our latest reel on instagram!"/>
    <n v="1674"/>
    <n v="929"/>
    <n v="37"/>
    <n v="21762"/>
    <n v="20998"/>
    <n v="255"/>
    <n v="2895"/>
    <n v="0.12131237937689551"/>
    <x v="0"/>
    <x v="0"/>
    <x v="0"/>
    <s v="SustainabilityDrive"/>
  </r>
  <r>
    <s v="P253"/>
    <x v="3"/>
    <s v="2024-08-03"/>
    <x v="3"/>
    <s v="Check out our latest reel on twitter!"/>
    <n v="3791"/>
    <n v="593"/>
    <n v="228"/>
    <n v="53074"/>
    <n v="52613"/>
    <n v="205"/>
    <n v="4817"/>
    <n v="8.6897539284772202E-2"/>
    <x v="1"/>
    <x v="0"/>
    <x v="0"/>
    <m/>
  </r>
  <r>
    <s v="P275"/>
    <x v="0"/>
    <s v="2024-08-05"/>
    <x v="3"/>
    <s v="Check out our latest reel on facebook!"/>
    <n v="1741"/>
    <n v="831"/>
    <n v="345"/>
    <n v="17410"/>
    <n v="16844"/>
    <n v="58"/>
    <n v="2975"/>
    <n v="0.16754738655944859"/>
    <x v="1"/>
    <x v="0"/>
    <x v="0"/>
    <s v="FSDUpdate"/>
  </r>
  <r>
    <s v="P258"/>
    <x v="1"/>
    <s v="2024-08-05"/>
    <x v="2"/>
    <s v="Check out our latest story on instagram!"/>
    <n v="3601"/>
    <n v="695"/>
    <n v="75"/>
    <n v="21606"/>
    <n v="21454"/>
    <n v="172"/>
    <n v="4543"/>
    <n v="0.2023049153013052"/>
    <x v="1"/>
    <x v="0"/>
    <x v="0"/>
    <s v="ModelYCampaign"/>
  </r>
  <r>
    <s v="P226"/>
    <x v="1"/>
    <s v="2024-08-07"/>
    <x v="5"/>
    <s v="Check out our latest carousel on instagram!"/>
    <n v="1741"/>
    <n v="164"/>
    <n v="318"/>
    <n v="8705"/>
    <n v="8272"/>
    <n v="121"/>
    <n v="2344"/>
    <n v="0.25537047673750718"/>
    <x v="0"/>
    <x v="0"/>
    <x v="0"/>
    <m/>
  </r>
  <r>
    <s v="P109"/>
    <x v="3"/>
    <s v="2024-08-08"/>
    <x v="2"/>
    <s v="Check out our latest story on twitter!"/>
    <n v="3649"/>
    <n v="215"/>
    <n v="413"/>
    <n v="25543"/>
    <n v="24963"/>
    <n v="167"/>
    <n v="4444"/>
    <n v="0.16744313510550835"/>
    <x v="2"/>
    <x v="0"/>
    <x v="0"/>
    <s v="FSDUpdate"/>
  </r>
  <r>
    <s v="P158"/>
    <x v="1"/>
    <s v="2024-08-11"/>
    <x v="2"/>
    <s v="Check out our latest story on instagram!"/>
    <n v="1762"/>
    <n v="405"/>
    <n v="423"/>
    <n v="22906"/>
    <n v="21925"/>
    <n v="25"/>
    <n v="2615"/>
    <n v="0.11307081114118571"/>
    <x v="0"/>
    <x v="0"/>
    <x v="0"/>
    <s v="CybertruckLaunch"/>
  </r>
  <r>
    <s v="P145"/>
    <x v="1"/>
    <s v="2024-08-12"/>
    <x v="5"/>
    <s v="Check out our latest carousel on instagram!"/>
    <n v="1878"/>
    <n v="62"/>
    <n v="179"/>
    <n v="37560"/>
    <n v="36874"/>
    <n v="142"/>
    <n v="2261"/>
    <n v="5.6416400425985093E-2"/>
    <x v="0"/>
    <x v="0"/>
    <x v="0"/>
    <s v="SustainabilityDrive"/>
  </r>
  <r>
    <s v="P004"/>
    <x v="1"/>
    <s v="2024-08-12"/>
    <x v="2"/>
    <s v="Check out our latest story on instagram!"/>
    <n v="2404"/>
    <n v="363"/>
    <n v="138"/>
    <n v="19232"/>
    <n v="18636"/>
    <n v="128"/>
    <n v="3033"/>
    <n v="0.15105033277870217"/>
    <x v="1"/>
    <x v="0"/>
    <x v="0"/>
    <s v="SustainabilityDrive"/>
  </r>
  <r>
    <s v="P097"/>
    <x v="1"/>
    <s v="2024-08-13"/>
    <x v="1"/>
    <s v="Check out our latest image on instagram!"/>
    <n v="4739"/>
    <n v="527"/>
    <n v="135"/>
    <n v="61607"/>
    <n v="61333"/>
    <n v="36"/>
    <n v="5437"/>
    <n v="8.7668609086629767E-2"/>
    <x v="0"/>
    <x v="1"/>
    <x v="0"/>
    <s v="ModelYCampaign"/>
  </r>
  <r>
    <s v="P172"/>
    <x v="0"/>
    <s v="2024-08-14"/>
    <x v="5"/>
    <s v="Check out our latest carousel on facebook!"/>
    <n v="3073"/>
    <n v="553"/>
    <n v="174"/>
    <n v="52241"/>
    <n v="51605"/>
    <n v="246"/>
    <n v="4046"/>
    <n v="7.2739802071170159E-2"/>
    <x v="1"/>
    <x v="0"/>
    <x v="0"/>
    <s v="FSDUpdate"/>
  </r>
  <r>
    <s v="P195"/>
    <x v="1"/>
    <s v="2024-08-15"/>
    <x v="5"/>
    <s v="Check out our latest carousel on instagram!"/>
    <n v="914"/>
    <n v="464"/>
    <n v="246"/>
    <n v="11882"/>
    <n v="11500"/>
    <n v="282"/>
    <n v="1906"/>
    <n v="0.13667732704931829"/>
    <x v="2"/>
    <x v="2"/>
    <x v="1"/>
    <s v="SustainabilityDrive"/>
  </r>
  <r>
    <s v="P287"/>
    <x v="1"/>
    <s v="2024-08-15"/>
    <x v="3"/>
    <s v="Check out our latest reel on instagram!"/>
    <n v="1164"/>
    <n v="616"/>
    <n v="324"/>
    <n v="6984"/>
    <n v="6636"/>
    <n v="82"/>
    <n v="2186"/>
    <n v="0.30126002290950743"/>
    <x v="1"/>
    <x v="0"/>
    <x v="0"/>
    <s v="CybertruckLaunch"/>
  </r>
  <r>
    <s v="P064"/>
    <x v="0"/>
    <s v="2024-08-17"/>
    <x v="1"/>
    <s v="Check out our latest image on facebook!"/>
    <n v="2878"/>
    <n v="248"/>
    <n v="416"/>
    <n v="43170"/>
    <n v="42667"/>
    <n v="75"/>
    <n v="3617"/>
    <n v="8.2047718322909427E-2"/>
    <x v="2"/>
    <x v="0"/>
    <x v="0"/>
    <s v="FSDUpdate"/>
  </r>
  <r>
    <s v="P018"/>
    <x v="1"/>
    <s v="2024-08-19"/>
    <x v="3"/>
    <s v="Check out our latest reel on instagram!"/>
    <n v="3000"/>
    <n v="382"/>
    <n v="325"/>
    <n v="36000"/>
    <n v="35819"/>
    <n v="19"/>
    <n v="3726"/>
    <n v="0.10297222222222223"/>
    <x v="2"/>
    <x v="0"/>
    <x v="0"/>
    <s v="CybertruckLaunch"/>
  </r>
  <r>
    <s v="P236"/>
    <x v="0"/>
    <s v="2024-08-19"/>
    <x v="0"/>
    <s v="Check out our latest text on facebook!"/>
    <n v="1257"/>
    <n v="19"/>
    <n v="351"/>
    <n v="12570"/>
    <n v="11660"/>
    <n v="194"/>
    <n v="1821"/>
    <n v="0.12943516308671441"/>
    <x v="2"/>
    <x v="1"/>
    <x v="2"/>
    <s v="ModelYCampaign"/>
  </r>
  <r>
    <s v="P263"/>
    <x v="1"/>
    <s v="2024-08-20"/>
    <x v="3"/>
    <s v="Check out our latest reel on instagram!"/>
    <n v="2603"/>
    <n v="690"/>
    <n v="205"/>
    <n v="13015"/>
    <n v="12130"/>
    <n v="20"/>
    <n v="3518"/>
    <n v="0.26876680752977333"/>
    <x v="2"/>
    <x v="0"/>
    <x v="0"/>
    <s v="ModelYCampaign"/>
  </r>
  <r>
    <s v="P033"/>
    <x v="0"/>
    <s v="2024-08-21"/>
    <x v="1"/>
    <s v="Check out our latest image on facebook!"/>
    <n v="1407"/>
    <n v="400"/>
    <n v="351"/>
    <n v="16884"/>
    <n v="15954"/>
    <n v="113"/>
    <n v="2271"/>
    <n v="0.12781331438047855"/>
    <x v="0"/>
    <x v="0"/>
    <x v="0"/>
    <s v="CybertruckLaunch"/>
  </r>
  <r>
    <s v="P150"/>
    <x v="2"/>
    <s v="2024-08-22"/>
    <x v="5"/>
    <s v="Check out our latest carousel on youtube!"/>
    <n v="4295"/>
    <n v="853"/>
    <n v="325"/>
    <n v="85900"/>
    <n v="85788"/>
    <n v="290"/>
    <n v="5763"/>
    <n v="6.3713620488940623E-2"/>
    <x v="0"/>
    <x v="0"/>
    <x v="0"/>
    <s v="SustainabilityDrive"/>
  </r>
  <r>
    <s v="P186"/>
    <x v="0"/>
    <s v="2024-08-24"/>
    <x v="5"/>
    <s v="Check out our latest carousel on facebook!"/>
    <n v="4292"/>
    <n v="51"/>
    <n v="392"/>
    <n v="55796"/>
    <n v="54826"/>
    <n v="264"/>
    <n v="4999"/>
    <n v="8.4862714173059003E-2"/>
    <x v="1"/>
    <x v="0"/>
    <x v="0"/>
    <s v="FSDUpdate"/>
  </r>
  <r>
    <s v="P160"/>
    <x v="3"/>
    <s v="2024-08-24"/>
    <x v="4"/>
    <s v="Check out our latest video on twitter!"/>
    <n v="1082"/>
    <n v="209"/>
    <n v="484"/>
    <n v="19476"/>
    <n v="18654"/>
    <n v="20"/>
    <n v="1795"/>
    <n v="9.1137810638734856E-2"/>
    <x v="0"/>
    <x v="0"/>
    <x v="0"/>
    <m/>
  </r>
  <r>
    <s v="P016"/>
    <x v="0"/>
    <s v="2024-08-26"/>
    <x v="0"/>
    <s v="Check out our latest text on facebook!"/>
    <n v="3452"/>
    <n v="377"/>
    <n v="360"/>
    <n v="55232"/>
    <n v="55075"/>
    <n v="87"/>
    <n v="4276"/>
    <n v="7.5843713789107758E-2"/>
    <x v="2"/>
    <x v="0"/>
    <x v="0"/>
    <s v="FSDUpdate"/>
  </r>
  <r>
    <s v="P240"/>
    <x v="3"/>
    <s v="2024-08-26"/>
    <x v="5"/>
    <s v="Check out our latest carousel on twitter!"/>
    <n v="929"/>
    <n v="192"/>
    <n v="322"/>
    <n v="16722"/>
    <n v="15996"/>
    <n v="145"/>
    <n v="1588"/>
    <n v="8.6293505561535699E-2"/>
    <x v="1"/>
    <x v="2"/>
    <x v="1"/>
    <s v="FSDUpdate"/>
  </r>
  <r>
    <s v="P299"/>
    <x v="0"/>
    <s v="2024-08-26"/>
    <x v="1"/>
    <s v="Check out our latest image on facebook!"/>
    <n v="2581"/>
    <n v="517"/>
    <n v="117"/>
    <n v="23229"/>
    <n v="22331"/>
    <n v="70"/>
    <n v="3285"/>
    <n v="0.13840458048129492"/>
    <x v="2"/>
    <x v="0"/>
    <x v="0"/>
    <s v="FSDUpdate"/>
  </r>
  <r>
    <s v="P247"/>
    <x v="0"/>
    <s v="2024-08-27"/>
    <x v="3"/>
    <s v="Check out our latest reel on facebook!"/>
    <n v="3960"/>
    <n v="266"/>
    <n v="8"/>
    <n v="35640"/>
    <n v="34850"/>
    <n v="208"/>
    <n v="4442"/>
    <n v="0.11879910213243547"/>
    <x v="2"/>
    <x v="4"/>
    <x v="3"/>
    <m/>
  </r>
  <r>
    <s v="P009"/>
    <x v="0"/>
    <s v="2024-08-30"/>
    <x v="0"/>
    <s v="Check out our latest text on facebook!"/>
    <n v="3784"/>
    <n v="808"/>
    <n v="404"/>
    <n v="56760"/>
    <n v="56343"/>
    <n v="131"/>
    <n v="5127"/>
    <n v="8.8019732205778717E-2"/>
    <x v="0"/>
    <x v="0"/>
    <x v="0"/>
    <s v="ModelYCampaign"/>
  </r>
  <r>
    <s v="P300"/>
    <x v="3"/>
    <s v="2024-08-31"/>
    <x v="5"/>
    <s v="Check out our latest carousel on twitter!"/>
    <n v="4494"/>
    <n v="717"/>
    <n v="45"/>
    <n v="62916"/>
    <n v="62688"/>
    <n v="191"/>
    <n v="5447"/>
    <n v="8.3539958039290485E-2"/>
    <x v="0"/>
    <x v="4"/>
    <x v="3"/>
    <s v="CybertruckLaunch"/>
  </r>
  <r>
    <s v="P141"/>
    <x v="3"/>
    <s v="2024-08-31"/>
    <x v="1"/>
    <s v="Check out our latest image on twitter!"/>
    <n v="3170"/>
    <n v="857"/>
    <n v="379"/>
    <n v="19020"/>
    <n v="18559"/>
    <n v="240"/>
    <n v="4646"/>
    <n v="0.2316508937960042"/>
    <x v="2"/>
    <x v="0"/>
    <x v="0"/>
    <m/>
  </r>
  <r>
    <s v="P279"/>
    <x v="2"/>
    <s v="2024-09-02"/>
    <x v="1"/>
    <s v="Check out our latest image on youtube!"/>
    <n v="4905"/>
    <n v="845"/>
    <n v="129"/>
    <n v="98100"/>
    <n v="97772"/>
    <n v="279"/>
    <n v="6158"/>
    <n v="5.9928644240570844E-2"/>
    <x v="0"/>
    <x v="0"/>
    <x v="0"/>
    <s v="ModelYCampaign"/>
  </r>
  <r>
    <s v="P071"/>
    <x v="2"/>
    <s v="2024-09-02"/>
    <x v="5"/>
    <s v="Check out our latest carousel on youtube!"/>
    <n v="2551"/>
    <n v="915"/>
    <n v="205"/>
    <n v="30612"/>
    <n v="30360"/>
    <n v="227"/>
    <n v="3898"/>
    <n v="0.1199202926956749"/>
    <x v="0"/>
    <x v="0"/>
    <x v="0"/>
    <s v="ModelYCampaign"/>
  </r>
  <r>
    <s v="P061"/>
    <x v="3"/>
    <s v="2024-09-05"/>
    <x v="4"/>
    <s v="Check out our latest video on twitter!"/>
    <n v="4886"/>
    <n v="983"/>
    <n v="409"/>
    <n v="43974"/>
    <n v="43239"/>
    <n v="65"/>
    <n v="6343"/>
    <n v="0.14276618001546368"/>
    <x v="0"/>
    <x v="0"/>
    <x v="0"/>
    <s v="CybertruckLaunch"/>
  </r>
  <r>
    <s v="P125"/>
    <x v="3"/>
    <s v="2024-09-08"/>
    <x v="5"/>
    <s v="Check out our latest carousel on twitter!"/>
    <n v="3811"/>
    <n v="866"/>
    <n v="216"/>
    <n v="34299"/>
    <n v="34088"/>
    <n v="233"/>
    <n v="5126"/>
    <n v="0.14265722032712325"/>
    <x v="0"/>
    <x v="0"/>
    <x v="0"/>
    <s v="SustainabilityDrive"/>
  </r>
  <r>
    <s v="P020"/>
    <x v="1"/>
    <s v="2024-09-09"/>
    <x v="5"/>
    <s v="Check out our latest carousel on instagram!"/>
    <n v="4054"/>
    <n v="488"/>
    <n v="373"/>
    <n v="77026"/>
    <n v="76881"/>
    <n v="25"/>
    <n v="4940"/>
    <n v="6.3809622724794221E-2"/>
    <x v="0"/>
    <x v="0"/>
    <x v="0"/>
    <s v="CybertruckLaunch"/>
  </r>
  <r>
    <s v="P096"/>
    <x v="3"/>
    <s v="2024-09-10"/>
    <x v="1"/>
    <s v="Check out our latest image on twitter!"/>
    <n v="1238"/>
    <n v="366"/>
    <n v="444"/>
    <n v="19808"/>
    <n v="19334"/>
    <n v="123"/>
    <n v="2171"/>
    <n v="0.10339256865912763"/>
    <x v="2"/>
    <x v="0"/>
    <x v="0"/>
    <m/>
  </r>
  <r>
    <s v="P193"/>
    <x v="3"/>
    <s v="2024-09-11"/>
    <x v="1"/>
    <s v="Check out our latest image on twitter!"/>
    <n v="4858"/>
    <n v="317"/>
    <n v="129"/>
    <n v="53438"/>
    <n v="52687"/>
    <n v="223"/>
    <n v="5527"/>
    <n v="9.9255211647142488E-2"/>
    <x v="1"/>
    <x v="0"/>
    <x v="0"/>
    <s v="FSDUpdate"/>
  </r>
  <r>
    <s v="P198"/>
    <x v="3"/>
    <s v="2024-09-14"/>
    <x v="1"/>
    <s v="Check out our latest image on twitter!"/>
    <n v="1048"/>
    <n v="374"/>
    <n v="450"/>
    <n v="9432"/>
    <n v="8882"/>
    <n v="158"/>
    <n v="2030"/>
    <n v="0.19847328244274809"/>
    <x v="0"/>
    <x v="0"/>
    <x v="0"/>
    <s v="FSDUpdate"/>
  </r>
  <r>
    <s v="P027"/>
    <x v="2"/>
    <s v="2024-09-17"/>
    <x v="0"/>
    <s v="Check out our latest text on youtube!"/>
    <n v="2076"/>
    <n v="195"/>
    <n v="104"/>
    <n v="33216"/>
    <n v="32244"/>
    <n v="51"/>
    <n v="2426"/>
    <n v="7.1501685934489398E-2"/>
    <x v="2"/>
    <x v="0"/>
    <x v="0"/>
    <s v="SustainabilityDrive"/>
  </r>
  <r>
    <s v="P284"/>
    <x v="3"/>
    <s v="2024-09-17"/>
    <x v="0"/>
    <s v="Check out our latest text on twitter!"/>
    <n v="571"/>
    <n v="190"/>
    <n v="352"/>
    <n v="9707"/>
    <n v="9418"/>
    <n v="231"/>
    <n v="1344"/>
    <n v="0.11465952405480581"/>
    <x v="0"/>
    <x v="0"/>
    <x v="0"/>
    <s v="SustainabilityDrive"/>
  </r>
  <r>
    <s v="P256"/>
    <x v="2"/>
    <s v="2024-09-18"/>
    <x v="5"/>
    <s v="Check out our latest carousel on youtube!"/>
    <n v="2143"/>
    <n v="12"/>
    <n v="204"/>
    <n v="40717"/>
    <n v="40125"/>
    <n v="248"/>
    <n v="2607"/>
    <n v="5.7936488444630008E-2"/>
    <x v="1"/>
    <x v="0"/>
    <x v="0"/>
    <s v="ModelYCampaign"/>
  </r>
  <r>
    <s v="P102"/>
    <x v="3"/>
    <s v="2024-09-18"/>
    <x v="3"/>
    <s v="Check out our latest reel on twitter!"/>
    <n v="1000"/>
    <n v="978"/>
    <n v="162"/>
    <n v="6000"/>
    <n v="5221"/>
    <n v="223"/>
    <n v="2363"/>
    <n v="0.35666666666666669"/>
    <x v="1"/>
    <x v="0"/>
    <x v="0"/>
    <s v="ModelYCampaign"/>
  </r>
  <r>
    <s v="P286"/>
    <x v="2"/>
    <s v="2024-09-25"/>
    <x v="4"/>
    <s v="Check out our latest video on youtube!"/>
    <n v="3389"/>
    <n v="344"/>
    <n v="229"/>
    <n v="20334"/>
    <n v="19443"/>
    <n v="228"/>
    <n v="4190"/>
    <n v="0.19484607062063539"/>
    <x v="2"/>
    <x v="0"/>
    <x v="0"/>
    <s v="FSDUpdate"/>
  </r>
  <r>
    <s v="P130"/>
    <x v="2"/>
    <s v="2024-09-29"/>
    <x v="3"/>
    <s v="Check out our latest reel on youtube!"/>
    <n v="2936"/>
    <n v="439"/>
    <n v="44"/>
    <n v="38168"/>
    <n v="37571"/>
    <n v="22"/>
    <n v="3441"/>
    <n v="8.9577656675749323E-2"/>
    <x v="1"/>
    <x v="0"/>
    <x v="0"/>
    <s v="SustainabilityDrive"/>
  </r>
  <r>
    <s v="P122"/>
    <x v="1"/>
    <s v="2024-10-02"/>
    <x v="0"/>
    <s v="Check out our latest text on instagram!"/>
    <n v="3432"/>
    <n v="869"/>
    <n v="123"/>
    <n v="54912"/>
    <n v="53916"/>
    <n v="264"/>
    <n v="4688"/>
    <n v="8.0565268065268064E-2"/>
    <x v="1"/>
    <x v="0"/>
    <x v="0"/>
    <s v="ModelYCampaign"/>
  </r>
  <r>
    <s v="P194"/>
    <x v="2"/>
    <s v="2024-10-02"/>
    <x v="2"/>
    <s v="Check out our latest story on youtube!"/>
    <n v="4350"/>
    <n v="771"/>
    <n v="7"/>
    <n v="60900"/>
    <n v="60592"/>
    <n v="195"/>
    <n v="5323"/>
    <n v="8.4203612479474554E-2"/>
    <x v="1"/>
    <x v="0"/>
    <x v="0"/>
    <s v="CybertruckLaunch"/>
  </r>
  <r>
    <s v="P113"/>
    <x v="3"/>
    <s v="2024-10-02"/>
    <x v="5"/>
    <s v="Check out our latest carousel on twitter!"/>
    <n v="4419"/>
    <n v="236"/>
    <n v="369"/>
    <n v="44190"/>
    <n v="43582"/>
    <n v="10"/>
    <n v="5034"/>
    <n v="0.11369088028965829"/>
    <x v="1"/>
    <x v="0"/>
    <x v="0"/>
    <s v="CybertruckLaunch"/>
  </r>
  <r>
    <s v="P143"/>
    <x v="2"/>
    <s v="2024-10-02"/>
    <x v="5"/>
    <s v="Check out our latest carousel on youtube!"/>
    <n v="80"/>
    <n v="362"/>
    <n v="80"/>
    <n v="1040"/>
    <n v="349"/>
    <n v="117"/>
    <n v="639"/>
    <n v="0.50192307692307692"/>
    <x v="0"/>
    <x v="0"/>
    <x v="0"/>
    <s v="FSDUpdate"/>
  </r>
  <r>
    <s v="P282"/>
    <x v="1"/>
    <s v="2024-10-03"/>
    <x v="4"/>
    <s v="Check out our latest video on instagram!"/>
    <n v="1488"/>
    <n v="417"/>
    <n v="168"/>
    <n v="19344"/>
    <n v="18395"/>
    <n v="30"/>
    <n v="2103"/>
    <n v="0.1071650124069479"/>
    <x v="2"/>
    <x v="0"/>
    <x v="0"/>
    <s v="FSDUpdate"/>
  </r>
  <r>
    <s v="P190"/>
    <x v="2"/>
    <s v="2024-10-04"/>
    <x v="0"/>
    <s v="Check out our latest text on youtube!"/>
    <n v="1963"/>
    <n v="213"/>
    <n v="19"/>
    <n v="39260"/>
    <n v="38771"/>
    <n v="145"/>
    <n v="2340"/>
    <n v="5.5909322465613857E-2"/>
    <x v="2"/>
    <x v="0"/>
    <x v="0"/>
    <m/>
  </r>
  <r>
    <s v="P267"/>
    <x v="3"/>
    <s v="2024-10-04"/>
    <x v="3"/>
    <s v="Check out our latest reel on twitter!"/>
    <n v="4187"/>
    <n v="66"/>
    <n v="31"/>
    <n v="66992"/>
    <n v="66614"/>
    <n v="62"/>
    <n v="4346"/>
    <n v="6.3947934081681396E-2"/>
    <x v="2"/>
    <x v="0"/>
    <x v="0"/>
    <m/>
  </r>
  <r>
    <s v="P112"/>
    <x v="3"/>
    <s v="2024-10-05"/>
    <x v="2"/>
    <s v="Check out our latest story on twitter!"/>
    <n v="1957"/>
    <n v="877"/>
    <n v="238"/>
    <n v="17613"/>
    <n v="16865"/>
    <n v="297"/>
    <n v="3369"/>
    <n v="0.17441662408448305"/>
    <x v="2"/>
    <x v="0"/>
    <x v="0"/>
    <s v="FSDUpdate"/>
  </r>
  <r>
    <s v="P222"/>
    <x v="0"/>
    <s v="2024-10-08"/>
    <x v="3"/>
    <s v="Check out our latest reel on facebook!"/>
    <n v="1814"/>
    <n v="653"/>
    <n v="363"/>
    <n v="25396"/>
    <n v="25286"/>
    <n v="39"/>
    <n v="2869"/>
    <n v="0.11143487163332809"/>
    <x v="2"/>
    <x v="3"/>
    <x v="0"/>
    <s v="CybertruckLaunch"/>
  </r>
  <r>
    <s v="P079"/>
    <x v="1"/>
    <s v="2024-10-09"/>
    <x v="5"/>
    <s v="Check out our latest carousel on instagram!"/>
    <n v="3068"/>
    <n v="137"/>
    <n v="329"/>
    <n v="39884"/>
    <n v="39404"/>
    <n v="266"/>
    <n v="3800"/>
    <n v="8.860696018453515E-2"/>
    <x v="1"/>
    <x v="0"/>
    <x v="0"/>
    <s v="ModelYCampaign"/>
  </r>
  <r>
    <s v="P154"/>
    <x v="1"/>
    <s v="2024-10-09"/>
    <x v="5"/>
    <s v="Check out our latest carousel on instagram!"/>
    <n v="985"/>
    <n v="932"/>
    <n v="287"/>
    <n v="6895"/>
    <n v="6757"/>
    <n v="64"/>
    <n v="2268"/>
    <n v="0.31965192168237855"/>
    <x v="2"/>
    <x v="0"/>
    <x v="0"/>
    <s v="SustainabilityDrive"/>
  </r>
  <r>
    <s v="P246"/>
    <x v="0"/>
    <s v="2024-10-11"/>
    <x v="1"/>
    <s v="Check out our latest image on facebook!"/>
    <n v="400"/>
    <n v="680"/>
    <n v="434"/>
    <n v="6400"/>
    <n v="5472"/>
    <n v="160"/>
    <n v="1674"/>
    <n v="0.23656250000000001"/>
    <x v="2"/>
    <x v="0"/>
    <x v="0"/>
    <s v="ModelYCampaign"/>
  </r>
  <r>
    <s v="P273"/>
    <x v="2"/>
    <s v="2024-10-12"/>
    <x v="2"/>
    <s v="Check out our latest story on youtube!"/>
    <n v="3641"/>
    <n v="226"/>
    <n v="46"/>
    <n v="40051"/>
    <n v="39319"/>
    <n v="296"/>
    <n v="4209"/>
    <n v="9.7700431949264685E-2"/>
    <x v="1"/>
    <x v="0"/>
    <x v="0"/>
    <s v="SustainabilityDrive"/>
  </r>
  <r>
    <s v="P083"/>
    <x v="2"/>
    <s v="2024-10-15"/>
    <x v="4"/>
    <s v="Check out our latest video on youtube!"/>
    <n v="1094"/>
    <n v="472"/>
    <n v="21"/>
    <n v="9846"/>
    <n v="9609"/>
    <n v="112"/>
    <n v="1699"/>
    <n v="0.16118220597196831"/>
    <x v="1"/>
    <x v="0"/>
    <x v="0"/>
    <m/>
  </r>
  <r>
    <s v="P271"/>
    <x v="1"/>
    <s v="2024-10-17"/>
    <x v="4"/>
    <s v="Check out our latest video on instagram!"/>
    <n v="3575"/>
    <n v="749"/>
    <n v="111"/>
    <n v="21450"/>
    <n v="20785"/>
    <n v="195"/>
    <n v="4630"/>
    <n v="0.20675990675990677"/>
    <x v="1"/>
    <x v="0"/>
    <x v="0"/>
    <s v="ModelYCampaign"/>
  </r>
  <r>
    <s v="P073"/>
    <x v="0"/>
    <s v="2024-10-18"/>
    <x v="2"/>
    <s v="Check out our latest story on facebook!"/>
    <n v="4126"/>
    <n v="426"/>
    <n v="486"/>
    <n v="78394"/>
    <n v="77798"/>
    <n v="88"/>
    <n v="5126"/>
    <n v="6.4265122330790625E-2"/>
    <x v="2"/>
    <x v="0"/>
    <x v="0"/>
    <s v="SustainabilityDrive"/>
  </r>
  <r>
    <s v="P101"/>
    <x v="2"/>
    <s v="2024-10-18"/>
    <x v="4"/>
    <s v="Check out our latest video on youtube!"/>
    <n v="4450"/>
    <n v="983"/>
    <n v="143"/>
    <n v="75650"/>
    <n v="75008"/>
    <n v="12"/>
    <n v="5588"/>
    <n v="7.3707865168539333E-2"/>
    <x v="2"/>
    <x v="0"/>
    <x v="0"/>
    <s v="FSDUpdate"/>
  </r>
  <r>
    <s v="P081"/>
    <x v="1"/>
    <s v="2024-10-19"/>
    <x v="2"/>
    <s v="Check out our latest story on instagram!"/>
    <n v="1816"/>
    <n v="29"/>
    <n v="41"/>
    <n v="19976"/>
    <n v="19262"/>
    <n v="283"/>
    <n v="2169"/>
    <n v="9.4413295955146179E-2"/>
    <x v="0"/>
    <x v="0"/>
    <x v="0"/>
    <s v="FSDUpdate"/>
  </r>
  <r>
    <s v="P057"/>
    <x v="3"/>
    <s v="2024-10-21"/>
    <x v="4"/>
    <s v="Check out our latest video on twitter!"/>
    <n v="2825"/>
    <n v="535"/>
    <n v="295"/>
    <n v="45200"/>
    <n v="44739"/>
    <n v="169"/>
    <n v="3824"/>
    <n v="8.0862831858407078E-2"/>
    <x v="0"/>
    <x v="0"/>
    <x v="0"/>
    <s v="CybertruckLaunch"/>
  </r>
  <r>
    <s v="P280"/>
    <x v="2"/>
    <s v="2024-10-21"/>
    <x v="4"/>
    <s v="Check out our latest video on youtube!"/>
    <n v="4275"/>
    <n v="680"/>
    <n v="385"/>
    <n v="64125"/>
    <n v="63650"/>
    <n v="104"/>
    <n v="5444"/>
    <n v="8.3274853801169585E-2"/>
    <x v="1"/>
    <x v="2"/>
    <x v="1"/>
    <s v="SustainabilityDrive"/>
  </r>
  <r>
    <s v="P131"/>
    <x v="1"/>
    <s v="2024-10-21"/>
    <x v="3"/>
    <s v="Check out our latest reel on instagram!"/>
    <n v="4840"/>
    <n v="658"/>
    <n v="211"/>
    <n v="43560"/>
    <n v="43225"/>
    <n v="57"/>
    <n v="5766"/>
    <n v="0.13106060606060607"/>
    <x v="2"/>
    <x v="0"/>
    <x v="0"/>
    <s v="FSDUpdate"/>
  </r>
  <r>
    <s v="P092"/>
    <x v="3"/>
    <s v="2024-10-21"/>
    <x v="2"/>
    <s v="Check out our latest story on twitter!"/>
    <n v="3801"/>
    <n v="967"/>
    <n v="401"/>
    <n v="38010"/>
    <n v="37625"/>
    <n v="236"/>
    <n v="5405"/>
    <n v="0.13599052880820836"/>
    <x v="2"/>
    <x v="0"/>
    <x v="0"/>
    <s v="FSDUpdate"/>
  </r>
  <r>
    <s v="P147"/>
    <x v="1"/>
    <s v="2024-10-21"/>
    <x v="3"/>
    <s v="Check out our latest reel on instagram!"/>
    <n v="3256"/>
    <n v="459"/>
    <n v="266"/>
    <n v="26048"/>
    <n v="25529"/>
    <n v="143"/>
    <n v="4124"/>
    <n v="0.15283323095823095"/>
    <x v="0"/>
    <x v="0"/>
    <x v="0"/>
    <s v="ModelYCampaign"/>
  </r>
  <r>
    <s v="P120"/>
    <x v="0"/>
    <s v="2024-10-21"/>
    <x v="2"/>
    <s v="Check out our latest story on facebook!"/>
    <n v="780"/>
    <n v="928"/>
    <n v="301"/>
    <n v="8580"/>
    <n v="8081"/>
    <n v="91"/>
    <n v="2100"/>
    <n v="0.23414918414918415"/>
    <x v="1"/>
    <x v="0"/>
    <x v="0"/>
    <s v="FSDUpdate"/>
  </r>
  <r>
    <s v="P197"/>
    <x v="3"/>
    <s v="2024-10-22"/>
    <x v="3"/>
    <s v="Check out our latest reel on twitter!"/>
    <n v="4782"/>
    <n v="721"/>
    <n v="82"/>
    <n v="86076"/>
    <n v="85339"/>
    <n v="19"/>
    <n v="5604"/>
    <n v="6.4884520656164318E-2"/>
    <x v="1"/>
    <x v="0"/>
    <x v="0"/>
    <s v="CybertruckLaunch"/>
  </r>
  <r>
    <s v="P237"/>
    <x v="1"/>
    <s v="2024-10-22"/>
    <x v="2"/>
    <s v="Check out our latest story on instagram!"/>
    <n v="3770"/>
    <n v="917"/>
    <n v="129"/>
    <n v="71630"/>
    <n v="71322"/>
    <n v="76"/>
    <n v="4892"/>
    <n v="6.7234398994834563E-2"/>
    <x v="2"/>
    <x v="0"/>
    <x v="0"/>
    <s v="CybertruckLaunch"/>
  </r>
  <r>
    <s v="P156"/>
    <x v="0"/>
    <s v="2024-10-22"/>
    <x v="5"/>
    <s v="Check out our latest carousel on facebook!"/>
    <n v="3352"/>
    <n v="941"/>
    <n v="482"/>
    <n v="43576"/>
    <n v="43338"/>
    <n v="240"/>
    <n v="5015"/>
    <n v="0.1095786671562328"/>
    <x v="2"/>
    <x v="0"/>
    <x v="0"/>
    <s v="ModelYCampaign"/>
  </r>
  <r>
    <s v="P298"/>
    <x v="0"/>
    <s v="2024-10-24"/>
    <x v="1"/>
    <s v="Check out our latest image on facebook!"/>
    <n v="4303"/>
    <n v="451"/>
    <n v="286"/>
    <n v="86060"/>
    <n v="85823"/>
    <n v="14"/>
    <n v="5054"/>
    <n v="5.8563792702765516E-2"/>
    <x v="0"/>
    <x v="0"/>
    <x v="0"/>
    <s v="FSDUpdate"/>
  </r>
  <r>
    <s v="P015"/>
    <x v="0"/>
    <s v="2024-10-24"/>
    <x v="4"/>
    <s v="Check out our latest video on facebook!"/>
    <n v="3888"/>
    <n v="604"/>
    <n v="128"/>
    <n v="77760"/>
    <n v="77167"/>
    <n v="20"/>
    <n v="4640"/>
    <n v="5.941358024691358E-2"/>
    <x v="2"/>
    <x v="0"/>
    <x v="0"/>
    <s v="CybertruckLaunch"/>
  </r>
  <r>
    <s v="P244"/>
    <x v="2"/>
    <s v="2024-10-25"/>
    <x v="4"/>
    <s v="Check out our latest video on youtube!"/>
    <n v="4661"/>
    <n v="935"/>
    <n v="433"/>
    <n v="23305"/>
    <n v="22583"/>
    <n v="63"/>
    <n v="6092"/>
    <n v="0.25869984981763572"/>
    <x v="2"/>
    <x v="0"/>
    <x v="0"/>
    <s v="FSDUpdate"/>
  </r>
  <r>
    <s v="P261"/>
    <x v="1"/>
    <s v="2024-10-27"/>
    <x v="1"/>
    <s v="Check out our latest image on instagram!"/>
    <n v="4853"/>
    <n v="837"/>
    <n v="340"/>
    <n v="72795"/>
    <n v="72237"/>
    <n v="170"/>
    <n v="6200"/>
    <n v="8.2835359571399134E-2"/>
    <x v="1"/>
    <x v="0"/>
    <x v="0"/>
    <s v="CybertruckLaunch"/>
  </r>
  <r>
    <s v="P144"/>
    <x v="2"/>
    <s v="2024-10-28"/>
    <x v="2"/>
    <s v="Check out our latest story on youtube!"/>
    <n v="4929"/>
    <n v="749"/>
    <n v="452"/>
    <n v="93651"/>
    <n v="92810"/>
    <n v="66"/>
    <n v="6196"/>
    <n v="6.5455787978772245E-2"/>
    <x v="1"/>
    <x v="0"/>
    <x v="0"/>
    <s v="SustainabilityDrive"/>
  </r>
  <r>
    <s v="P074"/>
    <x v="2"/>
    <s v="2024-10-28"/>
    <x v="3"/>
    <s v="Check out our latest reel on youtube!"/>
    <n v="1855"/>
    <n v="200"/>
    <n v="174"/>
    <n v="16695"/>
    <n v="16330"/>
    <n v="123"/>
    <n v="2352"/>
    <n v="0.13351302785265048"/>
    <x v="0"/>
    <x v="0"/>
    <x v="0"/>
    <s v="FSDUpdate"/>
  </r>
  <r>
    <s v="P139"/>
    <x v="2"/>
    <s v="2024-10-29"/>
    <x v="0"/>
    <s v="Check out our latest text on youtube!"/>
    <n v="2746"/>
    <n v="156"/>
    <n v="203"/>
    <n v="32952"/>
    <n v="32147"/>
    <n v="147"/>
    <n v="3252"/>
    <n v="9.422796795338674E-2"/>
    <x v="1"/>
    <x v="0"/>
    <x v="0"/>
    <s v="CybertruckLaunch"/>
  </r>
  <r>
    <s v="P006"/>
    <x v="0"/>
    <s v="2024-10-31"/>
    <x v="5"/>
    <s v="Check out our latest carousel on facebook!"/>
    <n v="2945"/>
    <n v="930"/>
    <n v="355"/>
    <n v="23560"/>
    <n v="23275"/>
    <n v="256"/>
    <n v="4486"/>
    <n v="0.17954159592529711"/>
    <x v="0"/>
    <x v="0"/>
    <x v="0"/>
    <s v="ModelYCampaign"/>
  </r>
  <r>
    <s v="P045"/>
    <x v="0"/>
    <s v="2024-11-01"/>
    <x v="4"/>
    <s v="Check out our latest video on facebook!"/>
    <n v="3371"/>
    <n v="106"/>
    <n v="327"/>
    <n v="50565"/>
    <n v="49816"/>
    <n v="176"/>
    <n v="3980"/>
    <n v="7.5229902106199939E-2"/>
    <x v="2"/>
    <x v="0"/>
    <x v="0"/>
    <s v="CybertruckLaunch"/>
  </r>
  <r>
    <s v="P118"/>
    <x v="0"/>
    <s v="2024-11-04"/>
    <x v="1"/>
    <s v="Check out our latest image on facebook!"/>
    <n v="4551"/>
    <n v="714"/>
    <n v="207"/>
    <n v="68265"/>
    <n v="67754"/>
    <n v="57"/>
    <n v="5529"/>
    <n v="8.0158206987475278E-2"/>
    <x v="2"/>
    <x v="0"/>
    <x v="0"/>
    <s v="FSDUpdate"/>
  </r>
  <r>
    <s v="P117"/>
    <x v="3"/>
    <s v="2024-11-04"/>
    <x v="1"/>
    <s v="Check out our latest image on twitter!"/>
    <n v="1606"/>
    <n v="451"/>
    <n v="405"/>
    <n v="20878"/>
    <n v="20190"/>
    <n v="219"/>
    <n v="2681"/>
    <n v="0.11792317271769326"/>
    <x v="1"/>
    <x v="0"/>
    <x v="0"/>
    <s v="SustainabilityDrive"/>
  </r>
  <r>
    <s v="P269"/>
    <x v="1"/>
    <s v="2024-11-05"/>
    <x v="4"/>
    <s v="Check out our latest video on instagram!"/>
    <n v="4561"/>
    <n v="51"/>
    <n v="441"/>
    <n v="22805"/>
    <n v="21890"/>
    <n v="45"/>
    <n v="5098"/>
    <n v="0.22157421618066214"/>
    <x v="0"/>
    <x v="0"/>
    <x v="0"/>
    <s v="ModelYCampaign"/>
  </r>
  <r>
    <s v="P291"/>
    <x v="0"/>
    <s v="2024-11-06"/>
    <x v="4"/>
    <s v="Check out our latest video on facebook!"/>
    <n v="4663"/>
    <n v="145"/>
    <n v="225"/>
    <n v="69945"/>
    <n v="69596"/>
    <n v="35"/>
    <n v="5068"/>
    <n v="7.1956537279290869E-2"/>
    <x v="1"/>
    <x v="0"/>
    <x v="0"/>
    <s v="SustainabilityDrive"/>
  </r>
  <r>
    <s v="P023"/>
    <x v="0"/>
    <s v="2024-11-06"/>
    <x v="4"/>
    <s v="Check out our latest video on facebook!"/>
    <n v="1606"/>
    <n v="547"/>
    <n v="316"/>
    <n v="32120"/>
    <n v="31736"/>
    <n v="225"/>
    <n v="2694"/>
    <n v="7.6867995018679955E-2"/>
    <x v="0"/>
    <x v="1"/>
    <x v="0"/>
    <s v="ModelYCampaign"/>
  </r>
  <r>
    <s v="P076"/>
    <x v="3"/>
    <s v="2024-11-07"/>
    <x v="2"/>
    <s v="Check out our latest story on twitter!"/>
    <n v="1121"/>
    <n v="135"/>
    <n v="18"/>
    <n v="15694"/>
    <n v="14957"/>
    <n v="99"/>
    <n v="1373"/>
    <n v="8.1177520071364848E-2"/>
    <x v="0"/>
    <x v="0"/>
    <x v="0"/>
    <s v="SustainabilityDrive"/>
  </r>
  <r>
    <s v="P094"/>
    <x v="1"/>
    <s v="2024-11-07"/>
    <x v="1"/>
    <s v="Check out our latest image on instagram!"/>
    <n v="2647"/>
    <n v="304"/>
    <n v="170"/>
    <n v="18529"/>
    <n v="17841"/>
    <n v="46"/>
    <n v="3167"/>
    <n v="0.16843866371633656"/>
    <x v="2"/>
    <x v="0"/>
    <x v="0"/>
    <s v="FSDUpdate"/>
  </r>
  <r>
    <s v="P178"/>
    <x v="1"/>
    <s v="2024-11-07"/>
    <x v="4"/>
    <s v="Check out our latest video on instagram!"/>
    <n v="129"/>
    <n v="643"/>
    <n v="136"/>
    <n v="1290"/>
    <n v="839"/>
    <n v="238"/>
    <n v="1146"/>
    <n v="0.70387596899224802"/>
    <x v="0"/>
    <x v="0"/>
    <x v="0"/>
    <s v="SustainabilityDrive"/>
  </r>
  <r>
    <s v="P095"/>
    <x v="1"/>
    <s v="2024-11-08"/>
    <x v="0"/>
    <s v="Check out our latest text on instagram!"/>
    <n v="3182"/>
    <n v="559"/>
    <n v="160"/>
    <n v="57276"/>
    <n v="56890"/>
    <n v="163"/>
    <n v="4064"/>
    <n v="6.8108806480899509E-2"/>
    <x v="2"/>
    <x v="0"/>
    <x v="0"/>
    <s v="SustainabilityDrive"/>
  </r>
  <r>
    <s v="P223"/>
    <x v="3"/>
    <s v="2024-11-12"/>
    <x v="1"/>
    <s v="Check out our latest image on twitter!"/>
    <n v="3338"/>
    <n v="277"/>
    <n v="118"/>
    <n v="60084"/>
    <n v="59842"/>
    <n v="252"/>
    <n v="3985"/>
    <n v="6.2129685107516146E-2"/>
    <x v="0"/>
    <x v="0"/>
    <x v="0"/>
    <m/>
  </r>
  <r>
    <s v="P168"/>
    <x v="0"/>
    <s v="2024-11-12"/>
    <x v="0"/>
    <s v="Check out our latest text on facebook!"/>
    <n v="2418"/>
    <n v="754"/>
    <n v="54"/>
    <n v="43524"/>
    <n v="42743"/>
    <n v="182"/>
    <n v="3408"/>
    <n v="7.412002573292896E-2"/>
    <x v="1"/>
    <x v="0"/>
    <x v="0"/>
    <s v="CybertruckLaunch"/>
  </r>
  <r>
    <s v="P114"/>
    <x v="3"/>
    <s v="2024-11-14"/>
    <x v="2"/>
    <s v="Check out our latest story on twitter!"/>
    <n v="4000"/>
    <n v="689"/>
    <n v="488"/>
    <n v="40000"/>
    <n v="39569"/>
    <n v="44"/>
    <n v="5221"/>
    <n v="0.12942500000000001"/>
    <x v="2"/>
    <x v="0"/>
    <x v="0"/>
    <s v="CybertruckLaunch"/>
  </r>
  <r>
    <s v="P292"/>
    <x v="0"/>
    <s v="2024-11-17"/>
    <x v="0"/>
    <s v="Check out our latest text on facebook!"/>
    <n v="880"/>
    <n v="297"/>
    <n v="345"/>
    <n v="12320"/>
    <n v="11978"/>
    <n v="238"/>
    <n v="1760"/>
    <n v="0.12353896103896105"/>
    <x v="0"/>
    <x v="1"/>
    <x v="0"/>
    <m/>
  </r>
  <r>
    <s v="P013"/>
    <x v="2"/>
    <s v="2024-11-18"/>
    <x v="5"/>
    <s v="Check out our latest carousel on youtube!"/>
    <n v="1171"/>
    <n v="286"/>
    <n v="231"/>
    <n v="22249"/>
    <n v="21282"/>
    <n v="114"/>
    <n v="1802"/>
    <n v="7.5868578363072495E-2"/>
    <x v="1"/>
    <x v="0"/>
    <x v="0"/>
    <s v="CybertruckLaunch"/>
  </r>
  <r>
    <s v="P203"/>
    <x v="1"/>
    <s v="2024-11-21"/>
    <x v="5"/>
    <s v="Check out our latest carousel on instagram!"/>
    <n v="3773"/>
    <n v="299"/>
    <n v="38"/>
    <n v="71687"/>
    <n v="71447"/>
    <n v="286"/>
    <n v="4396"/>
    <n v="5.7332570758993957E-2"/>
    <x v="2"/>
    <x v="0"/>
    <x v="0"/>
    <s v="CybertruckLaunch"/>
  </r>
  <r>
    <s v="P062"/>
    <x v="3"/>
    <s v="2024-11-22"/>
    <x v="5"/>
    <s v="Check out our latest carousel on twitter!"/>
    <n v="53"/>
    <n v="81"/>
    <n v="379"/>
    <n v="954"/>
    <n v="7"/>
    <n v="148"/>
    <n v="661"/>
    <n v="0.53773584905660377"/>
    <x v="0"/>
    <x v="0"/>
    <x v="0"/>
    <s v="FSDUpdate"/>
  </r>
  <r>
    <s v="P111"/>
    <x v="2"/>
    <s v="2024-11-23"/>
    <x v="1"/>
    <s v="Check out our latest image on youtube!"/>
    <n v="2719"/>
    <n v="17"/>
    <n v="285"/>
    <n v="40785"/>
    <n v="40281"/>
    <n v="40"/>
    <n v="3061"/>
    <n v="7.4071349760941527E-2"/>
    <x v="0"/>
    <x v="0"/>
    <x v="0"/>
    <s v="ModelYCampaign"/>
  </r>
  <r>
    <s v="P039"/>
    <x v="0"/>
    <s v="2024-11-25"/>
    <x v="1"/>
    <s v="Check out our latest image on facebook!"/>
    <n v="3564"/>
    <n v="629"/>
    <n v="177"/>
    <n v="60588"/>
    <n v="59627"/>
    <n v="92"/>
    <n v="4462"/>
    <n v="7.2126493695121141E-2"/>
    <x v="0"/>
    <x v="0"/>
    <x v="0"/>
    <m/>
  </r>
  <r>
    <s v="P266"/>
    <x v="0"/>
    <s v="2024-11-25"/>
    <x v="2"/>
    <s v="Check out our latest story on facebook!"/>
    <n v="4182"/>
    <n v="640"/>
    <n v="240"/>
    <n v="50184"/>
    <n v="49351"/>
    <n v="10"/>
    <n v="5072"/>
    <n v="0.10086880280567512"/>
    <x v="0"/>
    <x v="0"/>
    <x v="0"/>
    <s v="FSDUpdate"/>
  </r>
  <r>
    <s v="P159"/>
    <x v="0"/>
    <s v="2024-11-25"/>
    <x v="2"/>
    <s v="Check out our latest story on facebook!"/>
    <n v="2120"/>
    <n v="158"/>
    <n v="488"/>
    <n v="12720"/>
    <n v="12085"/>
    <n v="17"/>
    <n v="2783"/>
    <n v="0.21745283018867925"/>
    <x v="2"/>
    <x v="0"/>
    <x v="0"/>
    <s v="ModelYCampaign"/>
  </r>
  <r>
    <s v="P278"/>
    <x v="3"/>
    <s v="2024-11-26"/>
    <x v="0"/>
    <s v="Check out our latest text on twitter!"/>
    <n v="4516"/>
    <n v="836"/>
    <n v="169"/>
    <n v="49676"/>
    <n v="49257"/>
    <n v="282"/>
    <n v="5803"/>
    <n v="0.11114018842096787"/>
    <x v="1"/>
    <x v="0"/>
    <x v="0"/>
    <s v="SustainabilityDrive"/>
  </r>
  <r>
    <s v="P135"/>
    <x v="0"/>
    <s v="2024-11-28"/>
    <x v="0"/>
    <s v="Check out our latest text on facebook!"/>
    <n v="4213"/>
    <n v="253"/>
    <n v="434"/>
    <n v="75834"/>
    <n v="75437"/>
    <n v="272"/>
    <n v="5172"/>
    <n v="6.461481657304112E-2"/>
    <x v="2"/>
    <x v="0"/>
    <x v="0"/>
    <s v="SustainabilityDrive"/>
  </r>
  <r>
    <s v="P289"/>
    <x v="0"/>
    <s v="2024-11-28"/>
    <x v="5"/>
    <s v="Check out our latest carousel on facebook!"/>
    <n v="2751"/>
    <n v="33"/>
    <n v="430"/>
    <n v="44016"/>
    <n v="43415"/>
    <n v="129"/>
    <n v="3343"/>
    <n v="7.3018902217375503E-2"/>
    <x v="2"/>
    <x v="0"/>
    <x v="0"/>
    <m/>
  </r>
  <r>
    <s v="P167"/>
    <x v="1"/>
    <s v="2024-11-28"/>
    <x v="0"/>
    <s v="Check out our latest text on instagram!"/>
    <n v="4771"/>
    <n v="818"/>
    <n v="56"/>
    <n v="57252"/>
    <n v="56378"/>
    <n v="150"/>
    <n v="5795"/>
    <n v="9.859917557465242E-2"/>
    <x v="2"/>
    <x v="0"/>
    <x v="0"/>
    <m/>
  </r>
  <r>
    <s v="P192"/>
    <x v="1"/>
    <s v="2024-11-29"/>
    <x v="4"/>
    <s v="Check out our latest video on instagram!"/>
    <n v="1176"/>
    <n v="464"/>
    <n v="394"/>
    <n v="14112"/>
    <n v="13588"/>
    <n v="272"/>
    <n v="2306"/>
    <n v="0.1441326530612245"/>
    <x v="1"/>
    <x v="0"/>
    <x v="0"/>
    <m/>
  </r>
  <r>
    <s v="P199"/>
    <x v="2"/>
    <s v="2024-11-30"/>
    <x v="5"/>
    <s v="Check out our latest carousel on youtube!"/>
    <n v="2509"/>
    <n v="324"/>
    <n v="171"/>
    <n v="35126"/>
    <n v="34685"/>
    <n v="277"/>
    <n v="3281"/>
    <n v="8.5520696919660646E-2"/>
    <x v="0"/>
    <x v="0"/>
    <x v="0"/>
    <s v="ModelYCampaign"/>
  </r>
  <r>
    <s v="P035"/>
    <x v="1"/>
    <s v="2024-11-30"/>
    <x v="4"/>
    <s v="Check out our latest video on instagram!"/>
    <n v="3775"/>
    <n v="16"/>
    <n v="239"/>
    <n v="33975"/>
    <n v="33310"/>
    <n v="271"/>
    <n v="4301"/>
    <n v="0.11861662987490802"/>
    <x v="2"/>
    <x v="0"/>
    <x v="0"/>
    <s v="ModelYCampaign"/>
  </r>
  <r>
    <s v="P217"/>
    <x v="0"/>
    <s v="2024-12-03"/>
    <x v="1"/>
    <s v="Check out our latest image on facebook!"/>
    <n v="4606"/>
    <n v="931"/>
    <n v="230"/>
    <n v="92120"/>
    <n v="91440"/>
    <n v="56"/>
    <n v="5823"/>
    <n v="6.2603126356925748E-2"/>
    <x v="0"/>
    <x v="0"/>
    <x v="0"/>
    <m/>
  </r>
  <r>
    <s v="P180"/>
    <x v="2"/>
    <s v="2024-12-03"/>
    <x v="0"/>
    <s v="Check out our latest text on youtube!"/>
    <n v="3711"/>
    <n v="352"/>
    <n v="290"/>
    <n v="48243"/>
    <n v="47579"/>
    <n v="11"/>
    <n v="4364"/>
    <n v="9.023070704558174E-2"/>
    <x v="0"/>
    <x v="0"/>
    <x v="0"/>
    <s v="CybertruckLaunch"/>
  </r>
  <r>
    <s v="P191"/>
    <x v="2"/>
    <s v="2024-12-03"/>
    <x v="2"/>
    <s v="Check out our latest story on youtube!"/>
    <n v="4285"/>
    <n v="886"/>
    <n v="376"/>
    <n v="55705"/>
    <n v="55556"/>
    <n v="51"/>
    <n v="5598"/>
    <n v="9.9578134817341346E-2"/>
    <x v="2"/>
    <x v="0"/>
    <x v="0"/>
    <s v="FSDUpdate"/>
  </r>
  <r>
    <s v="P169"/>
    <x v="2"/>
    <s v="2024-12-03"/>
    <x v="4"/>
    <s v="Check out our latest video on youtube!"/>
    <n v="3809"/>
    <n v="273"/>
    <n v="200"/>
    <n v="34281"/>
    <n v="33534"/>
    <n v="83"/>
    <n v="4365"/>
    <n v="0.12490884163239112"/>
    <x v="1"/>
    <x v="0"/>
    <x v="0"/>
    <s v="CybertruckLaunch"/>
  </r>
  <r>
    <s v="P173"/>
    <x v="3"/>
    <s v="2024-12-05"/>
    <x v="4"/>
    <s v="Check out our latest video on twitter!"/>
    <n v="1330"/>
    <n v="925"/>
    <n v="35"/>
    <n v="15960"/>
    <n v="15379"/>
    <n v="229"/>
    <n v="2519"/>
    <n v="0.14348370927318296"/>
    <x v="2"/>
    <x v="0"/>
    <x v="0"/>
    <s v="FSDUpdate"/>
  </r>
  <r>
    <s v="P068"/>
    <x v="1"/>
    <s v="2024-12-08"/>
    <x v="2"/>
    <s v="Check out our latest story on instagram!"/>
    <n v="2610"/>
    <n v="126"/>
    <n v="288"/>
    <n v="15660"/>
    <n v="15145"/>
    <n v="73"/>
    <n v="3097"/>
    <n v="0.19310344827586207"/>
    <x v="1"/>
    <x v="0"/>
    <x v="0"/>
    <m/>
  </r>
  <r>
    <s v="P084"/>
    <x v="0"/>
    <s v="2024-12-09"/>
    <x v="1"/>
    <s v="Check out our latest image on facebook!"/>
    <n v="1841"/>
    <n v="851"/>
    <n v="342"/>
    <n v="34979"/>
    <n v="34154"/>
    <n v="255"/>
    <n v="3289"/>
    <n v="8.6737756939878216E-2"/>
    <x v="2"/>
    <x v="0"/>
    <x v="0"/>
    <s v="SustainabilityDrive"/>
  </r>
  <r>
    <s v="P165"/>
    <x v="3"/>
    <s v="2024-12-11"/>
    <x v="0"/>
    <s v="Check out our latest text on twitter!"/>
    <n v="3239"/>
    <n v="43"/>
    <n v="211"/>
    <n v="22673"/>
    <n v="22171"/>
    <n v="230"/>
    <n v="3723"/>
    <n v="0.15405989502933004"/>
    <x v="0"/>
    <x v="0"/>
    <x v="0"/>
    <s v="ModelYCampaign"/>
  </r>
  <r>
    <s v="P093"/>
    <x v="1"/>
    <s v="2024-12-11"/>
    <x v="4"/>
    <s v="Check out our latest video on instagram!"/>
    <n v="1431"/>
    <n v="951"/>
    <n v="26"/>
    <n v="8586"/>
    <n v="8396"/>
    <n v="150"/>
    <n v="2558"/>
    <n v="0.28045655718611695"/>
    <x v="1"/>
    <x v="0"/>
    <x v="0"/>
    <s v="FSDUpdate"/>
  </r>
  <r>
    <s v="P043"/>
    <x v="1"/>
    <s v="2024-12-14"/>
    <x v="5"/>
    <s v="Check out our latest carousel on instagram!"/>
    <n v="2174"/>
    <n v="658"/>
    <n v="15"/>
    <n v="13044"/>
    <n v="12206"/>
    <n v="137"/>
    <n v="2984"/>
    <n v="0.21826126954921804"/>
    <x v="0"/>
    <x v="0"/>
    <x v="0"/>
    <s v="FSDUpdate"/>
  </r>
  <r>
    <s v="P031"/>
    <x v="1"/>
    <s v="2024-12-16"/>
    <x v="0"/>
    <s v="Check out our latest text on instagram!"/>
    <n v="438"/>
    <n v="153"/>
    <n v="275"/>
    <n v="3066"/>
    <n v="2701"/>
    <n v="282"/>
    <n v="1148"/>
    <n v="0.28245270711024134"/>
    <x v="0"/>
    <x v="0"/>
    <x v="0"/>
    <s v="ModelYCampaign"/>
  </r>
  <r>
    <s v="P183"/>
    <x v="1"/>
    <s v="2024-12-17"/>
    <x v="2"/>
    <s v="Check out our latest story on instagram!"/>
    <n v="360"/>
    <n v="590"/>
    <n v="393"/>
    <n v="4680"/>
    <n v="4322"/>
    <n v="208"/>
    <n v="1551"/>
    <n v="0.28696581196581195"/>
    <x v="2"/>
    <x v="0"/>
    <x v="0"/>
    <s v="ModelYCampaign"/>
  </r>
  <r>
    <s v="P056"/>
    <x v="0"/>
    <s v="2024-12-18"/>
    <x v="5"/>
    <s v="Check out our latest carousel on facebook!"/>
    <n v="2946"/>
    <n v="498"/>
    <n v="367"/>
    <n v="29460"/>
    <n v="28527"/>
    <n v="60"/>
    <n v="3871"/>
    <n v="0.12936184657162253"/>
    <x v="2"/>
    <x v="0"/>
    <x v="0"/>
    <s v="FSDUpdate"/>
  </r>
  <r>
    <s v="P196"/>
    <x v="1"/>
    <s v="2024-12-19"/>
    <x v="0"/>
    <s v="Check out our latest text on instagram!"/>
    <n v="1813"/>
    <n v="623"/>
    <n v="72"/>
    <n v="19943"/>
    <n v="18959"/>
    <n v="85"/>
    <n v="2593"/>
    <n v="0.12575841147269717"/>
    <x v="1"/>
    <x v="0"/>
    <x v="0"/>
    <s v="FSDUpdate"/>
  </r>
  <r>
    <s v="P290"/>
    <x v="1"/>
    <s v="2024-12-20"/>
    <x v="5"/>
    <s v="Check out our latest carousel on instagram!"/>
    <n v="2107"/>
    <n v="550"/>
    <n v="349"/>
    <n v="35819"/>
    <n v="35340"/>
    <n v="191"/>
    <n v="3197"/>
    <n v="8.3921940869371006E-2"/>
    <x v="1"/>
    <x v="0"/>
    <x v="0"/>
    <s v="SustainabilityDrive"/>
  </r>
  <r>
    <s v="P155"/>
    <x v="2"/>
    <s v="2024-12-21"/>
    <x v="1"/>
    <s v="Check out our latest image on youtube!"/>
    <n v="2283"/>
    <n v="210"/>
    <n v="130"/>
    <n v="22830"/>
    <n v="22617"/>
    <n v="143"/>
    <n v="2766"/>
    <n v="0.11489268506351293"/>
    <x v="2"/>
    <x v="0"/>
    <x v="0"/>
    <s v="ModelYCampaign"/>
  </r>
  <r>
    <s v="P187"/>
    <x v="3"/>
    <s v="2024-12-22"/>
    <x v="3"/>
    <s v="Check out our latest reel on twitter!"/>
    <n v="1644"/>
    <n v="546"/>
    <n v="150"/>
    <n v="27948"/>
    <n v="27184"/>
    <n v="300"/>
    <n v="2640"/>
    <n v="8.3726921425504502E-2"/>
    <x v="1"/>
    <x v="0"/>
    <x v="0"/>
    <s v="FSDUpdate"/>
  </r>
  <r>
    <s v="P235"/>
    <x v="0"/>
    <s v="2024-12-22"/>
    <x v="1"/>
    <s v="Check out our latest image on facebook!"/>
    <n v="3196"/>
    <n v="941"/>
    <n v="376"/>
    <n v="35156"/>
    <n v="34444"/>
    <n v="241"/>
    <n v="4754"/>
    <n v="0.1283706906360223"/>
    <x v="0"/>
    <x v="0"/>
    <x v="0"/>
    <s v="FSDUpdate"/>
  </r>
  <r>
    <s v="P001"/>
    <x v="3"/>
    <s v="2024-12-23"/>
    <x v="3"/>
    <s v="Check out our latest reel on twitter!"/>
    <n v="1461"/>
    <n v="184"/>
    <n v="344"/>
    <n v="21915"/>
    <n v="21675"/>
    <n v="15"/>
    <n v="2004"/>
    <n v="9.0759753593429152E-2"/>
    <x v="2"/>
    <x v="1"/>
    <x v="0"/>
    <s v="CybertruckLaunch"/>
  </r>
  <r>
    <s v="P214"/>
    <x v="1"/>
    <s v="2024-12-23"/>
    <x v="1"/>
    <s v="Check out our latest image on instagram!"/>
    <n v="521"/>
    <n v="746"/>
    <n v="315"/>
    <n v="4168"/>
    <n v="3399"/>
    <n v="282"/>
    <n v="1864"/>
    <n v="0.37955854126679461"/>
    <x v="2"/>
    <x v="0"/>
    <x v="0"/>
    <s v="ModelYCampaign"/>
  </r>
  <r>
    <s v="P297"/>
    <x v="3"/>
    <s v="2024-12-24"/>
    <x v="0"/>
    <s v="Check out our latest text on twitter!"/>
    <n v="2166"/>
    <n v="354"/>
    <n v="117"/>
    <n v="10830"/>
    <n v="10245"/>
    <n v="24"/>
    <n v="2661"/>
    <n v="0.24349030470914126"/>
    <x v="1"/>
    <x v="0"/>
    <x v="0"/>
    <s v="SustainabilityDrive"/>
  </r>
  <r>
    <s v="P207"/>
    <x v="3"/>
    <s v="2024-12-29"/>
    <x v="5"/>
    <s v="Check out our latest carousel on twitter!"/>
    <n v="4274"/>
    <n v="340"/>
    <n v="281"/>
    <n v="34192"/>
    <n v="33446"/>
    <n v="129"/>
    <n v="5024"/>
    <n v="0.14316214319138981"/>
    <x v="0"/>
    <x v="3"/>
    <x v="0"/>
    <s v="FSDUpdate"/>
  </r>
  <r>
    <s v="P171"/>
    <x v="2"/>
    <s v="2024-12-31"/>
    <x v="4"/>
    <s v="Check out our latest video on youtube!"/>
    <n v="1018"/>
    <n v="447"/>
    <n v="332"/>
    <n v="18324"/>
    <n v="18164"/>
    <n v="38"/>
    <n v="1835"/>
    <n v="9.8068107400130972E-2"/>
    <x v="2"/>
    <x v="0"/>
    <x v="0"/>
    <s v="ModelYCampaign"/>
  </r>
  <r>
    <s v="P274"/>
    <x v="3"/>
    <s v="2025-01-01"/>
    <x v="5"/>
    <s v="Check out our latest carousel on twitter!"/>
    <n v="3535"/>
    <n v="494"/>
    <n v="152"/>
    <n v="53025"/>
    <n v="52791"/>
    <n v="44"/>
    <n v="4225"/>
    <n v="7.8849599245638849E-2"/>
    <x v="0"/>
    <x v="0"/>
    <x v="0"/>
    <s v="SustainabilityDrive"/>
  </r>
  <r>
    <s v="P153"/>
    <x v="3"/>
    <s v="2025-01-01"/>
    <x v="4"/>
    <s v="Check out our latest video on twitter!"/>
    <n v="754"/>
    <n v="197"/>
    <n v="257"/>
    <n v="6786"/>
    <n v="6221"/>
    <n v="212"/>
    <n v="1420"/>
    <n v="0.17801355732390214"/>
    <x v="0"/>
    <x v="0"/>
    <x v="0"/>
    <s v="FSDUpdate"/>
  </r>
  <r>
    <s v="P204"/>
    <x v="1"/>
    <s v="2025-01-01"/>
    <x v="5"/>
    <s v="Check out our latest carousel on instagram!"/>
    <n v="2234"/>
    <n v="653"/>
    <n v="432"/>
    <n v="11170"/>
    <n v="10569"/>
    <n v="198"/>
    <n v="3517"/>
    <n v="0.29713518352730528"/>
    <x v="2"/>
    <x v="0"/>
    <x v="0"/>
    <s v="FSDUpdate"/>
  </r>
  <r>
    <s v="P052"/>
    <x v="0"/>
    <s v="2025-01-03"/>
    <x v="1"/>
    <s v="Check out our latest image on facebook!"/>
    <n v="947"/>
    <n v="338"/>
    <n v="350"/>
    <n v="10417"/>
    <n v="9730"/>
    <n v="34"/>
    <n v="1669"/>
    <n v="0.1569549774407219"/>
    <x v="0"/>
    <x v="0"/>
    <x v="0"/>
    <s v="SustainabilityDrive"/>
  </r>
  <r>
    <s v="P021"/>
    <x v="1"/>
    <s v="2025-01-04"/>
    <x v="3"/>
    <s v="Check out our latest reel on instagram!"/>
    <n v="4838"/>
    <n v="640"/>
    <n v="128"/>
    <n v="72570"/>
    <n v="72396"/>
    <n v="83"/>
    <n v="5689"/>
    <n v="7.7249552156538517E-2"/>
    <x v="2"/>
    <x v="0"/>
    <x v="0"/>
    <s v="SustainabilityDrive"/>
  </r>
  <r>
    <s v="P037"/>
    <x v="0"/>
    <s v="2025-01-06"/>
    <x v="5"/>
    <s v="Check out our latest carousel on facebook!"/>
    <n v="3024"/>
    <n v="925"/>
    <n v="350"/>
    <n v="24192"/>
    <n v="23518"/>
    <n v="36"/>
    <n v="4335"/>
    <n v="0.17770337301587302"/>
    <x v="1"/>
    <x v="0"/>
    <x v="0"/>
    <s v="ModelYCampaign"/>
  </r>
  <r>
    <s v="P128"/>
    <x v="3"/>
    <s v="2025-01-10"/>
    <x v="1"/>
    <s v="Check out our latest image on twitter!"/>
    <n v="3092"/>
    <n v="106"/>
    <n v="291"/>
    <n v="27828"/>
    <n v="27217"/>
    <n v="102"/>
    <n v="3591"/>
    <n v="0.12537731780940059"/>
    <x v="2"/>
    <x v="0"/>
    <x v="0"/>
    <m/>
  </r>
  <r>
    <s v="P089"/>
    <x v="3"/>
    <s v="2025-01-10"/>
    <x v="1"/>
    <s v="Check out our latest image on twitter!"/>
    <n v="2214"/>
    <n v="249"/>
    <n v="152"/>
    <n v="15498"/>
    <n v="14800"/>
    <n v="180"/>
    <n v="2795"/>
    <n v="0.16873144921925409"/>
    <x v="1"/>
    <x v="0"/>
    <x v="0"/>
    <m/>
  </r>
  <r>
    <s v="P185"/>
    <x v="1"/>
    <s v="2025-01-11"/>
    <x v="5"/>
    <s v="Check out our latest carousel on instagram!"/>
    <n v="4523"/>
    <n v="61"/>
    <n v="157"/>
    <n v="49753"/>
    <n v="49329"/>
    <n v="71"/>
    <n v="4812"/>
    <n v="9.5290736237010829E-2"/>
    <x v="1"/>
    <x v="0"/>
    <x v="0"/>
    <m/>
  </r>
  <r>
    <s v="P245"/>
    <x v="0"/>
    <s v="2025-01-12"/>
    <x v="3"/>
    <s v="Check out our latest reel on facebook!"/>
    <n v="4134"/>
    <n v="824"/>
    <n v="99"/>
    <n v="41340"/>
    <n v="41050"/>
    <n v="177"/>
    <n v="5234"/>
    <n v="0.12232704402515723"/>
    <x v="1"/>
    <x v="0"/>
    <x v="0"/>
    <s v="CybertruckLaunch"/>
  </r>
  <r>
    <s v="P254"/>
    <x v="3"/>
    <s v="2025-01-14"/>
    <x v="1"/>
    <s v="Check out our latest image on twitter!"/>
    <n v="2692"/>
    <n v="115"/>
    <n v="64"/>
    <n v="21536"/>
    <n v="21120"/>
    <n v="224"/>
    <n v="3095"/>
    <n v="0.13331166419019316"/>
    <x v="2"/>
    <x v="0"/>
    <x v="0"/>
    <s v="ModelYCampaign"/>
  </r>
  <r>
    <s v="P270"/>
    <x v="2"/>
    <s v="2025-01-15"/>
    <x v="3"/>
    <s v="Check out our latest reel on youtube!"/>
    <n v="3774"/>
    <n v="239"/>
    <n v="39"/>
    <n v="60384"/>
    <n v="59490"/>
    <n v="241"/>
    <n v="4293"/>
    <n v="6.7103868574456813E-2"/>
    <x v="0"/>
    <x v="0"/>
    <x v="0"/>
    <s v="FSDUpdate"/>
  </r>
  <r>
    <s v="P201"/>
    <x v="3"/>
    <s v="2025-01-15"/>
    <x v="3"/>
    <s v="Check out our latest reel on twitter!"/>
    <n v="802"/>
    <n v="262"/>
    <n v="244"/>
    <n v="14436"/>
    <n v="14280"/>
    <n v="49"/>
    <n v="1357"/>
    <n v="9.0606816292601824E-2"/>
    <x v="1"/>
    <x v="0"/>
    <x v="0"/>
    <s v="CybertruckLaunch"/>
  </r>
  <r>
    <s v="P175"/>
    <x v="1"/>
    <s v="2025-01-17"/>
    <x v="3"/>
    <s v="Check out our latest reel on instagram!"/>
    <n v="142"/>
    <n v="784"/>
    <n v="183"/>
    <n v="1704"/>
    <n v="995"/>
    <n v="154"/>
    <n v="1263"/>
    <n v="0.6508215962441315"/>
    <x v="2"/>
    <x v="0"/>
    <x v="0"/>
    <s v="SustainabilityDrive"/>
  </r>
  <r>
    <s v="P262"/>
    <x v="2"/>
    <s v="2025-01-18"/>
    <x v="1"/>
    <s v="Check out our latest image on youtube!"/>
    <n v="1206"/>
    <n v="238"/>
    <n v="36"/>
    <n v="9648"/>
    <n v="9417"/>
    <n v="237"/>
    <n v="1717"/>
    <n v="0.15339966832504145"/>
    <x v="0"/>
    <x v="0"/>
    <x v="0"/>
    <m/>
  </r>
  <r>
    <s v="P241"/>
    <x v="0"/>
    <s v="2025-01-18"/>
    <x v="2"/>
    <s v="Check out our latest story on facebook!"/>
    <n v="4321"/>
    <n v="874"/>
    <n v="172"/>
    <n v="30247"/>
    <n v="29254"/>
    <n v="122"/>
    <n v="5489"/>
    <n v="0.17743908486792079"/>
    <x v="0"/>
    <x v="0"/>
    <x v="0"/>
    <s v="SustainabilityDrive"/>
  </r>
  <r>
    <s v="P024"/>
    <x v="0"/>
    <s v="2025-01-23"/>
    <x v="4"/>
    <s v="Check out our latest video on facebook!"/>
    <n v="3961"/>
    <n v="761"/>
    <n v="131"/>
    <n v="67337"/>
    <n v="66615"/>
    <n v="161"/>
    <n v="5014"/>
    <n v="7.2070332803659209E-2"/>
    <x v="2"/>
    <x v="0"/>
    <x v="0"/>
    <s v="FSDUpdate"/>
  </r>
  <r>
    <s v="P086"/>
    <x v="2"/>
    <s v="2025-01-27"/>
    <x v="0"/>
    <s v="Check out our latest text on youtube!"/>
    <n v="3428"/>
    <n v="305"/>
    <n v="85"/>
    <n v="58276"/>
    <n v="58052"/>
    <n v="242"/>
    <n v="4060"/>
    <n v="6.5515821264328367E-2"/>
    <x v="1"/>
    <x v="5"/>
    <x v="0"/>
    <s v="SustainabilityDrive"/>
  </r>
  <r>
    <s v="P127"/>
    <x v="0"/>
    <s v="2025-01-27"/>
    <x v="3"/>
    <s v="Check out our latest reel on facebook!"/>
    <n v="3452"/>
    <n v="652"/>
    <n v="442"/>
    <n v="65588"/>
    <n v="65049"/>
    <n v="158"/>
    <n v="4704"/>
    <n v="6.9311459413307311E-2"/>
    <x v="2"/>
    <x v="0"/>
    <x v="0"/>
    <s v="FSDUpdate"/>
  </r>
  <r>
    <s v="P060"/>
    <x v="1"/>
    <s v="2025-01-28"/>
    <x v="4"/>
    <s v="Check out our latest video on instagram!"/>
    <n v="904"/>
    <n v="973"/>
    <n v="63"/>
    <n v="11752"/>
    <n v="11580"/>
    <n v="84"/>
    <n v="2024"/>
    <n v="0.1650782845473111"/>
    <x v="1"/>
    <x v="2"/>
    <x v="1"/>
    <s v="FSDUpdate"/>
  </r>
  <r>
    <s v="P219"/>
    <x v="3"/>
    <s v="2025-01-28"/>
    <x v="3"/>
    <s v="Check out our latest reel on twitter!"/>
    <n v="1188"/>
    <n v="470"/>
    <n v="174"/>
    <n v="7128"/>
    <n v="6145"/>
    <n v="270"/>
    <n v="2102"/>
    <n v="0.25701459034792368"/>
    <x v="0"/>
    <x v="0"/>
    <x v="0"/>
    <s v="SustainabilityDrive"/>
  </r>
  <r>
    <s v="P264"/>
    <x v="3"/>
    <s v="2025-01-30"/>
    <x v="1"/>
    <s v="Check out our latest image on twitter!"/>
    <n v="59"/>
    <n v="163"/>
    <n v="93"/>
    <n v="590"/>
    <n v="475"/>
    <n v="293"/>
    <n v="608"/>
    <n v="0.53389830508474578"/>
    <x v="0"/>
    <x v="0"/>
    <x v="0"/>
    <s v="ModelYCampaign"/>
  </r>
  <r>
    <s v="P029"/>
    <x v="1"/>
    <s v="2025-01-31"/>
    <x v="5"/>
    <s v="Check out our latest carousel on instagram!"/>
    <n v="2566"/>
    <n v="118"/>
    <n v="37"/>
    <n v="12830"/>
    <n v="12264"/>
    <n v="221"/>
    <n v="2942"/>
    <n v="0.21208106001558846"/>
    <x v="2"/>
    <x v="0"/>
    <x v="0"/>
    <s v="FSDUpdate"/>
  </r>
  <r>
    <s v="P011"/>
    <x v="1"/>
    <s v="2025-02-02"/>
    <x v="2"/>
    <s v="Check out our latest story on instagram!"/>
    <n v="1792"/>
    <n v="614"/>
    <n v="497"/>
    <n v="25088"/>
    <n v="24675"/>
    <n v="65"/>
    <n v="2968"/>
    <n v="0.11571269132653061"/>
    <x v="2"/>
    <x v="0"/>
    <x v="0"/>
    <s v="SustainabilityDrive"/>
  </r>
  <r>
    <s v="P248"/>
    <x v="0"/>
    <s v="2025-02-02"/>
    <x v="2"/>
    <s v="Check out our latest story on facebook!"/>
    <n v="886"/>
    <n v="126"/>
    <n v="153"/>
    <n v="4430"/>
    <n v="4037"/>
    <n v="212"/>
    <n v="1377"/>
    <n v="0.26297968397291194"/>
    <x v="1"/>
    <x v="0"/>
    <x v="0"/>
    <m/>
  </r>
  <r>
    <s v="P106"/>
    <x v="1"/>
    <s v="2025-02-04"/>
    <x v="1"/>
    <s v="Check out our latest image on instagram!"/>
    <n v="4619"/>
    <n v="821"/>
    <n v="499"/>
    <n v="69285"/>
    <n v="69141"/>
    <n v="298"/>
    <n v="6237"/>
    <n v="8.5718409468138843E-2"/>
    <x v="0"/>
    <x v="0"/>
    <x v="0"/>
    <s v="SustainabilityDrive"/>
  </r>
  <r>
    <s v="P133"/>
    <x v="0"/>
    <s v="2025-02-06"/>
    <x v="1"/>
    <s v="Check out our latest image on facebook!"/>
    <n v="2072"/>
    <n v="532"/>
    <n v="71"/>
    <n v="37296"/>
    <n v="36467"/>
    <n v="25"/>
    <n v="2700"/>
    <n v="7.172350922350923E-2"/>
    <x v="0"/>
    <x v="0"/>
    <x v="0"/>
    <s v="SustainabilityDrive"/>
  </r>
  <r>
    <s v="P119"/>
    <x v="1"/>
    <s v="2025-02-07"/>
    <x v="3"/>
    <s v="Check out our latest reel on instagram!"/>
    <n v="1970"/>
    <n v="675"/>
    <n v="478"/>
    <n v="9850"/>
    <n v="8924"/>
    <n v="117"/>
    <n v="3240"/>
    <n v="0.31705583756345179"/>
    <x v="2"/>
    <x v="0"/>
    <x v="0"/>
    <m/>
  </r>
  <r>
    <s v="P100"/>
    <x v="2"/>
    <s v="2025-02-10"/>
    <x v="4"/>
    <s v="Check out our latest video on youtube!"/>
    <n v="1766"/>
    <n v="92"/>
    <n v="424"/>
    <n v="24724"/>
    <n v="24333"/>
    <n v="52"/>
    <n v="2334"/>
    <n v="9.2298980747451867E-2"/>
    <x v="1"/>
    <x v="0"/>
    <x v="0"/>
    <m/>
  </r>
  <r>
    <s v="P259"/>
    <x v="0"/>
    <s v="2025-02-10"/>
    <x v="0"/>
    <s v="Check out our latest text on facebook!"/>
    <n v="562"/>
    <n v="158"/>
    <n v="149"/>
    <n v="3372"/>
    <n v="2940"/>
    <n v="93"/>
    <n v="962"/>
    <n v="0.25771055753262156"/>
    <x v="0"/>
    <x v="0"/>
    <x v="0"/>
    <s v="CybertruckLaunch"/>
  </r>
  <r>
    <s v="P296"/>
    <x v="3"/>
    <s v="2025-02-11"/>
    <x v="4"/>
    <s v="Check out our latest video on twitter!"/>
    <n v="3440"/>
    <n v="13"/>
    <n v="20"/>
    <n v="58480"/>
    <n v="58146"/>
    <n v="210"/>
    <n v="3683"/>
    <n v="5.9387824897400819E-2"/>
    <x v="0"/>
    <x v="3"/>
    <x v="0"/>
    <s v="SustainabilityDrive"/>
  </r>
  <r>
    <s v="P260"/>
    <x v="1"/>
    <s v="2025-02-12"/>
    <x v="2"/>
    <s v="Check out our latest story on instagram!"/>
    <n v="4332"/>
    <n v="771"/>
    <n v="219"/>
    <n v="60648"/>
    <n v="60397"/>
    <n v="10"/>
    <n v="5332"/>
    <n v="8.7752275425405618E-2"/>
    <x v="0"/>
    <x v="4"/>
    <x v="3"/>
    <s v="FSDUpdate"/>
  </r>
  <r>
    <s v="P166"/>
    <x v="3"/>
    <s v="2025-02-16"/>
    <x v="3"/>
    <s v="Check out our latest reel on twitter!"/>
    <n v="1076"/>
    <n v="313"/>
    <n v="306"/>
    <n v="11836"/>
    <n v="11596"/>
    <n v="104"/>
    <n v="1799"/>
    <n v="0.14320716458262928"/>
    <x v="2"/>
    <x v="0"/>
    <x v="0"/>
    <s v="CybertruckLaunch"/>
  </r>
  <r>
    <s v="P014"/>
    <x v="0"/>
    <s v="2025-02-16"/>
    <x v="2"/>
    <s v="Check out our latest story on facebook!"/>
    <n v="4242"/>
    <n v="555"/>
    <n v="131"/>
    <n v="33936"/>
    <n v="33802"/>
    <n v="265"/>
    <n v="5193"/>
    <n v="0.14521452145214522"/>
    <x v="2"/>
    <x v="0"/>
    <x v="0"/>
    <m/>
  </r>
  <r>
    <s v="P038"/>
    <x v="2"/>
    <s v="2025-02-17"/>
    <x v="3"/>
    <s v="Check out our latest reel on youtube!"/>
    <n v="3138"/>
    <n v="123"/>
    <n v="291"/>
    <n v="28242"/>
    <n v="27550"/>
    <n v="87"/>
    <n v="3639"/>
    <n v="0.12577012959422137"/>
    <x v="0"/>
    <x v="0"/>
    <x v="0"/>
    <s v="SustainabilityDrive"/>
  </r>
  <r>
    <s v="P161"/>
    <x v="3"/>
    <s v="2025-02-19"/>
    <x v="0"/>
    <s v="Check out our latest text on twitter!"/>
    <n v="4671"/>
    <n v="876"/>
    <n v="366"/>
    <n v="51381"/>
    <n v="50565"/>
    <n v="245"/>
    <n v="6158"/>
    <n v="0.11508145034156594"/>
    <x v="0"/>
    <x v="0"/>
    <x v="0"/>
    <s v="SustainabilityDrive"/>
  </r>
  <r>
    <s v="P210"/>
    <x v="2"/>
    <s v="2025-02-19"/>
    <x v="1"/>
    <s v="Check out our latest image on youtube!"/>
    <n v="257"/>
    <n v="966"/>
    <n v="398"/>
    <n v="3341"/>
    <n v="2753"/>
    <n v="287"/>
    <n v="1908"/>
    <n v="0.48518407662376534"/>
    <x v="2"/>
    <x v="0"/>
    <x v="0"/>
    <s v="CybertruckLaunch"/>
  </r>
  <r>
    <s v="P265"/>
    <x v="3"/>
    <s v="2025-02-20"/>
    <x v="5"/>
    <s v="Check out our latest carousel on twitter!"/>
    <n v="1877"/>
    <n v="745"/>
    <n v="225"/>
    <n v="11262"/>
    <n v="10967"/>
    <n v="41"/>
    <n v="2888"/>
    <n v="0.25279701651571657"/>
    <x v="1"/>
    <x v="0"/>
    <x v="0"/>
    <s v="SustainabilityDrive"/>
  </r>
  <r>
    <s v="P047"/>
    <x v="3"/>
    <s v="2025-02-24"/>
    <x v="5"/>
    <s v="Check out our latest carousel on twitter!"/>
    <n v="2704"/>
    <n v="752"/>
    <n v="153"/>
    <n v="21632"/>
    <n v="20792"/>
    <n v="127"/>
    <n v="3736"/>
    <n v="0.16683616863905326"/>
    <x v="2"/>
    <x v="0"/>
    <x v="0"/>
    <m/>
  </r>
  <r>
    <s v="P239"/>
    <x v="2"/>
    <s v="2025-02-24"/>
    <x v="0"/>
    <s v="Check out our latest text on youtube!"/>
    <n v="4188"/>
    <n v="942"/>
    <n v="118"/>
    <n v="20940"/>
    <n v="20471"/>
    <n v="102"/>
    <n v="5350"/>
    <n v="0.25062082139446035"/>
    <x v="2"/>
    <x v="0"/>
    <x v="0"/>
    <m/>
  </r>
  <r>
    <s v="P053"/>
    <x v="2"/>
    <s v="2025-02-24"/>
    <x v="5"/>
    <s v="Check out our latest carousel on youtube!"/>
    <n v="804"/>
    <n v="639"/>
    <n v="43"/>
    <n v="4020"/>
    <n v="3144"/>
    <n v="11"/>
    <n v="1497"/>
    <n v="0.36965174129353234"/>
    <x v="1"/>
    <x v="5"/>
    <x v="0"/>
    <m/>
  </r>
  <r>
    <s v="P030"/>
    <x v="1"/>
    <s v="2025-02-25"/>
    <x v="4"/>
    <s v="Check out our latest video on instagram!"/>
    <n v="3095"/>
    <n v="39"/>
    <n v="78"/>
    <n v="55710"/>
    <n v="54808"/>
    <n v="93"/>
    <n v="3305"/>
    <n v="5.7655717106444085E-2"/>
    <x v="1"/>
    <x v="0"/>
    <x v="0"/>
    <m/>
  </r>
  <r>
    <s v="P022"/>
    <x v="0"/>
    <s v="2025-02-27"/>
    <x v="0"/>
    <s v="Check out our latest text on facebook!"/>
    <n v="1570"/>
    <n v="187"/>
    <n v="260"/>
    <n v="25120"/>
    <n v="24613"/>
    <n v="133"/>
    <n v="2150"/>
    <n v="8.0294585987261149E-2"/>
    <x v="0"/>
    <x v="0"/>
    <x v="0"/>
    <s v="SustainabilityDrive"/>
  </r>
  <r>
    <s v="P164"/>
    <x v="2"/>
    <s v="2025-02-27"/>
    <x v="0"/>
    <s v="Check out our latest text on youtube!"/>
    <n v="4934"/>
    <n v="971"/>
    <n v="156"/>
    <n v="39472"/>
    <n v="39025"/>
    <n v="169"/>
    <n v="6230"/>
    <n v="0.15355188488042157"/>
    <x v="0"/>
    <x v="1"/>
    <x v="0"/>
    <s v="SustainabilityDrive"/>
  </r>
  <r>
    <s v="P044"/>
    <x v="3"/>
    <s v="2025-03-02"/>
    <x v="1"/>
    <s v="Check out our latest image on twitter!"/>
    <n v="2358"/>
    <n v="784"/>
    <n v="344"/>
    <n v="35370"/>
    <n v="34475"/>
    <n v="216"/>
    <n v="3702"/>
    <n v="9.8558100084817649E-2"/>
    <x v="0"/>
    <x v="0"/>
    <x v="0"/>
    <m/>
  </r>
  <r>
    <s v="P072"/>
    <x v="2"/>
    <s v="2025-03-03"/>
    <x v="3"/>
    <s v="Check out our latest reel on youtube!"/>
    <n v="296"/>
    <n v="60"/>
    <n v="141"/>
    <n v="5624"/>
    <n v="5239"/>
    <n v="88"/>
    <n v="585"/>
    <n v="8.837126600284495E-2"/>
    <x v="1"/>
    <x v="0"/>
    <x v="0"/>
    <s v="ModelYCampaign"/>
  </r>
  <r>
    <s v="P212"/>
    <x v="2"/>
    <s v="2025-03-03"/>
    <x v="4"/>
    <s v="Check out our latest video on youtube!"/>
    <n v="3874"/>
    <n v="884"/>
    <n v="19"/>
    <n v="38740"/>
    <n v="38552"/>
    <n v="219"/>
    <n v="4996"/>
    <n v="0.123309241094476"/>
    <x v="0"/>
    <x v="0"/>
    <x v="0"/>
    <s v="ModelYCampaign"/>
  </r>
  <r>
    <s v="P132"/>
    <x v="1"/>
    <s v="2025-03-04"/>
    <x v="2"/>
    <s v="Check out our latest story on instagram!"/>
    <n v="1947"/>
    <n v="842"/>
    <n v="101"/>
    <n v="21417"/>
    <n v="20967"/>
    <n v="186"/>
    <n v="3076"/>
    <n v="0.13493953401503478"/>
    <x v="2"/>
    <x v="0"/>
    <x v="0"/>
    <s v="ModelYCampaign"/>
  </r>
  <r>
    <s v="P028"/>
    <x v="1"/>
    <s v="2025-03-04"/>
    <x v="4"/>
    <s v="Check out our latest video on instagram!"/>
    <n v="432"/>
    <n v="624"/>
    <n v="123"/>
    <n v="6912"/>
    <n v="6259"/>
    <n v="79"/>
    <n v="1258"/>
    <n v="0.17057291666666666"/>
    <x v="2"/>
    <x v="0"/>
    <x v="0"/>
    <s v="SustainabilityDrive"/>
  </r>
  <r>
    <s v="P077"/>
    <x v="0"/>
    <s v="2025-03-04"/>
    <x v="2"/>
    <s v="Check out our latest story on facebook!"/>
    <n v="1249"/>
    <n v="116"/>
    <n v="420"/>
    <n v="8743"/>
    <n v="8538"/>
    <n v="63"/>
    <n v="1848"/>
    <n v="0.20416333066453163"/>
    <x v="0"/>
    <x v="0"/>
    <x v="0"/>
    <m/>
  </r>
  <r>
    <s v="P042"/>
    <x v="2"/>
    <s v="2025-03-05"/>
    <x v="3"/>
    <s v="Check out our latest reel on youtube!"/>
    <n v="1543"/>
    <n v="820"/>
    <n v="333"/>
    <n v="12344"/>
    <n v="11496"/>
    <n v="241"/>
    <n v="2937"/>
    <n v="0.21840570317563188"/>
    <x v="1"/>
    <x v="0"/>
    <x v="0"/>
    <m/>
  </r>
  <r>
    <s v="P243"/>
    <x v="3"/>
    <s v="2025-03-06"/>
    <x v="1"/>
    <s v="Check out our latest image on twitter!"/>
    <n v="3592"/>
    <n v="911"/>
    <n v="375"/>
    <n v="50288"/>
    <n v="49490"/>
    <n v="32"/>
    <n v="4910"/>
    <n v="9.7001272669424113E-2"/>
    <x v="2"/>
    <x v="0"/>
    <x v="0"/>
    <s v="SustainabilityDrive"/>
  </r>
  <r>
    <s v="P040"/>
    <x v="3"/>
    <s v="2025-03-07"/>
    <x v="1"/>
    <s v="Check out our latest image on twitter!"/>
    <n v="4750"/>
    <n v="151"/>
    <n v="415"/>
    <n v="38000"/>
    <n v="37792"/>
    <n v="299"/>
    <n v="5615"/>
    <n v="0.13989473684210527"/>
    <x v="1"/>
    <x v="0"/>
    <x v="0"/>
    <s v="SustainabilityDrive"/>
  </r>
  <r>
    <s v="P233"/>
    <x v="0"/>
    <s v="2025-03-08"/>
    <x v="1"/>
    <s v="Check out our latest image on facebook!"/>
    <n v="2382"/>
    <n v="265"/>
    <n v="134"/>
    <n v="38112"/>
    <n v="37437"/>
    <n v="249"/>
    <n v="3030"/>
    <n v="7.2969143576826198E-2"/>
    <x v="2"/>
    <x v="0"/>
    <x v="0"/>
    <s v="SustainabilityDrive"/>
  </r>
  <r>
    <s v="P069"/>
    <x v="3"/>
    <s v="2025-03-08"/>
    <x v="0"/>
    <s v="Check out our latest text on twitter!"/>
    <n v="1292"/>
    <n v="626"/>
    <n v="496"/>
    <n v="25840"/>
    <n v="24916"/>
    <n v="149"/>
    <n v="2563"/>
    <n v="9.3421052631578946E-2"/>
    <x v="2"/>
    <x v="0"/>
    <x v="0"/>
    <s v="FSDUpdate"/>
  </r>
  <r>
    <s v="P041"/>
    <x v="1"/>
    <s v="2025-03-08"/>
    <x v="3"/>
    <s v="Check out our latest reel on instagram!"/>
    <n v="456"/>
    <n v="629"/>
    <n v="428"/>
    <n v="8208"/>
    <n v="7377"/>
    <n v="205"/>
    <n v="1718"/>
    <n v="0.18433235867446393"/>
    <x v="2"/>
    <x v="0"/>
    <x v="0"/>
    <s v="SustainabilityDrive"/>
  </r>
  <r>
    <s v="P010"/>
    <x v="0"/>
    <s v="2025-03-11"/>
    <x v="1"/>
    <s v="Check out our latest image on facebook!"/>
    <n v="4241"/>
    <n v="902"/>
    <n v="47"/>
    <n v="72097"/>
    <n v="71598"/>
    <n v="167"/>
    <n v="5357"/>
    <n v="7.198635172059864E-2"/>
    <x v="0"/>
    <x v="0"/>
    <x v="0"/>
    <s v="ModelYCampaign"/>
  </r>
  <r>
    <s v="P048"/>
    <x v="3"/>
    <s v="2025-03-11"/>
    <x v="2"/>
    <s v="Check out our latest story on twitter!"/>
    <n v="1950"/>
    <n v="295"/>
    <n v="478"/>
    <n v="37050"/>
    <n v="36272"/>
    <n v="119"/>
    <n v="2842"/>
    <n v="7.349527665317139E-2"/>
    <x v="0"/>
    <x v="0"/>
    <x v="0"/>
    <m/>
  </r>
  <r>
    <s v="P054"/>
    <x v="2"/>
    <s v="2025-03-13"/>
    <x v="5"/>
    <s v="Check out our latest carousel on youtube!"/>
    <n v="1686"/>
    <n v="904"/>
    <n v="472"/>
    <n v="18546"/>
    <n v="18171"/>
    <n v="52"/>
    <n v="3114"/>
    <n v="0.16510298716704411"/>
    <x v="2"/>
    <x v="0"/>
    <x v="0"/>
    <s v="ModelYCampaign"/>
  </r>
  <r>
    <s v="P116"/>
    <x v="2"/>
    <s v="2025-03-18"/>
    <x v="3"/>
    <s v="Check out our latest reel on youtube!"/>
    <n v="3704"/>
    <n v="186"/>
    <n v="458"/>
    <n v="25928"/>
    <n v="25081"/>
    <n v="131"/>
    <n v="4479"/>
    <n v="0.16769515581610614"/>
    <x v="0"/>
    <x v="0"/>
    <x v="0"/>
    <m/>
  </r>
  <r>
    <s v="P209"/>
    <x v="3"/>
    <s v="2025-03-19"/>
    <x v="4"/>
    <s v="Check out our latest video on twitter!"/>
    <n v="3160"/>
    <n v="204"/>
    <n v="297"/>
    <n v="44240"/>
    <n v="43666"/>
    <n v="49"/>
    <n v="3710"/>
    <n v="8.2753164556962022E-2"/>
    <x v="2"/>
    <x v="1"/>
    <x v="0"/>
    <s v="SustainabilityDrive"/>
  </r>
  <r>
    <s v="P181"/>
    <x v="2"/>
    <s v="2025-03-21"/>
    <x v="1"/>
    <s v="Check out our latest image on youtube!"/>
    <n v="606"/>
    <n v="789"/>
    <n v="470"/>
    <n v="7878"/>
    <n v="7389"/>
    <n v="239"/>
    <n v="2104"/>
    <n v="0.23673521198273673"/>
    <x v="1"/>
    <x v="0"/>
    <x v="0"/>
    <s v="FSDUpdate"/>
  </r>
  <r>
    <s v="P281"/>
    <x v="2"/>
    <s v="2025-03-22"/>
    <x v="1"/>
    <s v="Check out our latest image on youtube!"/>
    <n v="3166"/>
    <n v="90"/>
    <n v="341"/>
    <n v="56988"/>
    <n v="56125"/>
    <n v="135"/>
    <n v="3732"/>
    <n v="6.3118551273952411E-2"/>
    <x v="1"/>
    <x v="0"/>
    <x v="0"/>
    <s v="ModelYCampaign"/>
  </r>
  <r>
    <s v="P104"/>
    <x v="2"/>
    <s v="2025-03-23"/>
    <x v="2"/>
    <s v="Check out our latest story on youtube!"/>
    <n v="3655"/>
    <n v="568"/>
    <n v="286"/>
    <n v="32895"/>
    <n v="32015"/>
    <n v="199"/>
    <n v="4708"/>
    <n v="0.13707250341997265"/>
    <x v="0"/>
    <x v="0"/>
    <x v="0"/>
    <s v="FSDUpdate"/>
  </r>
  <r>
    <s v="P221"/>
    <x v="0"/>
    <s v="2025-03-23"/>
    <x v="4"/>
    <s v="Check out our latest video on facebook!"/>
    <n v="4453"/>
    <n v="111"/>
    <n v="420"/>
    <n v="31171"/>
    <n v="30565"/>
    <n v="23"/>
    <n v="5007"/>
    <n v="0.15989220750056141"/>
    <x v="0"/>
    <x v="0"/>
    <x v="0"/>
    <m/>
  </r>
  <r>
    <s v="P189"/>
    <x v="0"/>
    <s v="2025-03-24"/>
    <x v="3"/>
    <s v="Check out our latest reel on facebook!"/>
    <n v="3360"/>
    <n v="525"/>
    <n v="500"/>
    <n v="60480"/>
    <n v="59610"/>
    <n v="192"/>
    <n v="4577"/>
    <n v="7.2503306878306875E-2"/>
    <x v="0"/>
    <x v="0"/>
    <x v="0"/>
    <s v="CybertruckLaunch"/>
  </r>
  <r>
    <s v="P091"/>
    <x v="0"/>
    <s v="2025-03-24"/>
    <x v="1"/>
    <s v="Check out our latest image on facebook!"/>
    <n v="1263"/>
    <n v="397"/>
    <n v="357"/>
    <n v="25260"/>
    <n v="24615"/>
    <n v="137"/>
    <n v="2154"/>
    <n v="7.984956452889945E-2"/>
    <x v="1"/>
    <x v="0"/>
    <x v="0"/>
    <s v="SustainabilityDrive"/>
  </r>
  <r>
    <s v="P142"/>
    <x v="2"/>
    <s v="2025-03-25"/>
    <x v="2"/>
    <s v="Check out our latest story on youtube!"/>
    <n v="2070"/>
    <n v="275"/>
    <n v="386"/>
    <n v="39330"/>
    <n v="38627"/>
    <n v="114"/>
    <n v="2845"/>
    <n v="6.9438087973557078E-2"/>
    <x v="2"/>
    <x v="0"/>
    <x v="0"/>
    <s v="SustainabilityDrive"/>
  </r>
  <r>
    <s v="P108"/>
    <x v="3"/>
    <s v="2025-03-25"/>
    <x v="4"/>
    <s v="Check out our latest video on twitter!"/>
    <n v="4050"/>
    <n v="871"/>
    <n v="347"/>
    <n v="52650"/>
    <n v="51755"/>
    <n v="209"/>
    <n v="5477"/>
    <n v="0.10005698005698006"/>
    <x v="0"/>
    <x v="0"/>
    <x v="0"/>
    <s v="ModelYCampaign"/>
  </r>
  <r>
    <s v="P034"/>
    <x v="0"/>
    <s v="2025-03-26"/>
    <x v="0"/>
    <s v="Check out our latest text on facebook!"/>
    <n v="1652"/>
    <n v="89"/>
    <n v="357"/>
    <n v="29736"/>
    <n v="28771"/>
    <n v="215"/>
    <n v="2313"/>
    <n v="7.055421038471886E-2"/>
    <x v="0"/>
    <x v="0"/>
    <x v="0"/>
    <s v="FSDUpdate"/>
  </r>
  <r>
    <s v="P251"/>
    <x v="1"/>
    <s v="2025-03-27"/>
    <x v="5"/>
    <s v="Check out our latest carousel on instagram!"/>
    <n v="1377"/>
    <n v="796"/>
    <n v="387"/>
    <n v="22032"/>
    <n v="21869"/>
    <n v="189"/>
    <n v="2749"/>
    <n v="0.11619462599854757"/>
    <x v="2"/>
    <x v="0"/>
    <x v="0"/>
    <m/>
  </r>
  <r>
    <s v="P272"/>
    <x v="1"/>
    <s v="2025-03-27"/>
    <x v="0"/>
    <s v="Check out our latest text on instagram!"/>
    <n v="4941"/>
    <n v="414"/>
    <n v="266"/>
    <n v="39528"/>
    <n v="39154"/>
    <n v="217"/>
    <n v="5838"/>
    <n v="0.14220299534507186"/>
    <x v="0"/>
    <x v="0"/>
    <x v="0"/>
    <s v="FSDUpdate"/>
  </r>
  <r>
    <s v="P126"/>
    <x v="1"/>
    <s v="2025-03-28"/>
    <x v="5"/>
    <s v="Check out our latest carousel on instagram!"/>
    <n v="4158"/>
    <n v="167"/>
    <n v="241"/>
    <n v="45738"/>
    <n v="45183"/>
    <n v="142"/>
    <n v="4708"/>
    <n v="9.9829463465827106E-2"/>
    <x v="2"/>
    <x v="0"/>
    <x v="0"/>
    <m/>
  </r>
  <r>
    <s v="P065"/>
    <x v="1"/>
    <s v="2025-03-28"/>
    <x v="2"/>
    <s v="Check out our latest story on instagram!"/>
    <n v="1881"/>
    <n v="501"/>
    <n v="99"/>
    <n v="20691"/>
    <n v="19987"/>
    <n v="289"/>
    <n v="2770"/>
    <n v="0.11990720603160794"/>
    <x v="1"/>
    <x v="0"/>
    <x v="0"/>
    <m/>
  </r>
  <r>
    <s v="P067"/>
    <x v="0"/>
    <s v="2025-03-29"/>
    <x v="5"/>
    <s v="Check out our latest carousel on facebook!"/>
    <n v="4712"/>
    <n v="568"/>
    <n v="127"/>
    <n v="84816"/>
    <n v="84691"/>
    <n v="100"/>
    <n v="5507"/>
    <n v="6.3749764195434822E-2"/>
    <x v="1"/>
    <x v="0"/>
    <x v="0"/>
    <s v="FSDUpdate"/>
  </r>
  <r>
    <s v="P138"/>
    <x v="3"/>
    <s v="2025-03-29"/>
    <x v="1"/>
    <s v="Check out our latest image on twitter!"/>
    <n v="305"/>
    <n v="187"/>
    <n v="243"/>
    <n v="4575"/>
    <n v="3704"/>
    <n v="234"/>
    <n v="969"/>
    <n v="0.16065573770491803"/>
    <x v="2"/>
    <x v="0"/>
    <x v="0"/>
    <s v="FSDUpdate"/>
  </r>
  <r>
    <s v="P162"/>
    <x v="0"/>
    <s v="2025-04-01"/>
    <x v="2"/>
    <s v="Check out our latest story on facebook!"/>
    <n v="3430"/>
    <n v="566"/>
    <n v="164"/>
    <n v="48020"/>
    <n v="47305"/>
    <n v="120"/>
    <n v="4280"/>
    <n v="8.6630570595585168E-2"/>
    <x v="2"/>
    <x v="0"/>
    <x v="0"/>
    <m/>
  </r>
  <r>
    <s v="P070"/>
    <x v="0"/>
    <s v="2025-04-02"/>
    <x v="4"/>
    <s v="Check out our latest video on facebook!"/>
    <n v="199"/>
    <n v="772"/>
    <n v="400"/>
    <n v="3582"/>
    <n v="2988"/>
    <n v="43"/>
    <n v="1414"/>
    <n v="0.38274706867671693"/>
    <x v="0"/>
    <x v="0"/>
    <x v="0"/>
    <m/>
  </r>
  <r>
    <s v="P002"/>
    <x v="3"/>
    <s v="2025-04-03"/>
    <x v="0"/>
    <s v="Check out our latest text on twitter!"/>
    <n v="4054"/>
    <n v="389"/>
    <n v="493"/>
    <n v="64864"/>
    <n v="64383"/>
    <n v="117"/>
    <n v="5053"/>
    <n v="7.6097681302417369E-2"/>
    <x v="0"/>
    <x v="5"/>
    <x v="0"/>
    <s v="ModelYCampaign"/>
  </r>
  <r>
    <s v="P255"/>
    <x v="0"/>
    <s v="2025-04-03"/>
    <x v="2"/>
    <s v="Check out our latest story on facebook!"/>
    <n v="3767"/>
    <n v="514"/>
    <n v="238"/>
    <n v="37670"/>
    <n v="36807"/>
    <n v="226"/>
    <n v="4745"/>
    <n v="0.11996283514733209"/>
    <x v="2"/>
    <x v="0"/>
    <x v="0"/>
    <s v="SustainabilityDrive"/>
  </r>
  <r>
    <s v="P026"/>
    <x v="2"/>
    <s v="2025-04-05"/>
    <x v="3"/>
    <s v="Check out our latest reel on youtube!"/>
    <n v="3009"/>
    <n v="413"/>
    <n v="358"/>
    <n v="42126"/>
    <n v="41309"/>
    <n v="211"/>
    <n v="3991"/>
    <n v="8.9730807577268201E-2"/>
    <x v="2"/>
    <x v="0"/>
    <x v="0"/>
    <s v="ModelYCampaign"/>
  </r>
  <r>
    <s v="P257"/>
    <x v="0"/>
    <s v="2025-04-06"/>
    <x v="1"/>
    <s v="Check out our latest image on facebook!"/>
    <n v="3090"/>
    <n v="697"/>
    <n v="164"/>
    <n v="49440"/>
    <n v="48524"/>
    <n v="25"/>
    <n v="3976"/>
    <n v="7.9915048543689318E-2"/>
    <x v="1"/>
    <x v="4"/>
    <x v="3"/>
    <s v="ModelYCampaign"/>
  </r>
  <r>
    <s v="P277"/>
    <x v="0"/>
    <s v="2025-04-06"/>
    <x v="1"/>
    <s v="Check out our latest image on facebook!"/>
    <n v="4236"/>
    <n v="711"/>
    <n v="298"/>
    <n v="21180"/>
    <n v="20516"/>
    <n v="238"/>
    <n v="5483"/>
    <n v="0.24763928234183191"/>
    <x v="2"/>
    <x v="0"/>
    <x v="0"/>
    <s v="CybertruckLaunch"/>
  </r>
  <r>
    <s v="P124"/>
    <x v="2"/>
    <s v="2025-04-06"/>
    <x v="5"/>
    <s v="Check out our latest carousel on youtube!"/>
    <n v="736"/>
    <n v="771"/>
    <n v="225"/>
    <n v="5152"/>
    <n v="4706"/>
    <n v="19"/>
    <n v="1751"/>
    <n v="0.33618012422360249"/>
    <x v="1"/>
    <x v="0"/>
    <x v="0"/>
    <s v="CybertruckLaunch"/>
  </r>
  <r>
    <s v="P200"/>
    <x v="0"/>
    <s v="2025-04-07"/>
    <x v="3"/>
    <s v="Check out our latest reel on facebook!"/>
    <n v="3718"/>
    <n v="385"/>
    <n v="310"/>
    <n v="70642"/>
    <n v="69749"/>
    <n v="233"/>
    <n v="4646"/>
    <n v="6.246991874522239E-2"/>
    <x v="0"/>
    <x v="0"/>
    <x v="0"/>
    <s v="ModelYCampaign"/>
  </r>
  <r>
    <s v="P163"/>
    <x v="1"/>
    <s v="2025-04-08"/>
    <x v="1"/>
    <s v="Check out our latest image on instagram!"/>
    <n v="4501"/>
    <n v="375"/>
    <n v="323"/>
    <n v="22505"/>
    <n v="21836"/>
    <n v="132"/>
    <n v="5331"/>
    <n v="0.23101532992668297"/>
    <x v="0"/>
    <x v="0"/>
    <x v="0"/>
    <s v="ModelYCampaign"/>
  </r>
  <r>
    <s v="P025"/>
    <x v="3"/>
    <s v="2025-04-10"/>
    <x v="5"/>
    <s v="Check out our latest carousel on twitter!"/>
    <n v="3128"/>
    <n v="211"/>
    <n v="197"/>
    <n v="59432"/>
    <n v="59182"/>
    <n v="238"/>
    <n v="3774"/>
    <n v="5.9496567505720827E-2"/>
    <x v="1"/>
    <x v="0"/>
    <x v="0"/>
    <m/>
  </r>
  <r>
    <s v="P268"/>
    <x v="1"/>
    <s v="2025-04-13"/>
    <x v="3"/>
    <s v="Check out our latest reel on instagram!"/>
    <n v="4579"/>
    <n v="125"/>
    <n v="300"/>
    <n v="59527"/>
    <n v="59400"/>
    <n v="269"/>
    <n v="5273"/>
    <n v="8.4062694239588759E-2"/>
    <x v="1"/>
    <x v="0"/>
    <x v="0"/>
    <s v="CybertruckLaunch"/>
  </r>
  <r>
    <s v="P148"/>
    <x v="1"/>
    <s v="2025-04-15"/>
    <x v="4"/>
    <s v="Check out our latest video on instagram!"/>
    <n v="4133"/>
    <n v="466"/>
    <n v="327"/>
    <n v="24798"/>
    <n v="24620"/>
    <n v="176"/>
    <n v="5102"/>
    <n v="0.19864505202032423"/>
    <x v="1"/>
    <x v="0"/>
    <x v="0"/>
    <s v="SustainabilityDrive"/>
  </r>
  <r>
    <s v="P058"/>
    <x v="1"/>
    <s v="2025-04-15"/>
    <x v="3"/>
    <s v="Check out our latest reel on instagram!"/>
    <n v="103"/>
    <n v="770"/>
    <n v="19"/>
    <n v="1030"/>
    <n v="410"/>
    <n v="262"/>
    <n v="1154"/>
    <n v="0.86601941747572819"/>
    <x v="0"/>
    <x v="0"/>
    <x v="0"/>
    <s v="SustainabilityDrive"/>
  </r>
  <r>
    <s v="P288"/>
    <x v="2"/>
    <s v="2025-04-17"/>
    <x v="5"/>
    <s v="Check out our latest carousel on youtube!"/>
    <n v="4780"/>
    <n v="691"/>
    <n v="380"/>
    <n v="86040"/>
    <n v="85743"/>
    <n v="262"/>
    <n v="6113"/>
    <n v="6.800325430032543E-2"/>
    <x v="2"/>
    <x v="0"/>
    <x v="0"/>
    <s v="FSDUpdate"/>
  </r>
  <r>
    <s v="P036"/>
    <x v="1"/>
    <s v="2025-04-19"/>
    <x v="2"/>
    <s v="Check out our latest story on instagram!"/>
    <n v="4518"/>
    <n v="285"/>
    <n v="383"/>
    <n v="67770"/>
    <n v="67621"/>
    <n v="31"/>
    <n v="5217"/>
    <n v="7.6523535487678915E-2"/>
    <x v="1"/>
    <x v="0"/>
    <x v="0"/>
    <s v="ModelYCampaign"/>
  </r>
  <r>
    <s v="P085"/>
    <x v="1"/>
    <s v="2025-04-19"/>
    <x v="1"/>
    <s v="Check out our latest image on instagram!"/>
    <n v="4177"/>
    <n v="569"/>
    <n v="55"/>
    <n v="25062"/>
    <n v="24847"/>
    <n v="230"/>
    <n v="5031"/>
    <n v="0.19156491900087783"/>
    <x v="2"/>
    <x v="0"/>
    <x v="0"/>
    <s v="CybertruckLaunch"/>
  </r>
  <r>
    <s v="P152"/>
    <x v="0"/>
    <s v="2025-04-22"/>
    <x v="1"/>
    <s v="Check out our latest image on facebook!"/>
    <n v="4804"/>
    <n v="550"/>
    <n v="270"/>
    <n v="28824"/>
    <n v="28370"/>
    <n v="47"/>
    <n v="5671"/>
    <n v="0.19511518179295032"/>
    <x v="1"/>
    <x v="0"/>
    <x v="0"/>
    <s v="SustainabilityDrive"/>
  </r>
  <r>
    <s v="P134"/>
    <x v="3"/>
    <s v="2025-04-24"/>
    <x v="3"/>
    <s v="Check out our latest reel on twitter!"/>
    <n v="3731"/>
    <n v="115"/>
    <n v="135"/>
    <n v="55965"/>
    <n v="55436"/>
    <n v="103"/>
    <n v="4084"/>
    <n v="7.1133744304476013E-2"/>
    <x v="0"/>
    <x v="0"/>
    <x v="0"/>
    <s v="CybertruckLaunch"/>
  </r>
  <r>
    <s v="P205"/>
    <x v="3"/>
    <s v="2025-04-24"/>
    <x v="4"/>
    <s v="Check out our latest video on twitter!"/>
    <n v="3820"/>
    <n v="697"/>
    <n v="268"/>
    <n v="45840"/>
    <n v="45631"/>
    <n v="171"/>
    <n v="4956"/>
    <n v="0.1043848167539267"/>
    <x v="0"/>
    <x v="3"/>
    <x v="0"/>
    <s v="SustainabilityDrive"/>
  </r>
  <r>
    <s v="P170"/>
    <x v="3"/>
    <s v="2025-04-28"/>
    <x v="0"/>
    <s v="Check out our latest text on twitter!"/>
    <n v="3577"/>
    <n v="596"/>
    <n v="493"/>
    <n v="67963"/>
    <n v="67839"/>
    <n v="53"/>
    <n v="4719"/>
    <n v="6.8655003457763777E-2"/>
    <x v="0"/>
    <x v="0"/>
    <x v="0"/>
    <s v="FSDUpdate"/>
  </r>
  <r>
    <s v="P252"/>
    <x v="0"/>
    <s v="2025-04-28"/>
    <x v="5"/>
    <s v="Check out our latest carousel on facebook!"/>
    <n v="2089"/>
    <n v="476"/>
    <n v="69"/>
    <n v="16712"/>
    <n v="16309"/>
    <n v="64"/>
    <n v="2698"/>
    <n v="0.15761129727142173"/>
    <x v="2"/>
    <x v="0"/>
    <x v="0"/>
    <s v="FSDUpdate"/>
  </r>
  <r>
    <s v="P232"/>
    <x v="3"/>
    <s v="2025-04-29"/>
    <x v="2"/>
    <s v="Check out our latest story on twitter!"/>
    <n v="249"/>
    <n v="592"/>
    <n v="230"/>
    <n v="1494"/>
    <n v="1044"/>
    <n v="201"/>
    <n v="1272"/>
    <n v="0.7168674698795181"/>
    <x v="1"/>
    <x v="0"/>
    <x v="0"/>
    <s v="SustainabilityDrive"/>
  </r>
  <r>
    <s v="P213"/>
    <x v="0"/>
    <s v="2025-05-01"/>
    <x v="5"/>
    <s v="Check out our latest carousel on facebook!"/>
    <n v="2696"/>
    <n v="628"/>
    <n v="443"/>
    <n v="45832"/>
    <n v="45632"/>
    <n v="248"/>
    <n v="4015"/>
    <n v="8.21914819340199E-2"/>
    <x v="1"/>
    <x v="0"/>
    <x v="0"/>
    <s v="SustainabilityDrive"/>
  </r>
  <r>
    <s v="P231"/>
    <x v="1"/>
    <s v="2025-05-01"/>
    <x v="0"/>
    <s v="Check out our latest text on instagram!"/>
    <n v="1430"/>
    <n v="376"/>
    <n v="33"/>
    <n v="21450"/>
    <n v="20509"/>
    <n v="251"/>
    <n v="2090"/>
    <n v="8.5734265734265735E-2"/>
    <x v="2"/>
    <x v="0"/>
    <x v="0"/>
    <s v="CybertruckLaunch"/>
  </r>
  <r>
    <s v="P046"/>
    <x v="3"/>
    <s v="2025-05-02"/>
    <x v="4"/>
    <s v="Check out our latest video on twitter!"/>
    <n v="1108"/>
    <n v="177"/>
    <n v="212"/>
    <n v="8864"/>
    <n v="8710"/>
    <n v="97"/>
    <n v="1594"/>
    <n v="0.16888537906137185"/>
    <x v="0"/>
    <x v="0"/>
    <x v="0"/>
    <s v="SustainabilityDrive"/>
  </r>
  <r>
    <s v="P017"/>
    <x v="0"/>
    <s v="2025-05-05"/>
    <x v="0"/>
    <s v="Check out our latest text on facebook!"/>
    <n v="4441"/>
    <n v="511"/>
    <n v="70"/>
    <n v="53292"/>
    <n v="53082"/>
    <n v="159"/>
    <n v="5181"/>
    <n v="9.4235532537716729E-2"/>
    <x v="1"/>
    <x v="0"/>
    <x v="0"/>
    <s v="SustainabilityDrive"/>
  </r>
  <r>
    <s v="P215"/>
    <x v="0"/>
    <s v="2025-05-06"/>
    <x v="1"/>
    <s v="Check out our latest image on facebook!"/>
    <n v="4872"/>
    <n v="925"/>
    <n v="176"/>
    <n v="82824"/>
    <n v="82543"/>
    <n v="89"/>
    <n v="6062"/>
    <n v="7.2116777745580993E-2"/>
    <x v="1"/>
    <x v="0"/>
    <x v="0"/>
    <s v="ModelYCampaign"/>
  </r>
  <r>
    <s v="P295"/>
    <x v="3"/>
    <s v="2025-05-06"/>
    <x v="1"/>
    <s v="Check out our latest image on twitter!"/>
    <n v="1952"/>
    <n v="344"/>
    <n v="287"/>
    <n v="15616"/>
    <n v="15403"/>
    <n v="235"/>
    <n v="2818"/>
    <n v="0.16540727459016394"/>
    <x v="2"/>
    <x v="2"/>
    <x v="1"/>
    <s v="ModelYCampaign"/>
  </r>
  <r>
    <s v="P283"/>
    <x v="3"/>
    <s v="2025-05-09"/>
    <x v="3"/>
    <s v="Check out our latest reel on twitter!"/>
    <n v="3367"/>
    <n v="302"/>
    <n v="57"/>
    <n v="63973"/>
    <n v="63789"/>
    <n v="157"/>
    <n v="3883"/>
    <n v="5.8243321401216137E-2"/>
    <x v="2"/>
    <x v="0"/>
    <x v="0"/>
    <s v="ModelYCampaign"/>
  </r>
  <r>
    <s v="P115"/>
    <x v="3"/>
    <s v="2025-05-11"/>
    <x v="1"/>
    <s v="Check out our latest image on twitter!"/>
    <n v="2493"/>
    <n v="97"/>
    <n v="44"/>
    <n v="42381"/>
    <n v="41991"/>
    <n v="242"/>
    <n v="2876"/>
    <n v="6.2150491965739366E-2"/>
    <x v="0"/>
    <x v="1"/>
    <x v="0"/>
    <s v="SustainabilityDrive"/>
  </r>
  <r>
    <s v="P003"/>
    <x v="2"/>
    <s v="2025-05-12"/>
    <x v="3"/>
    <s v="Check out our latest reel on youtube!"/>
    <n v="2795"/>
    <n v="105"/>
    <n v="49"/>
    <n v="53105"/>
    <n v="52307"/>
    <n v="204"/>
    <n v="3153"/>
    <n v="5.5531494209584788E-2"/>
    <x v="0"/>
    <x v="0"/>
    <x v="0"/>
    <s v="FSDUpdate"/>
  </r>
  <r>
    <s v="P224"/>
    <x v="0"/>
    <s v="2025-05-13"/>
    <x v="1"/>
    <s v="Check out our latest image on facebook!"/>
    <n v="602"/>
    <n v="594"/>
    <n v="156"/>
    <n v="4214"/>
    <n v="3363"/>
    <n v="164"/>
    <n v="1516"/>
    <n v="0.32083531086853345"/>
    <x v="0"/>
    <x v="0"/>
    <x v="0"/>
    <s v="FSDUpdate"/>
  </r>
  <r>
    <s v="P293"/>
    <x v="0"/>
    <s v="2025-05-14"/>
    <x v="0"/>
    <s v="Check out our latest text on facebook!"/>
    <n v="2634"/>
    <n v="726"/>
    <n v="241"/>
    <n v="28974"/>
    <n v="28102"/>
    <n v="277"/>
    <n v="3878"/>
    <n v="0.12428384068475185"/>
    <x v="1"/>
    <x v="0"/>
    <x v="0"/>
    <s v="CybertruckLaun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FBCF0-5CAF-4C97-8054-1E2C5862E11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33" firstHeaderRow="0" firstDataRow="1" firstDataCol="1"/>
  <pivotFields count="17">
    <pivotField showAll="0"/>
    <pivotField axis="axisRow" showAll="0">
      <items count="5">
        <item x="0"/>
        <item x="1"/>
        <item x="3"/>
        <item x="2"/>
        <item t="default"/>
      </items>
    </pivotField>
    <pivotField showAll="0"/>
    <pivotField axis="axisRow" showAll="0">
      <items count="7">
        <item x="5"/>
        <item x="1"/>
        <item x="3"/>
        <item x="2"/>
        <item x="0"/>
        <item x="4"/>
        <item t="default"/>
      </items>
    </pivotField>
    <pivotField showAll="0"/>
    <pivotField dataField="1" numFmtId="1" showAll="0"/>
    <pivotField dataField="1" numFmtId="1" showAll="0"/>
    <pivotField dataField="1" numFmtId="1" showAll="0"/>
    <pivotField numFmtId="1" showAll="0"/>
    <pivotField numFmtId="1" showAll="0"/>
    <pivotField numFmtId="2" showAll="0"/>
    <pivotField numFmtId="1" showAll="0"/>
    <pivotField numFmtId="9" showAll="0"/>
    <pivotField showAll="0"/>
    <pivotField showAll="0"/>
    <pivotField showAll="0"/>
    <pivotField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Sum of Likes" fld="5" baseField="0" baseItem="0" numFmtId="1"/>
    <dataField name="Sum of Shares" fld="6" baseField="0" baseItem="0" numFmtId="1"/>
    <dataField name="Sum of Comments" fld="7" baseField="0" baseItem="0" numFmtId="1"/>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0FA4D-077B-4119-80FB-FA1B56F1C4D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pivotFields count="17">
    <pivotField showAll="0"/>
    <pivotField showAll="0">
      <items count="5">
        <item x="0"/>
        <item x="1"/>
        <item x="3"/>
        <item x="2"/>
        <item t="default"/>
      </items>
    </pivotField>
    <pivotField showAll="0"/>
    <pivotField showAll="0"/>
    <pivotField showAll="0"/>
    <pivotField numFmtId="1" showAll="0"/>
    <pivotField numFmtId="1" showAll="0"/>
    <pivotField numFmtId="1" showAll="0"/>
    <pivotField numFmtId="1" showAll="0"/>
    <pivotField numFmtId="1" showAll="0"/>
    <pivotField dataField="1" numFmtId="2" showAll="0"/>
    <pivotField numFmtId="1" showAll="0"/>
    <pivotField numFmtId="9" showAll="0"/>
    <pivotField axis="axisRow" multipleItemSelectionAllowed="1" showAll="0">
      <items count="4">
        <item sd="0" x="1"/>
        <item sd="0" x="2"/>
        <item sd="0" x="0"/>
        <item t="default"/>
      </items>
    </pivotField>
    <pivotField axis="axisRow" showAll="0">
      <items count="7">
        <item x="1"/>
        <item sd="0" x="5"/>
        <item x="4"/>
        <item x="3"/>
        <item x="2"/>
        <item x="0"/>
        <item t="default"/>
      </items>
    </pivotField>
    <pivotField axis="axisRow" showAll="0">
      <items count="5">
        <item x="1"/>
        <item x="3"/>
        <item x="2"/>
        <item x="0"/>
        <item t="default"/>
      </items>
    </pivotField>
    <pivotField showAll="0"/>
  </pivotFields>
  <rowFields count="3">
    <field x="13"/>
    <field x="14"/>
    <field x="15"/>
  </rowFields>
  <rowItems count="4">
    <i>
      <x/>
    </i>
    <i>
      <x v="1"/>
    </i>
    <i>
      <x v="2"/>
    </i>
    <i t="grand">
      <x/>
    </i>
  </rowItems>
  <colItems count="1">
    <i/>
  </colItems>
  <dataFields count="1">
    <dataField name="Average of Clicks" fld="10" subtotal="average" baseField="13" baseItem="2" numFmtId="2"/>
  </dataFields>
  <conditionalFormats count="1">
    <conditionalFormat type="all" priority="1">
      <pivotAreas count="1">
        <pivotArea type="data" collapsedLevelsAreSubtotals="1" fieldPosition="0">
          <references count="2">
            <reference field="4294967294" count="1" selected="0">
              <x v="0"/>
            </reference>
            <reference field="13" count="1">
              <x v="2"/>
            </reference>
          </references>
        </pivotArea>
      </pivotAreas>
    </conditionalFormat>
  </conditional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AE7DE-3A8D-4C4A-AFE1-03119258C7C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showAll="0"/>
    <pivotField axis="axisRow" showAll="0">
      <items count="5">
        <item x="1"/>
        <item x="0"/>
        <item x="2"/>
        <item x="3"/>
        <item t="default"/>
      </items>
    </pivotField>
    <pivotField numFmtId="1" showAll="0"/>
    <pivotField numFmtId="1" showAll="0"/>
    <pivotField numFmtId="1" showAll="0"/>
    <pivotField dataField="1" showAll="0"/>
    <pivotField numFmtId="1" showAll="0"/>
    <pivotField numFmtId="1" showAll="0"/>
    <pivotField numFmtId="9" showAll="0"/>
  </pivotFields>
  <rowFields count="1">
    <field x="1"/>
  </rowFields>
  <rowItems count="5">
    <i>
      <x/>
    </i>
    <i>
      <x v="1"/>
    </i>
    <i>
      <x v="2"/>
    </i>
    <i>
      <x v="3"/>
    </i>
    <i t="grand">
      <x/>
    </i>
  </rowItems>
  <colItems count="1">
    <i/>
  </colItems>
  <dataFields count="1">
    <dataField name="Average of Engagement_Rate"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479E1A-A2CE-4DC2-A42F-B99AB469817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9">
    <pivotField showAll="0"/>
    <pivotField axis="axisRow" showAll="0">
      <items count="5">
        <item x="1"/>
        <item x="0"/>
        <item x="2"/>
        <item x="3"/>
        <item t="default"/>
      </items>
    </pivotField>
    <pivotField numFmtId="1" showAll="0"/>
    <pivotField numFmtId="1" showAll="0"/>
    <pivotField numFmtId="1" showAll="0"/>
    <pivotField showAll="0"/>
    <pivotField numFmtId="1" showAll="0"/>
    <pivotField numFmtId="1" showAll="0"/>
    <pivotField dataField="1" numFmtId="9" showAll="0"/>
  </pivotFields>
  <rowFields count="1">
    <field x="1"/>
  </rowFields>
  <rowItems count="5">
    <i>
      <x/>
    </i>
    <i>
      <x v="1"/>
    </i>
    <i>
      <x v="2"/>
    </i>
    <i>
      <x v="3"/>
    </i>
    <i t="grand">
      <x/>
    </i>
  </rowItems>
  <colItems count="1">
    <i/>
  </colItems>
  <dataFields count="1">
    <dataField name="Average of Growth Rate" fld="8" subtotal="average" baseField="1" baseItem="0" numFmtId="9"/>
  </dataFields>
  <formats count="2">
    <format dxfId="82">
      <pivotArea collapsedLevelsAreSubtotals="1" fieldPosition="0">
        <references count="1">
          <reference field="1" count="0"/>
        </references>
      </pivotArea>
    </format>
    <format dxfId="81">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890D5D-C86B-4C57-A186-1522C9E74FA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9">
    <pivotField showAll="0"/>
    <pivotField axis="axisRow" showAll="0">
      <items count="5">
        <item x="1"/>
        <item x="0"/>
        <item x="2"/>
        <item x="3"/>
        <item t="default"/>
      </items>
    </pivotField>
    <pivotField numFmtId="1" showAll="0"/>
    <pivotField numFmtId="1" showAll="0"/>
    <pivotField numFmtId="1" showAll="0"/>
    <pivotField dataField="1" showAll="0"/>
    <pivotField dataField="1" numFmtId="1" showAll="0"/>
    <pivotField numFmtId="1" showAll="0"/>
    <pivotField numFmtId="9" showAll="0"/>
  </pivotFields>
  <rowFields count="1">
    <field x="1"/>
  </rowFields>
  <rowItems count="5">
    <i>
      <x/>
    </i>
    <i>
      <x v="1"/>
    </i>
    <i>
      <x v="2"/>
    </i>
    <i>
      <x v="3"/>
    </i>
    <i t="grand">
      <x/>
    </i>
  </rowItems>
  <colFields count="1">
    <field x="-2"/>
  </colFields>
  <colItems count="2">
    <i>
      <x/>
    </i>
    <i i="1">
      <x v="1"/>
    </i>
  </colItems>
  <dataFields count="2">
    <dataField name="Average of Engagement_Rate" fld="5" subtotal="average" baseField="0" baseItem="0"/>
    <dataField name="Average of Ad_Spend" fld="6" subtotal="average" baseField="1"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CA37E-3C07-473E-86F3-8D7192D7067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5">
    <pivotField showAll="0"/>
    <pivotField showAll="0"/>
    <pivotField numFmtId="164" showAll="0"/>
    <pivotField showAll="0"/>
    <pivotField showAll="0"/>
    <pivotField numFmtId="1" showAll="0"/>
    <pivotField numFmtId="1" showAll="0"/>
    <pivotField numFmtId="1" showAll="0"/>
    <pivotField numFmtId="1" showAll="0"/>
    <pivotField numFmtId="1" showAll="0"/>
    <pivotField numFmtId="1" showAll="0"/>
    <pivotField axis="axisRow" dataField="1" showAll="0">
      <items count="7">
        <item x="1"/>
        <item x="3"/>
        <item x="4"/>
        <item x="0"/>
        <item x="5"/>
        <item x="2"/>
        <item t="default"/>
      </items>
    </pivotField>
    <pivotField showAll="0"/>
    <pivotField numFmtId="1" showAll="0"/>
    <pivotField numFmtId="9" showAll="0"/>
  </pivotFields>
  <rowFields count="1">
    <field x="11"/>
  </rowFields>
  <rowItems count="7">
    <i>
      <x/>
    </i>
    <i>
      <x v="1"/>
    </i>
    <i>
      <x v="2"/>
    </i>
    <i>
      <x v="3"/>
    </i>
    <i>
      <x v="4"/>
    </i>
    <i>
      <x v="5"/>
    </i>
    <i t="grand">
      <x/>
    </i>
  </rowItems>
  <colItems count="1">
    <i/>
  </colItems>
  <dataFields count="1">
    <dataField name="Count of Hashtags Used" fld="11" subtotal="count"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5C5CF3-F2BC-4C08-B3CF-0CB0350E9D6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H10" firstHeaderRow="0" firstDataRow="1" firstDataCol="1"/>
  <pivotFields count="15">
    <pivotField showAll="0"/>
    <pivotField showAll="0">
      <items count="5">
        <item x="3"/>
        <item x="2"/>
        <item x="0"/>
        <item x="1"/>
        <item t="default"/>
      </items>
    </pivotField>
    <pivotField numFmtId="164"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axis="axisRow" showAll="0">
      <items count="7">
        <item x="1"/>
        <item x="3"/>
        <item x="4"/>
        <item x="0"/>
        <item x="5"/>
        <item x="2"/>
        <item t="default"/>
      </items>
    </pivotField>
    <pivotField showAll="0"/>
    <pivotField numFmtId="1" showAll="0"/>
    <pivotField dataField="1" numFmtId="9" showAll="0"/>
  </pivotFields>
  <rowFields count="1">
    <field x="11"/>
  </rowFields>
  <rowItems count="7">
    <i>
      <x/>
    </i>
    <i>
      <x v="1"/>
    </i>
    <i>
      <x v="2"/>
    </i>
    <i>
      <x v="3"/>
    </i>
    <i>
      <x v="4"/>
    </i>
    <i>
      <x v="5"/>
    </i>
    <i t="grand">
      <x/>
    </i>
  </rowItems>
  <colFields count="1">
    <field x="-2"/>
  </colFields>
  <colItems count="7">
    <i>
      <x/>
    </i>
    <i i="1">
      <x v="1"/>
    </i>
    <i i="2">
      <x v="2"/>
    </i>
    <i i="3">
      <x v="3"/>
    </i>
    <i i="4">
      <x v="4"/>
    </i>
    <i i="5">
      <x v="5"/>
    </i>
    <i i="6">
      <x v="6"/>
    </i>
  </colItems>
  <dataFields count="7">
    <dataField name="Average of Likes" fld="5" subtotal="average" baseField="0" baseItem="0" numFmtId="1"/>
    <dataField name="Average of Shares" fld="6" subtotal="average" baseField="0" baseItem="0" numFmtId="1"/>
    <dataField name="Average of Comments" fld="7" subtotal="average" baseField="0" baseItem="0" numFmtId="1"/>
    <dataField name="Average of Impressions" fld="8" subtotal="average" baseField="0" baseItem="0" numFmtId="1"/>
    <dataField name="Average of Reach" fld="9" subtotal="average" baseField="0" baseItem="0" numFmtId="1"/>
    <dataField name="Average of Clicks" fld="10" subtotal="average" baseField="0" baseItem="0" numFmtId="1"/>
    <dataField name="Average of Engagement rate" fld="14" subtotal="average" baseField="0" baseItem="0" numFmtId="9"/>
  </dataFields>
  <chartFormats count="4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pivotArea type="data" outline="0" fieldPosition="0">
        <references count="2">
          <reference field="4294967294" count="1" selected="0">
            <x v="0"/>
          </reference>
          <reference field="11" count="1" selected="0">
            <x v="1"/>
          </reference>
        </references>
      </pivotArea>
    </chartFormat>
    <chartFormat chart="0" format="8">
      <pivotArea type="data" outline="0" fieldPosition="0">
        <references count="2">
          <reference field="4294967294" count="1" selected="0">
            <x v="0"/>
          </reference>
          <reference field="11" count="1" selected="0">
            <x v="0"/>
          </reference>
        </references>
      </pivotArea>
    </chartFormat>
    <chartFormat chart="0" format="9">
      <pivotArea type="data" outline="0" fieldPosition="0">
        <references count="2">
          <reference field="4294967294" count="1" selected="0">
            <x v="0"/>
          </reference>
          <reference field="11" count="1" selected="0">
            <x v="2"/>
          </reference>
        </references>
      </pivotArea>
    </chartFormat>
    <chartFormat chart="0" format="10">
      <pivotArea type="data" outline="0" fieldPosition="0">
        <references count="2">
          <reference field="4294967294" count="1" selected="0">
            <x v="0"/>
          </reference>
          <reference field="11" count="1" selected="0">
            <x v="3"/>
          </reference>
        </references>
      </pivotArea>
    </chartFormat>
    <chartFormat chart="0" format="11">
      <pivotArea type="data" outline="0" fieldPosition="0">
        <references count="2">
          <reference field="4294967294" count="1" selected="0">
            <x v="0"/>
          </reference>
          <reference field="11" count="1" selected="0">
            <x v="4"/>
          </reference>
        </references>
      </pivotArea>
    </chartFormat>
    <chartFormat chart="0" format="12">
      <pivotArea type="data" outline="0" fieldPosition="0">
        <references count="2">
          <reference field="4294967294" count="1" selected="0">
            <x v="0"/>
          </reference>
          <reference field="11" count="1" selected="0">
            <x v="5"/>
          </reference>
        </references>
      </pivotArea>
    </chartFormat>
    <chartFormat chart="0" format="13">
      <pivotArea type="data" outline="0" fieldPosition="0">
        <references count="2">
          <reference field="4294967294" count="1" selected="0">
            <x v="1"/>
          </reference>
          <reference field="11" count="1" selected="0">
            <x v="0"/>
          </reference>
        </references>
      </pivotArea>
    </chartFormat>
    <chartFormat chart="0" format="14">
      <pivotArea type="data" outline="0" fieldPosition="0">
        <references count="2">
          <reference field="4294967294" count="1" selected="0">
            <x v="1"/>
          </reference>
          <reference field="11" count="1" selected="0">
            <x v="1"/>
          </reference>
        </references>
      </pivotArea>
    </chartFormat>
    <chartFormat chart="0" format="15">
      <pivotArea type="data" outline="0" fieldPosition="0">
        <references count="2">
          <reference field="4294967294" count="1" selected="0">
            <x v="1"/>
          </reference>
          <reference field="11" count="1" selected="0">
            <x v="2"/>
          </reference>
        </references>
      </pivotArea>
    </chartFormat>
    <chartFormat chart="0" format="16">
      <pivotArea type="data" outline="0" fieldPosition="0">
        <references count="2">
          <reference field="4294967294" count="1" selected="0">
            <x v="1"/>
          </reference>
          <reference field="11" count="1" selected="0">
            <x v="3"/>
          </reference>
        </references>
      </pivotArea>
    </chartFormat>
    <chartFormat chart="0" format="17">
      <pivotArea type="data" outline="0" fieldPosition="0">
        <references count="2">
          <reference field="4294967294" count="1" selected="0">
            <x v="1"/>
          </reference>
          <reference field="11" count="1" selected="0">
            <x v="4"/>
          </reference>
        </references>
      </pivotArea>
    </chartFormat>
    <chartFormat chart="0" format="18">
      <pivotArea type="data" outline="0" fieldPosition="0">
        <references count="2">
          <reference field="4294967294" count="1" selected="0">
            <x v="1"/>
          </reference>
          <reference field="11" count="1" selected="0">
            <x v="5"/>
          </reference>
        </references>
      </pivotArea>
    </chartFormat>
    <chartFormat chart="0" format="19">
      <pivotArea type="data" outline="0" fieldPosition="0">
        <references count="2">
          <reference field="4294967294" count="1" selected="0">
            <x v="2"/>
          </reference>
          <reference field="11" count="1" selected="0">
            <x v="0"/>
          </reference>
        </references>
      </pivotArea>
    </chartFormat>
    <chartFormat chart="0" format="20">
      <pivotArea type="data" outline="0" fieldPosition="0">
        <references count="2">
          <reference field="4294967294" count="1" selected="0">
            <x v="2"/>
          </reference>
          <reference field="11" count="1" selected="0">
            <x v="1"/>
          </reference>
        </references>
      </pivotArea>
    </chartFormat>
    <chartFormat chart="0" format="21">
      <pivotArea type="data" outline="0" fieldPosition="0">
        <references count="2">
          <reference field="4294967294" count="1" selected="0">
            <x v="2"/>
          </reference>
          <reference field="11" count="1" selected="0">
            <x v="2"/>
          </reference>
        </references>
      </pivotArea>
    </chartFormat>
    <chartFormat chart="0" format="22">
      <pivotArea type="data" outline="0" fieldPosition="0">
        <references count="2">
          <reference field="4294967294" count="1" selected="0">
            <x v="2"/>
          </reference>
          <reference field="11" count="1" selected="0">
            <x v="3"/>
          </reference>
        </references>
      </pivotArea>
    </chartFormat>
    <chartFormat chart="0" format="23">
      <pivotArea type="data" outline="0" fieldPosition="0">
        <references count="2">
          <reference field="4294967294" count="1" selected="0">
            <x v="2"/>
          </reference>
          <reference field="11" count="1" selected="0">
            <x v="4"/>
          </reference>
        </references>
      </pivotArea>
    </chartFormat>
    <chartFormat chart="0" format="24">
      <pivotArea type="data" outline="0" fieldPosition="0">
        <references count="2">
          <reference field="4294967294" count="1" selected="0">
            <x v="2"/>
          </reference>
          <reference field="11" count="1" selected="0">
            <x v="5"/>
          </reference>
        </references>
      </pivotArea>
    </chartFormat>
    <chartFormat chart="0" format="25">
      <pivotArea type="data" outline="0" fieldPosition="0">
        <references count="2">
          <reference field="4294967294" count="1" selected="0">
            <x v="3"/>
          </reference>
          <reference field="11" count="1" selected="0">
            <x v="0"/>
          </reference>
        </references>
      </pivotArea>
    </chartFormat>
    <chartFormat chart="0" format="26">
      <pivotArea type="data" outline="0" fieldPosition="0">
        <references count="2">
          <reference field="4294967294" count="1" selected="0">
            <x v="3"/>
          </reference>
          <reference field="11" count="1" selected="0">
            <x v="1"/>
          </reference>
        </references>
      </pivotArea>
    </chartFormat>
    <chartFormat chart="0" format="27">
      <pivotArea type="data" outline="0" fieldPosition="0">
        <references count="2">
          <reference field="4294967294" count="1" selected="0">
            <x v="3"/>
          </reference>
          <reference field="11" count="1" selected="0">
            <x v="2"/>
          </reference>
        </references>
      </pivotArea>
    </chartFormat>
    <chartFormat chart="0" format="28">
      <pivotArea type="data" outline="0" fieldPosition="0">
        <references count="2">
          <reference field="4294967294" count="1" selected="0">
            <x v="3"/>
          </reference>
          <reference field="11" count="1" selected="0">
            <x v="3"/>
          </reference>
        </references>
      </pivotArea>
    </chartFormat>
    <chartFormat chart="0" format="29">
      <pivotArea type="data" outline="0" fieldPosition="0">
        <references count="2">
          <reference field="4294967294" count="1" selected="0">
            <x v="3"/>
          </reference>
          <reference field="11" count="1" selected="0">
            <x v="4"/>
          </reference>
        </references>
      </pivotArea>
    </chartFormat>
    <chartFormat chart="0" format="30">
      <pivotArea type="data" outline="0" fieldPosition="0">
        <references count="2">
          <reference field="4294967294" count="1" selected="0">
            <x v="3"/>
          </reference>
          <reference field="11" count="1" selected="0">
            <x v="5"/>
          </reference>
        </references>
      </pivotArea>
    </chartFormat>
    <chartFormat chart="0" format="31">
      <pivotArea type="data" outline="0" fieldPosition="0">
        <references count="2">
          <reference field="4294967294" count="1" selected="0">
            <x v="4"/>
          </reference>
          <reference field="11" count="1" selected="0">
            <x v="0"/>
          </reference>
        </references>
      </pivotArea>
    </chartFormat>
    <chartFormat chart="0" format="32">
      <pivotArea type="data" outline="0" fieldPosition="0">
        <references count="2">
          <reference field="4294967294" count="1" selected="0">
            <x v="4"/>
          </reference>
          <reference field="11" count="1" selected="0">
            <x v="1"/>
          </reference>
        </references>
      </pivotArea>
    </chartFormat>
    <chartFormat chart="0" format="33">
      <pivotArea type="data" outline="0" fieldPosition="0">
        <references count="2">
          <reference field="4294967294" count="1" selected="0">
            <x v="4"/>
          </reference>
          <reference field="11" count="1" selected="0">
            <x v="2"/>
          </reference>
        </references>
      </pivotArea>
    </chartFormat>
    <chartFormat chart="0" format="34">
      <pivotArea type="data" outline="0" fieldPosition="0">
        <references count="2">
          <reference field="4294967294" count="1" selected="0">
            <x v="4"/>
          </reference>
          <reference field="11" count="1" selected="0">
            <x v="3"/>
          </reference>
        </references>
      </pivotArea>
    </chartFormat>
    <chartFormat chart="0" format="35">
      <pivotArea type="data" outline="0" fieldPosition="0">
        <references count="2">
          <reference field="4294967294" count="1" selected="0">
            <x v="4"/>
          </reference>
          <reference field="11" count="1" selected="0">
            <x v="4"/>
          </reference>
        </references>
      </pivotArea>
    </chartFormat>
    <chartFormat chart="0" format="36">
      <pivotArea type="data" outline="0" fieldPosition="0">
        <references count="2">
          <reference field="4294967294" count="1" selected="0">
            <x v="4"/>
          </reference>
          <reference field="11" count="1" selected="0">
            <x v="5"/>
          </reference>
        </references>
      </pivotArea>
    </chartFormat>
    <chartFormat chart="0" format="37">
      <pivotArea type="data" outline="0" fieldPosition="0">
        <references count="2">
          <reference field="4294967294" count="1" selected="0">
            <x v="5"/>
          </reference>
          <reference field="11" count="1" selected="0">
            <x v="0"/>
          </reference>
        </references>
      </pivotArea>
    </chartFormat>
    <chartFormat chart="0" format="38">
      <pivotArea type="data" outline="0" fieldPosition="0">
        <references count="2">
          <reference field="4294967294" count="1" selected="0">
            <x v="5"/>
          </reference>
          <reference field="11" count="1" selected="0">
            <x v="1"/>
          </reference>
        </references>
      </pivotArea>
    </chartFormat>
    <chartFormat chart="0" format="39">
      <pivotArea type="data" outline="0" fieldPosition="0">
        <references count="2">
          <reference field="4294967294" count="1" selected="0">
            <x v="5"/>
          </reference>
          <reference field="11" count="1" selected="0">
            <x v="2"/>
          </reference>
        </references>
      </pivotArea>
    </chartFormat>
    <chartFormat chart="0" format="40">
      <pivotArea type="data" outline="0" fieldPosition="0">
        <references count="2">
          <reference field="4294967294" count="1" selected="0">
            <x v="5"/>
          </reference>
          <reference field="11" count="1" selected="0">
            <x v="3"/>
          </reference>
        </references>
      </pivotArea>
    </chartFormat>
    <chartFormat chart="0" format="41">
      <pivotArea type="data" outline="0" fieldPosition="0">
        <references count="2">
          <reference field="4294967294" count="1" selected="0">
            <x v="5"/>
          </reference>
          <reference field="11" count="1" selected="0">
            <x v="4"/>
          </reference>
        </references>
      </pivotArea>
    </chartFormat>
    <chartFormat chart="0" format="42">
      <pivotArea type="data" outline="0" fieldPosition="0">
        <references count="2">
          <reference field="4294967294" count="1" selected="0">
            <x v="5"/>
          </reference>
          <reference field="11" count="1" selected="0">
            <x v="5"/>
          </reference>
        </references>
      </pivotArea>
    </chartFormat>
    <chartFormat chart="0" format="43">
      <pivotArea type="data" outline="0" fieldPosition="0">
        <references count="2">
          <reference field="4294967294" count="1" selected="0">
            <x v="6"/>
          </reference>
          <reference field="11" count="1" selected="0">
            <x v="0"/>
          </reference>
        </references>
      </pivotArea>
    </chartFormat>
    <chartFormat chart="0" format="44">
      <pivotArea type="data" outline="0" fieldPosition="0">
        <references count="2">
          <reference field="4294967294" count="1" selected="0">
            <x v="6"/>
          </reference>
          <reference field="11" count="1" selected="0">
            <x v="1"/>
          </reference>
        </references>
      </pivotArea>
    </chartFormat>
    <chartFormat chart="0" format="45">
      <pivotArea type="data" outline="0" fieldPosition="0">
        <references count="2">
          <reference field="4294967294" count="1" selected="0">
            <x v="6"/>
          </reference>
          <reference field="11" count="1" selected="0">
            <x v="2"/>
          </reference>
        </references>
      </pivotArea>
    </chartFormat>
    <chartFormat chart="0" format="46">
      <pivotArea type="data" outline="0" fieldPosition="0">
        <references count="2">
          <reference field="4294967294" count="1" selected="0">
            <x v="6"/>
          </reference>
          <reference field="11" count="1" selected="0">
            <x v="3"/>
          </reference>
        </references>
      </pivotArea>
    </chartFormat>
    <chartFormat chart="0" format="47">
      <pivotArea type="data" outline="0" fieldPosition="0">
        <references count="2">
          <reference field="4294967294" count="1" selected="0">
            <x v="6"/>
          </reference>
          <reference field="11" count="1" selected="0">
            <x v="4"/>
          </reference>
        </references>
      </pivotArea>
    </chartFormat>
    <chartFormat chart="0" format="48">
      <pivotArea type="data" outline="0" fieldPosition="0">
        <references count="2">
          <reference field="4294967294" count="1" selected="0">
            <x v="6"/>
          </reference>
          <reference field="11" count="1" selected="0">
            <x v="5"/>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7D7CB0-6F8B-405F-9FC0-1E1F114A669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H10" firstHeaderRow="0" firstDataRow="1" firstDataCol="1"/>
  <pivotFields count="15">
    <pivotField showAll="0"/>
    <pivotField showAll="0">
      <items count="5">
        <item x="3"/>
        <item x="2"/>
        <item x="0"/>
        <item x="1"/>
        <item t="default"/>
      </items>
    </pivotField>
    <pivotField numFmtId="164" showAll="0"/>
    <pivotField axis="axisRow" showAll="0">
      <items count="7">
        <item x="3"/>
        <item x="4"/>
        <item x="0"/>
        <item x="2"/>
        <item x="1"/>
        <item x="5"/>
        <item t="default"/>
      </items>
    </pivotField>
    <pivotField showAll="0"/>
    <pivotField dataField="1" numFmtId="1" showAll="0"/>
    <pivotField dataField="1" numFmtId="1" showAll="0"/>
    <pivotField dataField="1" numFmtId="1" showAll="0"/>
    <pivotField dataField="1" numFmtId="1" showAll="0"/>
    <pivotField dataField="1" numFmtId="1" showAll="0"/>
    <pivotField dataField="1" numFmtId="1" showAll="0"/>
    <pivotField showAll="0"/>
    <pivotField showAll="0"/>
    <pivotField numFmtId="1" showAll="0"/>
    <pivotField dataField="1" numFmtId="9" showAll="0"/>
  </pivotFields>
  <rowFields count="1">
    <field x="3"/>
  </rowFields>
  <rowItems count="7">
    <i>
      <x/>
    </i>
    <i>
      <x v="1"/>
    </i>
    <i>
      <x v="2"/>
    </i>
    <i>
      <x v="3"/>
    </i>
    <i>
      <x v="4"/>
    </i>
    <i>
      <x v="5"/>
    </i>
    <i t="grand">
      <x/>
    </i>
  </rowItems>
  <colFields count="1">
    <field x="-2"/>
  </colFields>
  <colItems count="7">
    <i>
      <x/>
    </i>
    <i i="1">
      <x v="1"/>
    </i>
    <i i="2">
      <x v="2"/>
    </i>
    <i i="3">
      <x v="3"/>
    </i>
    <i i="4">
      <x v="4"/>
    </i>
    <i i="5">
      <x v="5"/>
    </i>
    <i i="6">
      <x v="6"/>
    </i>
  </colItems>
  <dataFields count="7">
    <dataField name="Average of Likes" fld="5" subtotal="average" baseField="0" baseItem="0" numFmtId="1"/>
    <dataField name="Average of Shares" fld="6" subtotal="average" baseField="0" baseItem="0" numFmtId="1"/>
    <dataField name="Average of Comments" fld="7" subtotal="average" baseField="0" baseItem="0" numFmtId="1"/>
    <dataField name="Average of Impressions" fld="8" subtotal="average" baseField="0" baseItem="0" numFmtId="1"/>
    <dataField name="Average of Reach" fld="9" subtotal="average" baseField="0" baseItem="0" numFmtId="1"/>
    <dataField name="Average of Clicks" fld="10" subtotal="average" baseField="0" baseItem="0" numFmtId="1"/>
    <dataField name="Average of Engagement rate" fld="14" subtotal="average" baseField="0" baseItem="0" numFmtId="9"/>
  </dataField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8A68CE-3741-4F26-A0B8-AC0D98730C9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8" firstHeaderRow="0" firstDataRow="1" firstDataCol="1"/>
  <pivotFields count="15">
    <pivotField showAll="0"/>
    <pivotField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showAll="0"/>
    <pivotField showAll="0"/>
    <pivotField showAll="0"/>
    <pivotField axis="axisRow" showAll="0">
      <items count="7">
        <item h="1" x="4"/>
        <item x="5"/>
        <item x="1"/>
        <item x="3"/>
        <item x="2"/>
        <item h="1" x="0"/>
        <item t="default"/>
      </items>
    </pivotField>
  </pivotFields>
  <rowFields count="1">
    <field x="14"/>
  </rowFields>
  <rowItems count="5">
    <i>
      <x v="1"/>
    </i>
    <i>
      <x v="2"/>
    </i>
    <i>
      <x v="3"/>
    </i>
    <i>
      <x v="4"/>
    </i>
    <i t="grand">
      <x/>
    </i>
  </rowItems>
  <colFields count="1">
    <field x="-2"/>
  </colFields>
  <colItems count="6">
    <i>
      <x/>
    </i>
    <i i="1">
      <x v="1"/>
    </i>
    <i i="2">
      <x v="2"/>
    </i>
    <i i="3">
      <x v="3"/>
    </i>
    <i i="4">
      <x v="4"/>
    </i>
    <i i="5">
      <x v="5"/>
    </i>
  </colItems>
  <dataFields count="6">
    <dataField name="Sum of Clicks" fld="10" baseField="0" baseItem="0" numFmtId="1"/>
    <dataField name="Sum of Likes" fld="5" baseField="0" baseItem="0" numFmtId="1"/>
    <dataField name="Sum of Impressions" fld="8" baseField="0" baseItem="0" numFmtId="1"/>
    <dataField name="Average of Clicks2" fld="10" subtotal="average" baseField="0" baseItem="0" numFmtId="1"/>
    <dataField name="Average of Likes2" fld="5" subtotal="average" baseField="0" baseItem="0" numFmtId="1"/>
    <dataField name="Average of Impressions2" fld="8" subtotal="average" baseField="0" baseItem="0" numFmtId="1"/>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FEB252-A26B-41B8-B414-2F7A2AAE209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55" firstHeaderRow="1" firstDataRow="2" firstDataCol="1"/>
  <pivotFields count="9">
    <pivotField axis="axisRow"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2">
            <reference field="4294967294" count="1" selected="0">
              <x v="0"/>
            </reference>
            <reference field="1" count="1" selected="0">
              <x v="0"/>
            </reference>
          </references>
        </pivotArea>
      </autoSortScope>
    </pivotField>
    <pivotField axis="axisCol" showAll="0">
      <items count="5">
        <item x="1"/>
        <item x="0"/>
        <item x="2"/>
        <item x="3"/>
        <item t="default"/>
      </items>
    </pivotField>
    <pivotField numFmtId="1" showAll="0"/>
    <pivotField numFmtId="1" showAll="0"/>
    <pivotField numFmtId="1" showAll="0"/>
    <pivotField showAll="0"/>
    <pivotField numFmtId="1" showAll="0"/>
    <pivotField dataField="1" numFmtId="1" showAll="0"/>
    <pivotField numFmtId="9" showAll="0"/>
  </pivotFields>
  <rowFields count="1">
    <field x="0"/>
  </rowFields>
  <rowItems count="51">
    <i>
      <x v="30"/>
    </i>
    <i>
      <x v="38"/>
    </i>
    <i>
      <x v="26"/>
    </i>
    <i>
      <x v="3"/>
    </i>
    <i>
      <x v="18"/>
    </i>
    <i>
      <x v="37"/>
    </i>
    <i>
      <x v="14"/>
    </i>
    <i>
      <x v="2"/>
    </i>
    <i>
      <x v="28"/>
    </i>
    <i>
      <x v="27"/>
    </i>
    <i>
      <x v="10"/>
    </i>
    <i>
      <x v="25"/>
    </i>
    <i>
      <x v="1"/>
    </i>
    <i>
      <x v="41"/>
    </i>
    <i>
      <x v="11"/>
    </i>
    <i>
      <x v="46"/>
    </i>
    <i>
      <x v="13"/>
    </i>
    <i>
      <x v="44"/>
    </i>
    <i>
      <x/>
    </i>
    <i>
      <x v="7"/>
    </i>
    <i>
      <x v="36"/>
    </i>
    <i>
      <x v="40"/>
    </i>
    <i>
      <x v="34"/>
    </i>
    <i>
      <x v="35"/>
    </i>
    <i>
      <x v="29"/>
    </i>
    <i>
      <x v="31"/>
    </i>
    <i>
      <x v="22"/>
    </i>
    <i>
      <x v="43"/>
    </i>
    <i>
      <x v="42"/>
    </i>
    <i>
      <x v="47"/>
    </i>
    <i>
      <x v="20"/>
    </i>
    <i>
      <x v="33"/>
    </i>
    <i>
      <x v="49"/>
    </i>
    <i>
      <x v="21"/>
    </i>
    <i>
      <x v="48"/>
    </i>
    <i>
      <x v="5"/>
    </i>
    <i>
      <x v="32"/>
    </i>
    <i>
      <x v="19"/>
    </i>
    <i>
      <x v="15"/>
    </i>
    <i>
      <x v="24"/>
    </i>
    <i>
      <x v="4"/>
    </i>
    <i>
      <x v="12"/>
    </i>
    <i>
      <x v="16"/>
    </i>
    <i>
      <x v="23"/>
    </i>
    <i>
      <x v="39"/>
    </i>
    <i>
      <x v="6"/>
    </i>
    <i>
      <x v="45"/>
    </i>
    <i>
      <x v="17"/>
    </i>
    <i>
      <x v="9"/>
    </i>
    <i>
      <x v="8"/>
    </i>
    <i t="grand">
      <x/>
    </i>
  </rowItems>
  <colFields count="1">
    <field x="1"/>
  </colFields>
  <colItems count="5">
    <i>
      <x/>
    </i>
    <i>
      <x v="1"/>
    </i>
    <i>
      <x v="2"/>
    </i>
    <i>
      <x v="3"/>
    </i>
    <i t="grand">
      <x/>
    </i>
  </colItems>
  <dataFields count="1">
    <dataField name="Sum of Followers gained" fld="7" baseField="0" baseItem="0" numFmtId="1"/>
  </dataFields>
  <chartFormats count="8">
    <chartFormat chart="0" format="4" series="1">
      <pivotArea type="data" outline="0" fieldPosition="0">
        <references count="1">
          <reference field="1" count="1" selected="0">
            <x v="0"/>
          </reference>
        </references>
      </pivotArea>
    </chartFormat>
    <chartFormat chart="0" format="5" series="1">
      <pivotArea type="data" outline="0" fieldPosition="0">
        <references count="1">
          <reference field="1" count="1" selected="0">
            <x v="1"/>
          </reference>
        </references>
      </pivotArea>
    </chartFormat>
    <chartFormat chart="0" format="6" series="1">
      <pivotArea type="data" outline="0" fieldPosition="0">
        <references count="1">
          <reference field="1" count="1" selected="0">
            <x v="2"/>
          </reference>
        </references>
      </pivotArea>
    </chartFormat>
    <chartFormat chart="0" format="7" series="1">
      <pivotArea type="data" outline="0" fieldPosition="0">
        <references count="1">
          <reference field="1" count="1" selected="0">
            <x v="3"/>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4C85E8-E772-40B9-9D7E-E1A4A250BDB9}"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53" firstHeaderRow="1" firstDataRow="1" firstDataCol="1"/>
  <pivotFields count="9">
    <pivotField axis="axisRow" showAll="0" sortType="ascending">
      <items count="51">
        <item x="43"/>
        <item x="37"/>
        <item x="31"/>
        <item x="14"/>
        <item x="32"/>
        <item x="13"/>
        <item x="2"/>
        <item x="35"/>
        <item x="26"/>
        <item x="48"/>
        <item x="34"/>
        <item x="15"/>
        <item x="19"/>
        <item x="38"/>
        <item x="23"/>
        <item x="42"/>
        <item x="11"/>
        <item x="8"/>
        <item x="1"/>
        <item x="39"/>
        <item x="27"/>
        <item x="16"/>
        <item x="20"/>
        <item x="41"/>
        <item x="47"/>
        <item x="10"/>
        <item x="9"/>
        <item x="4"/>
        <item x="28"/>
        <item x="22"/>
        <item x="3"/>
        <item x="40"/>
        <item x="6"/>
        <item x="24"/>
        <item x="29"/>
        <item x="44"/>
        <item x="5"/>
        <item x="21"/>
        <item x="7"/>
        <item x="36"/>
        <item x="33"/>
        <item x="30"/>
        <item x="46"/>
        <item x="12"/>
        <item x="45"/>
        <item x="49"/>
        <item x="18"/>
        <item x="25"/>
        <item x="0"/>
        <item x="17"/>
        <item t="default"/>
      </items>
    </pivotField>
    <pivotField showAll="0"/>
    <pivotField numFmtId="1" showAll="0"/>
    <pivotField numFmtId="1" showAll="0"/>
    <pivotField numFmtId="1" showAll="0"/>
    <pivotField showAll="0"/>
    <pivotField numFmtId="1" showAll="0"/>
    <pivotField dataField="1" numFmtId="1" showAll="0"/>
    <pivotField numFmtId="9"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Followers gained" fld="7" baseField="0" baseItem="0" numFmtId="1"/>
  </dataField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0050DD-947A-4147-8044-0E3BAC7AB65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4" firstHeaderRow="1" firstDataRow="1" firstDataCol="1"/>
  <pivotFields count="9">
    <pivotField axis="axisRow" showAll="0">
      <items count="51">
        <item x="43"/>
        <item x="37"/>
        <item x="31"/>
        <item x="14"/>
        <item x="32"/>
        <item x="13"/>
        <item x="2"/>
        <item x="35"/>
        <item x="26"/>
        <item x="48"/>
        <item x="34"/>
        <item x="15"/>
        <item x="19"/>
        <item x="38"/>
        <item x="23"/>
        <item x="42"/>
        <item x="11"/>
        <item x="8"/>
        <item x="1"/>
        <item x="39"/>
        <item x="27"/>
        <item x="16"/>
        <item x="20"/>
        <item x="41"/>
        <item x="47"/>
        <item x="10"/>
        <item x="9"/>
        <item x="4"/>
        <item x="28"/>
        <item x="22"/>
        <item x="3"/>
        <item x="40"/>
        <item x="6"/>
        <item x="24"/>
        <item x="29"/>
        <item x="44"/>
        <item x="5"/>
        <item x="21"/>
        <item x="7"/>
        <item x="36"/>
        <item x="33"/>
        <item x="30"/>
        <item x="46"/>
        <item x="12"/>
        <item x="45"/>
        <item x="49"/>
        <item x="18"/>
        <item x="25"/>
        <item x="0"/>
        <item x="17"/>
        <item t="default"/>
      </items>
    </pivotField>
    <pivotField showAll="0"/>
    <pivotField numFmtId="1" showAll="0"/>
    <pivotField numFmtId="1" showAll="0"/>
    <pivotField numFmtId="1" showAll="0"/>
    <pivotField showAll="0"/>
    <pivotField numFmtId="1" showAll="0"/>
    <pivotField numFmtId="1" showAll="0"/>
    <pivotField dataField="1" numFmtId="9"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Growth Rate" fld="8" subtotal="average" baseField="0" baseItem="0" numFmtId="9"/>
  </dataField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F8012F-7EC3-4730-AA29-17405984405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9">
    <pivotField showAll="0"/>
    <pivotField axis="axisRow" showAll="0">
      <items count="5">
        <item x="1"/>
        <item x="0"/>
        <item x="2"/>
        <item x="3"/>
        <item t="default"/>
      </items>
    </pivotField>
    <pivotField numFmtId="1" showAll="0"/>
    <pivotField numFmtId="1" showAll="0"/>
    <pivotField numFmtId="1" showAll="0"/>
    <pivotField showAll="0"/>
    <pivotField dataField="1" numFmtId="1" showAll="0"/>
    <pivotField dataField="1" numFmtId="1" showAll="0"/>
    <pivotField numFmtId="9" showAll="0"/>
  </pivotFields>
  <rowFields count="1">
    <field x="1"/>
  </rowFields>
  <rowItems count="5">
    <i>
      <x/>
    </i>
    <i>
      <x v="1"/>
    </i>
    <i>
      <x v="2"/>
    </i>
    <i>
      <x v="3"/>
    </i>
    <i t="grand">
      <x/>
    </i>
  </rowItems>
  <colFields count="1">
    <field x="-2"/>
  </colFields>
  <colItems count="2">
    <i>
      <x/>
    </i>
    <i i="1">
      <x v="1"/>
    </i>
  </colItems>
  <dataFields count="2">
    <dataField name="Average of Followers gained" fld="7" subtotal="average" baseField="0" baseItem="0" numFmtId="1"/>
    <dataField name="Average of Ad_Spend" fld="6"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3FDD23-4988-4C97-B3A7-67A1DE0BF1A3}" autoFormatId="16" applyNumberFormats="0" applyBorderFormats="0" applyFontFormats="0" applyPatternFormats="0" applyAlignmentFormats="0" applyWidthHeightFormats="0">
  <queryTableRefresh nextId="9">
    <queryTableFields count="8">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latform" tableColumnId="7"/>
      <queryTableField id="8" name="Primary_Hashtag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2D1A4E5E-7935-4732-9815-668C780DDD67}" autoFormatId="16" applyNumberFormats="0" applyBorderFormats="0" applyFontFormats="0" applyPatternFormats="0" applyAlignmentFormats="0" applyWidthHeightFormats="0">
  <queryTableRefresh nextId="16">
    <queryTableFields count="15">
      <queryTableField id="1" name="Post ID" tableColumnId="1"/>
      <queryTableField id="2" name="Platform" tableColumnId="2"/>
      <queryTableField id="3" name="Date" tableColumnId="3"/>
      <queryTableField id="4" name="Likes" tableColumnId="4"/>
      <queryTableField id="5" name="Shares" tableColumnId="5"/>
      <queryTableField id="6" name="Comments" tableColumnId="6"/>
      <queryTableField id="7" name="Impressions" tableColumnId="7"/>
      <queryTableField id="8" name="Reach" tableColumnId="8"/>
      <queryTableField id="9" name="Clicks" tableColumnId="9"/>
      <queryTableField id="10" name="Hashtags Used" tableColumnId="10"/>
      <queryTableField id="11" name="Campaign_Name" tableColumnId="11"/>
      <queryTableField id="12" name=" Total Engagement" tableColumnId="12"/>
      <queryTableField id="13" name="Engagement rate" tableColumnId="13"/>
      <queryTableField id="14" name="Content Type" tableColumnId="14"/>
      <queryTableField id="15" name="Post Text"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74B0AD3-CEFE-4B3D-A930-325B89CBEBCB}" autoFormatId="16" applyNumberFormats="0" applyBorderFormats="0" applyFontFormats="0" applyPatternFormats="0" applyAlignmentFormats="0" applyWidthHeightFormats="0">
  <queryTableRefresh nextId="13">
    <queryTableFields count="12">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latform" tableColumnId="7"/>
      <queryTableField id="8" name="Primary_Hashtags" tableColumnId="8"/>
      <queryTableField id="9" name="post. Total Engagement" tableColumnId="9"/>
      <queryTableField id="10" name="post.Engagement rate" tableColumnId="10"/>
      <queryTableField id="11" name="post.Content Type" tableColumnId="11"/>
      <queryTableField id="12" name="post.Post Text"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217E53EA-C65A-43D5-B76C-5D69F5993590}" autoFormatId="16" applyNumberFormats="0" applyBorderFormats="0" applyFontFormats="0" applyPatternFormats="0" applyAlignmentFormats="0" applyWidthHeightFormats="0">
  <queryTableRefresh nextId="10">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name="Followers gained" tableColumnId="8"/>
      <queryTableField id="9" name="Growth Rate"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0D752B58-F4FA-41B8-8DA3-0345174D3E38}" autoFormatId="16" applyNumberFormats="0" applyBorderFormats="0" applyFontFormats="0" applyPatternFormats="0" applyAlignmentFormats="0" applyWidthHeightFormats="0">
  <queryTableRefresh nextId="27" unboundColumnsRight="7">
    <queryTableFields count="2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latform" tableColumnId="7"/>
      <queryTableField id="8" name="Primary_Hashtags" tableColumnId="8"/>
      <queryTableField id="19" dataBound="0" tableColumnId="19"/>
      <queryTableField id="9" name="post. Total Engagement" tableColumnId="9"/>
      <queryTableField id="10" name="post.Engagement rate" tableColumnId="10"/>
      <queryTableField id="11" name="post.Content Type" tableColumnId="11"/>
      <queryTableField id="12" name="post.Post Text" tableColumnId="12"/>
      <queryTableField id="13" name="week.New_Followers" tableColumnId="13"/>
      <queryTableField id="14" name="week.Unfollows" tableColumnId="14"/>
      <queryTableField id="15" name="week.Total_Followers" tableColumnId="15"/>
      <queryTableField id="16" name="week.Ad_Spend" tableColumnId="16"/>
      <queryTableField id="17" name="week.Followers gained" tableColumnId="17"/>
      <queryTableField id="18" name="week.Growth Rate" tableColumnId="18"/>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6085E7E-23B0-4FE7-92E8-CA422596EB47}" sourceName="Platform">
  <pivotTables>
    <pivotTable tabId="23" name="PivotTable5"/>
  </pivotTables>
  <data>
    <tabular pivotCacheId="541104442">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A99E695B-CC47-4530-BDCE-A3F357310566}" sourceName="Platform">
  <pivotTables>
    <pivotTable tabId="24" name="PivotTable6"/>
  </pivotTables>
  <data>
    <tabular pivotCacheId="541104442">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C98172A6-BD97-4762-AA8E-0290AA074727}" sourceName="Platform">
  <pivotTables>
    <pivotTable tabId="6" name="PivotTable5"/>
  </pivotTables>
  <data>
    <tabular pivotCacheId="204567704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 xr10:uid="{11E4C394-0D1D-4780-835D-6BAB6CA9344A}" sourceName="Platform">
  <pivotTables>
    <pivotTable tabId="5" name="PivotTable4"/>
  </pivotTables>
  <data>
    <tabular pivotCacheId="204567704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11C7B445-7ED1-4BD5-87B0-E30BAFFAB45B}" cache="Slicer_Platform3" caption="Platform"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85064223-0B74-4B4F-8257-3FD6DA638402}" cache="Slicer_Platform2" caption="Platform"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4F2249A-346B-4DB1-B293-85758F4B4CF5}" cache="Slicer_Platform" caption="Platform"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39CE3261-2748-4104-A5FA-969F0559EEAF}" cache="Slicer_Platform1" caption="Platform" style="SlicerStyleLight6"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3645AB-3937-4647-BDE1-833B2C3FA23E}" name="Table1" displayName="Table1" ref="A1:O301" totalsRowShown="0" headerRowDxfId="136" dataDxfId="134" headerRowBorderDxfId="135" tableBorderDxfId="133">
  <autoFilter ref="A1:O301" xr:uid="{143645AB-3937-4647-BDE1-833B2C3FA23E}"/>
  <sortState xmlns:xlrd2="http://schemas.microsoft.com/office/spreadsheetml/2017/richdata2" ref="A2:O301">
    <sortCondition ref="C1:C301"/>
  </sortState>
  <tableColumns count="15">
    <tableColumn id="1" xr3:uid="{9F0A835C-EFE0-499A-9A24-43E702FD7DE3}" name="Post ID" dataDxfId="132"/>
    <tableColumn id="2" xr3:uid="{11D7149A-14DA-4097-AD67-FB40B3F01F9C}" name="Platform" dataDxfId="131"/>
    <tableColumn id="3" xr3:uid="{E7A640CF-4B7C-4CA9-BC24-1C64BAFBDC76}" name="Date" dataDxfId="130"/>
    <tableColumn id="4" xr3:uid="{42655F8D-0E45-450D-978B-BD027AAB9AD9}" name="Content Type" dataDxfId="129"/>
    <tableColumn id="5" xr3:uid="{84AD8573-8388-4BF3-A5CB-EAE40CF0D090}" name="Post Text" dataDxfId="128"/>
    <tableColumn id="6" xr3:uid="{70292B00-B74D-485E-9F4B-D47A67E2378B}" name="Likes" dataDxfId="127"/>
    <tableColumn id="7" xr3:uid="{E364A555-8B4C-4AA0-8BB6-A5E86BEF5077}" name="Shares" dataDxfId="126"/>
    <tableColumn id="8" xr3:uid="{9577EFC6-FB84-485B-A72C-94541AD9622E}" name="Comments" dataDxfId="125"/>
    <tableColumn id="9" xr3:uid="{082C1675-AE75-446B-AAD4-9F1721579EE7}" name="Impressions" dataDxfId="124"/>
    <tableColumn id="10" xr3:uid="{8FE1D5AF-9379-4EC4-9593-C4653754AB4D}" name="Reach" dataDxfId="123"/>
    <tableColumn id="11" xr3:uid="{AC58B523-E778-4A2D-A982-6091952D0B9B}" name="Clicks" dataDxfId="122"/>
    <tableColumn id="12" xr3:uid="{3A0A497F-A992-491B-A141-CCD251496F15}" name="Hashtags 1" dataDxfId="121"/>
    <tableColumn id="14" xr3:uid="{286C8EEA-E758-4B16-A3F0-91CCE20F731B}" name="Hashtags 2" dataDxfId="120"/>
    <tableColumn id="15" xr3:uid="{D1AE6CA3-2439-403B-B538-784D8996F212}" name="Hashtags 3" dataDxfId="119"/>
    <tableColumn id="13" xr3:uid="{EEBCF036-6704-4C85-A9A6-1D39E37C9C9F}" name="Campaign_Name" dataDxfId="11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3650FB-6BE5-44CF-866A-1B02B2F9C1A8}" name="Table14" displayName="Table14" ref="A1:Q301" totalsRowShown="0" headerRowDxfId="117" dataDxfId="115" headerRowBorderDxfId="116" tableBorderDxfId="114">
  <autoFilter ref="A1:Q301" xr:uid="{CB3650FB-6BE5-44CF-866A-1B02B2F9C1A8}">
    <filterColumn colId="12">
      <top10 val="10" filterVal="0.38274706867671693"/>
    </filterColumn>
  </autoFilter>
  <sortState xmlns:xlrd2="http://schemas.microsoft.com/office/spreadsheetml/2017/richdata2" ref="A2:Q301">
    <sortCondition ref="C1:C301"/>
  </sortState>
  <tableColumns count="17">
    <tableColumn id="1" xr3:uid="{F1ED498B-ABB2-4CE0-9034-FE9ED75E1BF2}" name="Post ID" dataDxfId="113"/>
    <tableColumn id="2" xr3:uid="{76D82911-6066-497B-A93C-631CB6DBA306}" name="Platform" dataDxfId="112"/>
    <tableColumn id="3" xr3:uid="{9A6D7035-C337-47CD-939C-EF86EED93181}" name="Date" dataDxfId="111"/>
    <tableColumn id="4" xr3:uid="{EBAC992E-8598-4157-85CB-2753CD33916C}" name="Content Type" dataDxfId="110"/>
    <tableColumn id="5" xr3:uid="{A00EA09C-99EA-449F-B44B-77351EDDB6FF}" name="Post Text" dataDxfId="109"/>
    <tableColumn id="6" xr3:uid="{9A5B346B-776C-4A6A-9FC8-C751186C601B}" name="Likes" dataDxfId="108"/>
    <tableColumn id="7" xr3:uid="{C9F48FD9-A6B1-481F-8AE3-64FCE2E7BF27}" name="Shares" dataDxfId="107"/>
    <tableColumn id="8" xr3:uid="{EA05BA7E-AA1A-444F-B0E7-238A65A39636}" name="Comments" dataDxfId="106"/>
    <tableColumn id="9" xr3:uid="{C742540E-2326-4C15-9EE6-D4BB6D1817A7}" name="Impressions" dataDxfId="105"/>
    <tableColumn id="10" xr3:uid="{DD68D124-F4AB-46CC-8E3D-456C6853E1EC}" name="Reach" dataDxfId="104"/>
    <tableColumn id="11" xr3:uid="{21A6C03E-7B18-411E-8DEF-1A4593BCF463}" name="Clicks" dataDxfId="103"/>
    <tableColumn id="17" xr3:uid="{90B1DB74-4878-4AD4-8DB2-7E54F7A1811C}" name="Total Engagement" dataDxfId="102">
      <calculatedColumnFormula>Table14[[#This Row],[Likes]]+Table14[[#This Row],[Shares]]+Table14[[#This Row],[Comments]]+Table14[[#This Row],[Clicks]]</calculatedColumnFormula>
    </tableColumn>
    <tableColumn id="18" xr3:uid="{68924E55-C541-4D53-88F7-316B9C25D967}" name="Engagement Rate" dataDxfId="101" dataCellStyle="Comma">
      <calculatedColumnFormula>(Table14[[#This Row],[Likes]]+Table14[[#This Row],[Shares]]+Table14[[#This Row],[Comments]])/Table14[[#This Row],[Impressions]]</calculatedColumnFormula>
    </tableColumn>
    <tableColumn id="12" xr3:uid="{AF8A0485-34E1-4245-AE76-21C0E2E18F73}" name="Hashtags 1" dataDxfId="100"/>
    <tableColumn id="14" xr3:uid="{68C56E26-E18B-4CC8-9900-54FFF62855F5}" name="Hashtags 2" dataDxfId="99"/>
    <tableColumn id="15" xr3:uid="{649C3139-97D1-4C46-8116-DD00BB530B5E}" name="Hashtags 3" dataDxfId="98"/>
    <tableColumn id="13" xr3:uid="{13A97517-404B-43E3-A15B-A17A8279AC43}" name="Campaign_Name" dataDxfId="97"/>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3C3FDF-406E-4711-A52E-775F5AB4B33B}" name="Table2" displayName="Table2" ref="A1:I201" totalsRowShown="0" headerRowDxfId="95" dataDxfId="93" headerRowBorderDxfId="94" tableBorderDxfId="92">
  <autoFilter ref="A1:I201" xr:uid="{853C3FDF-406E-4711-A52E-775F5AB4B33B}"/>
  <tableColumns count="9">
    <tableColumn id="1" xr3:uid="{B77EDC43-2350-40BB-B66E-AAEB48C44C3D}" name="Week_Start_Date" dataDxfId="91"/>
    <tableColumn id="2" xr3:uid="{C1010894-1A4D-49C9-B4ED-E6B3F17C173F}" name="Platform" dataDxfId="90"/>
    <tableColumn id="3" xr3:uid="{B5E5114C-FCD8-499E-A7CC-B6ECC96046F2}" name="New_Followers" dataDxfId="89"/>
    <tableColumn id="4" xr3:uid="{6131A175-1907-49EE-9723-E6139B6133BD}" name="Unfollows" dataDxfId="88"/>
    <tableColumn id="5" xr3:uid="{D6B32CAF-183A-4669-B778-C0C0EF3053A1}" name="Total_Followers" dataDxfId="87"/>
    <tableColumn id="6" xr3:uid="{86D96897-95AF-44CF-BCF8-52F7646D4324}" name="Engagement_Rate" dataDxfId="86"/>
    <tableColumn id="7" xr3:uid="{8902A6F0-BA20-43B8-83C0-6D4A0B37DB3A}" name="Ad_Spend" dataDxfId="85"/>
    <tableColumn id="8" xr3:uid="{0D05722A-E3BB-4126-A898-745E6F962BED}" name="Followers gained" dataDxfId="84">
      <calculatedColumnFormula>Table2[[#This Row],[New_Followers]]-Table2[[#This Row],[Unfollows]]</calculatedColumnFormula>
    </tableColumn>
    <tableColumn id="9" xr3:uid="{B9B664EF-A146-4FBA-BBA9-8A02341A0751}" name="Growth Rate" dataDxfId="83">
      <calculatedColumnFormula>Table2[[#This Row],[Followers gained]]/Table2[[#This Row],[Total_Followers]]</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B60EDE-BCA2-4AC2-9E65-257DD6715E53}" name="Table1_1" displayName="Table1_1" ref="A1:O340" totalsRowShown="0">
  <autoFilter ref="A1:O340" xr:uid="{EDB60EDE-BCA2-4AC2-9E65-257DD6715E53}"/>
  <tableColumns count="15">
    <tableColumn id="1" xr3:uid="{3682CD5D-47E5-404E-BF22-591111A8726A}" name="Post ID" dataDxfId="80"/>
    <tableColumn id="2" xr3:uid="{B26EF0AA-301B-4990-AB6A-0B33A7C61A8E}" name="Platform" dataDxfId="79"/>
    <tableColumn id="3" xr3:uid="{E71F2A8D-9104-40E7-A862-F22C9C5EB3DA}" name="Date" dataDxfId="78"/>
    <tableColumn id="4" xr3:uid="{0553EF3A-3BBA-4FEF-AFAF-E59A3B7970B0}" name="Content Type" dataDxfId="77"/>
    <tableColumn id="5" xr3:uid="{74A47E2B-346B-4E9D-BF34-A4DB38E7F9A1}" name="Post Text" dataDxfId="76"/>
    <tableColumn id="6" xr3:uid="{42F85E69-1007-408D-A9B5-9B0F9A2A2AC7}" name="Likes" dataDxfId="75"/>
    <tableColumn id="7" xr3:uid="{D9021B02-DBBC-415A-A785-F1DC1BDC2D22}" name="Shares" dataDxfId="74"/>
    <tableColumn id="8" xr3:uid="{5E77608D-E249-4386-9962-4227FED339F0}" name="Comments" dataDxfId="73"/>
    <tableColumn id="9" xr3:uid="{3DAAD2A5-FDFD-4672-B6B0-64D8AAF4B718}" name="Impressions" dataDxfId="72"/>
    <tableColumn id="10" xr3:uid="{F8E28447-61A6-48CF-9E14-C3AE500EB859}" name="Reach" dataDxfId="71"/>
    <tableColumn id="11" xr3:uid="{D16CA238-4E35-4C55-B17C-D7CD34A9FAD5}" name="Clicks" dataDxfId="70"/>
    <tableColumn id="12" xr3:uid="{CAA2C565-79EC-4C45-A91A-7C145725D277}" name="Hashtags Used" dataDxfId="69"/>
    <tableColumn id="13" xr3:uid="{B1528F99-DF8D-4F9D-A6F2-CB46DD22F56E}" name="Campaign_Name" dataDxfId="68"/>
    <tableColumn id="14" xr3:uid="{C3AD4B7A-A6EC-459E-A4F9-FF26FD18C656}" name=" Total Engagement" dataDxfId="67">
      <calculatedColumnFormula>Table1_1[[#This Row],[Likes]]+Table1_1[[#This Row],[Shares]]+Table1_1[[#This Row],[Comments]]+Table1_1[[#This Row],[Clicks]]</calculatedColumnFormula>
    </tableColumn>
    <tableColumn id="15" xr3:uid="{D58D8A71-079E-42B3-8CC4-366E42F13E81}" name="Engagement rate" dataDxfId="66">
      <calculatedColumnFormula>(Table1_1[[#This Row],[Likes]]+Table1_1[[#This Row],[Shares]]+Table1_1[[#This Row],[Comments]])/ Table1_1[[#This Row],[Impressions]]</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AE641E8-61D6-44C1-8729-9C1752161A82}" name="Campaign" displayName="Campaign" ref="A1:H5" tableType="queryTable" totalsRowShown="0">
  <autoFilter ref="A1:H5" xr:uid="{DAE641E8-61D6-44C1-8729-9C1752161A82}"/>
  <tableColumns count="8">
    <tableColumn id="1" xr3:uid="{052C3774-C155-4557-98BC-CF5C9ECC4E08}" uniqueName="1" name="Campaign_Name" queryTableFieldId="1" dataDxfId="65"/>
    <tableColumn id="2" xr3:uid="{3172BA53-629C-4BE7-8FEE-3E7552775069}" uniqueName="2" name="Start_Date" queryTableFieldId="2" dataDxfId="64"/>
    <tableColumn id="3" xr3:uid="{10FA92C9-098D-4EFF-AFA7-E884812E9881}" uniqueName="3" name="End_Date" queryTableFieldId="3" dataDxfId="63"/>
    <tableColumn id="4" xr3:uid="{3CDBD1F3-1730-4080-8AD4-7F1E9F772CAC}" uniqueName="4" name="Objective" queryTableFieldId="4" dataDxfId="62"/>
    <tableColumn id="5" xr3:uid="{F29686B8-DA76-400D-9CFB-C55BF4445246}" uniqueName="5" name="Total_Budget" queryTableFieldId="5"/>
    <tableColumn id="6" xr3:uid="{15CA1258-EEAF-4F4E-AA29-72EC6DEB3A3E}" uniqueName="6" name="Target_Platforms" queryTableFieldId="6" dataDxfId="61"/>
    <tableColumn id="7" xr3:uid="{961E0BFE-9295-4623-BB19-17617922EEFD}" uniqueName="7" name="Platform" queryTableFieldId="7" dataDxfId="60"/>
    <tableColumn id="8" xr3:uid="{7003D81C-5311-4699-A212-475988440865}" uniqueName="8" name="Primary_Hashtags" queryTableFieldId="8" dataDxfId="5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A1BCED8-176B-430B-B491-0CB864D3E570}" name="post" displayName="post" ref="A1:O340" tableType="queryTable" totalsRowShown="0">
  <autoFilter ref="A1:O340" xr:uid="{EA1BCED8-176B-430B-B491-0CB864D3E570}"/>
  <tableColumns count="15">
    <tableColumn id="1" xr3:uid="{887691F0-FD2D-490E-B478-74F5F5FC6376}" uniqueName="1" name="Post ID" queryTableFieldId="1" dataDxfId="58"/>
    <tableColumn id="2" xr3:uid="{8604C974-7C4D-407E-AC60-30508E4CE345}" uniqueName="2" name="Platform" queryTableFieldId="2" dataDxfId="57"/>
    <tableColumn id="3" xr3:uid="{EBA4D156-AE38-4E52-BD85-0F4C9BB6BEF3}" uniqueName="3" name="Date" queryTableFieldId="3" dataDxfId="56"/>
    <tableColumn id="4" xr3:uid="{3AE61EC4-69EA-4D7C-9D5A-21EBF03C2442}" uniqueName="4" name="Likes" queryTableFieldId="4"/>
    <tableColumn id="5" xr3:uid="{4E44BC4C-F916-41E8-A74F-B1E064CC487E}" uniqueName="5" name="Shares" queryTableFieldId="5"/>
    <tableColumn id="6" xr3:uid="{0C758BE7-1141-4DE2-BD4A-7BBC2EAA4719}" uniqueName="6" name="Comments" queryTableFieldId="6"/>
    <tableColumn id="7" xr3:uid="{BC1B1F16-C319-4A48-9003-8280DF99C2DE}" uniqueName="7" name="Impressions" queryTableFieldId="7"/>
    <tableColumn id="8" xr3:uid="{EE52EC51-EBC8-477A-AF12-6771FBB41D77}" uniqueName="8" name="Reach" queryTableFieldId="8"/>
    <tableColumn id="9" xr3:uid="{D0E7144E-E448-40AD-9B1A-A26A5082AA17}" uniqueName="9" name="Clicks" queryTableFieldId="9"/>
    <tableColumn id="10" xr3:uid="{DDD3B3D1-73BE-4141-A427-7AA852764E1A}" uniqueName="10" name="Hashtags Used" queryTableFieldId="10" dataDxfId="55"/>
    <tableColumn id="11" xr3:uid="{C58147DB-A937-4352-9E63-E80961E9E080}" uniqueName="11" name="Campaign_Name" queryTableFieldId="11" dataDxfId="54"/>
    <tableColumn id="12" xr3:uid="{0057D6B8-DE33-4E89-ADE8-6D61A0FA9273}" uniqueName="12" name=" Total Engagement" queryTableFieldId="12"/>
    <tableColumn id="13" xr3:uid="{2059013C-8059-44A3-BA90-5AFB3C7D984A}" uniqueName="13" name="Engagement rate" queryTableFieldId="13"/>
    <tableColumn id="14" xr3:uid="{8E64815A-5394-436D-AE69-A3756D30C103}" uniqueName="14" name="Content Type" queryTableFieldId="14" dataDxfId="53"/>
    <tableColumn id="15" xr3:uid="{7398FD7A-08BE-4EEF-BBBD-7B2CE5508279}" uniqueName="15" name="Post Text" queryTableFieldId="15" dataDxfId="5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0F88AAA-FB79-4885-B975-8DF9CC95CE4B}" name="Merge1" displayName="Merge1" ref="A1:L279" tableType="queryTable" totalsRowShown="0">
  <autoFilter ref="A1:L279" xr:uid="{40F88AAA-FB79-4885-B975-8DF9CC95CE4B}"/>
  <tableColumns count="12">
    <tableColumn id="1" xr3:uid="{08D74D63-2989-4A7D-AA59-D0DA11816FEE}" uniqueName="1" name="Campaign_Name" queryTableFieldId="1" dataDxfId="51"/>
    <tableColumn id="2" xr3:uid="{4096BA39-29EA-4A0F-9F3D-B0602E0760AB}" uniqueName="2" name="Start_Date" queryTableFieldId="2" dataDxfId="50"/>
    <tableColumn id="3" xr3:uid="{6E60B18D-41F3-49B5-9142-CD8B0F4874F3}" uniqueName="3" name="End_Date" queryTableFieldId="3" dataDxfId="49"/>
    <tableColumn id="4" xr3:uid="{92ECB760-1172-41F4-AAD1-15B8F6CBA22A}" uniqueName="4" name="Objective" queryTableFieldId="4" dataDxfId="48"/>
    <tableColumn id="5" xr3:uid="{D65F310E-DED8-4B03-A1AB-8F0F576CCBB8}" uniqueName="5" name="Total_Budget" queryTableFieldId="5"/>
    <tableColumn id="6" xr3:uid="{38C002F0-B1C8-4F91-8A88-2C5053CA2434}" uniqueName="6" name="Target_Platforms" queryTableFieldId="6" dataDxfId="47"/>
    <tableColumn id="7" xr3:uid="{67E6F50F-01E9-4F59-83D9-586A594B113F}" uniqueName="7" name="Platform" queryTableFieldId="7" dataDxfId="46"/>
    <tableColumn id="8" xr3:uid="{506E13C0-4A27-4B4E-B32E-9D94D9A47915}" uniqueName="8" name="Primary_Hashtags" queryTableFieldId="8" dataDxfId="45"/>
    <tableColumn id="9" xr3:uid="{21906B05-03B7-4B59-93F7-9F6E9662B100}" uniqueName="9" name="post. Total Engagement" queryTableFieldId="9"/>
    <tableColumn id="10" xr3:uid="{C28B4548-EF10-403A-9E26-77F713B86D80}" uniqueName="10" name="post.Engagement rate" queryTableFieldId="10"/>
    <tableColumn id="11" xr3:uid="{11B73EFC-BD68-4952-A328-1701F41DA11F}" uniqueName="11" name="post.Content Type" queryTableFieldId="11" dataDxfId="44"/>
    <tableColumn id="12" xr3:uid="{48146BFC-E14B-409C-9DC0-8F11C6619161}" uniqueName="12" name="post.Post Text" queryTableFieldId="12" dataDxfId="4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34893F7-5DBC-4AAF-843C-9B71746AE7C9}" name="week" displayName="week" ref="A1:I201" tableType="queryTable" totalsRowShown="0">
  <autoFilter ref="A1:I201" xr:uid="{834893F7-5DBC-4AAF-843C-9B71746AE7C9}"/>
  <tableColumns count="9">
    <tableColumn id="1" xr3:uid="{AB6D4302-130C-442F-B8F1-F86FCF1E75C1}" uniqueName="1" name="Week_Start_Date" queryTableFieldId="1" dataDxfId="42"/>
    <tableColumn id="2" xr3:uid="{5DB19A9A-AA74-4ADF-8920-C74FDCB0470B}" uniqueName="2" name="Platform" queryTableFieldId="2" dataDxfId="41"/>
    <tableColumn id="3" xr3:uid="{1604BC64-A5FA-4CAC-B0A5-18F8BA5E2C3E}" uniqueName="3" name="New_Followers" queryTableFieldId="3"/>
    <tableColumn id="4" xr3:uid="{3E34CB06-C841-47D6-8F69-32F2CE20B3EC}" uniqueName="4" name="Unfollows" queryTableFieldId="4"/>
    <tableColumn id="5" xr3:uid="{D658698D-6D31-4A16-967F-CCE9DAA68AE1}" uniqueName="5" name="Total_Followers" queryTableFieldId="5"/>
    <tableColumn id="6" xr3:uid="{3685A640-3FD8-479B-92B0-4929A04F6B8B}" uniqueName="6" name="Engagement_Rate" queryTableFieldId="6"/>
    <tableColumn id="7" xr3:uid="{029B07B1-A09D-43E5-A3BA-00DEA2813B87}" uniqueName="7" name="Ad_Spend" queryTableFieldId="7"/>
    <tableColumn id="8" xr3:uid="{AF451BF8-0374-4E5F-8A97-99B1A25FC30C}" uniqueName="8" name="Followers gained" queryTableFieldId="8"/>
    <tableColumn id="9" xr3:uid="{87599968-DD69-4A70-90B4-44F437719CDE}" uniqueName="9" name="Growth Rate" queryTableField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C8E9778-23F1-4B01-82C2-07D09FE62F21}" name="Merge2" displayName="Merge2" ref="A1:Z5" tableType="queryTable" totalsRowShown="0">
  <autoFilter ref="A1:Z5" xr:uid="{0C8E9778-23F1-4B01-82C2-07D09FE62F21}"/>
  <tableColumns count="26">
    <tableColumn id="1" xr3:uid="{47E3A802-CCA0-4243-943C-F467477A5593}" uniqueName="1" name="Campaign_Name" queryTableFieldId="1" dataDxfId="40"/>
    <tableColumn id="2" xr3:uid="{67165F8C-0FCB-49C3-A55A-1C0E1DDD5C15}" uniqueName="2" name="Start_Date" queryTableFieldId="2" dataDxfId="39"/>
    <tableColumn id="3" xr3:uid="{8F5B25F1-A685-4D6D-B84C-92715C37F56C}" uniqueName="3" name="End_Date" queryTableFieldId="3" dataDxfId="38"/>
    <tableColumn id="4" xr3:uid="{9EA52F49-7101-4EDC-93C1-86FBDC4B7D87}" uniqueName="4" name="Objective" queryTableFieldId="4" dataDxfId="37"/>
    <tableColumn id="5" xr3:uid="{AB5CB721-6CD5-41D4-A4AB-E46C35FBA900}" uniqueName="5" name="Total_Budget" queryTableFieldId="5"/>
    <tableColumn id="6" xr3:uid="{1771C744-21C1-4277-8DC0-9927A4B4265D}" uniqueName="6" name="Target_Platforms" queryTableFieldId="6" dataDxfId="36"/>
    <tableColumn id="7" xr3:uid="{8E10B607-18EA-40B4-BC2E-4DE2DD66E8CC}" uniqueName="7" name="Platform" queryTableFieldId="7" dataDxfId="35"/>
    <tableColumn id="8" xr3:uid="{9CA11032-8985-4358-81BD-7BC68C5C1959}" uniqueName="8" name="Primary_Hashtags" queryTableFieldId="8" dataDxfId="34"/>
    <tableColumn id="19" xr3:uid="{A30D483C-407F-4BBD-BE5C-38225600797C}" uniqueName="19" name="Hashtags" queryTableFieldId="19"/>
    <tableColumn id="9" xr3:uid="{4B85279F-0FEC-423D-8385-7D3577E0BF12}" uniqueName="9" name="post. Total Engagement" queryTableFieldId="9"/>
    <tableColumn id="10" xr3:uid="{FAB8062C-952E-491E-84E8-9F1F48CDF53D}" uniqueName="10" name="post.Engagement rate" queryTableFieldId="10"/>
    <tableColumn id="11" xr3:uid="{94B3C29B-2D75-4798-88ED-8D891C60D38C}" uniqueName="11" name="post.Content Type" queryTableFieldId="11" dataDxfId="33"/>
    <tableColumn id="12" xr3:uid="{CDBAE293-122A-4930-A905-BE86E571BD7D}" uniqueName="12" name="post.Post Text" queryTableFieldId="12" dataDxfId="32"/>
    <tableColumn id="13" xr3:uid="{6130FC78-91A6-4456-9D3C-44BA633A7547}" uniqueName="13" name="week.New_Followers" queryTableFieldId="13"/>
    <tableColumn id="14" xr3:uid="{DD50581B-0A02-498E-95C0-A7E2C9EDD138}" uniqueName="14" name="week.Unfollows" queryTableFieldId="14"/>
    <tableColumn id="15" xr3:uid="{8D75E258-F631-4617-947C-0B030ED4C320}" uniqueName="15" name="week.Total_Followers" queryTableFieldId="15"/>
    <tableColumn id="16" xr3:uid="{BA4ADD63-DFB6-4BA7-87E0-F6C1A685495C}" uniqueName="16" name="week.Ad_Spend" queryTableFieldId="16"/>
    <tableColumn id="17" xr3:uid="{43C9A7E1-AFDB-4394-9CF4-68E58BB4E456}" uniqueName="17" name="week.Followers gained" queryTableFieldId="17"/>
    <tableColumn id="18" xr3:uid="{85BB967A-EEA3-4412-9910-AB2FB8F104C6}" uniqueName="18" name="week.Growth Rate" queryTableFieldId="18"/>
    <tableColumn id="20" xr3:uid="{F84875DC-10AF-4E7A-A94E-E5C3361D81B7}" uniqueName="20" name="ROI" queryTableFieldId="20" dataDxfId="31">
      <calculatedColumnFormula>Merge2[[#This Row],[post. Total Engagement]]/Merge2[[#This Row],[Total_Budget]]</calculatedColumnFormula>
    </tableColumn>
    <tableColumn id="21" xr3:uid="{9E48129E-7ED7-45A5-B685-3908842449C0}" uniqueName="21" name="current engagement rate" queryTableFieldId="21" dataDxfId="30"/>
    <tableColumn id="22" xr3:uid="{E1952B81-9114-420D-B132-AB93F1637A95}" uniqueName="22" name="previous engagement rate" queryTableFieldId="22"/>
    <tableColumn id="23" xr3:uid="{72586DBD-629B-41FD-93F8-311D7577405F}" uniqueName="23" name="uplit" queryTableFieldId="23" dataDxfId="29">
      <calculatedColumnFormula>Merge2[[#This Row],[current engagement rate]]-Merge2[[#This Row],[previous engagement rate]]</calculatedColumnFormula>
    </tableColumn>
    <tableColumn id="24" xr3:uid="{84311893-56CE-44E4-AA49-14C53521491C}" uniqueName="24" name="Follower before" queryTableFieldId="24" dataDxfId="28">
      <calculatedColumnFormula>Merge2[[#This Row],[week.Total_Followers]]-Merge2[[#This Row],[week.Followers gained]]</calculatedColumnFormula>
    </tableColumn>
    <tableColumn id="25" xr3:uid="{3008B7D7-A4D8-4819-8C88-37286718045D}" uniqueName="25" name="Follower after" queryTableFieldId="25" dataDxfId="27">
      <calculatedColumnFormula>Merge2[[#This Row],[week.Total_Followers]]</calculatedColumnFormula>
    </tableColumn>
    <tableColumn id="26" xr3:uid="{287419D8-2397-4FEB-86D1-15D69A177119}" uniqueName="26" name="follwer growth" queryTableFieldId="26" dataDxfId="26">
      <calculatedColumnFormula>Merge2[[#This Row],[Follower after]]-Merge2[[#This Row],[Follower before]]</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E3E7B3-7822-486F-BD86-1EA6D98BF0F6}" name="Table25" displayName="Table25" ref="A1:I201" totalsRowShown="0" headerRowDxfId="25" dataDxfId="23" headerRowBorderDxfId="24" tableBorderDxfId="22">
  <autoFilter ref="A1:I201" xr:uid="{49E3E7B3-7822-486F-BD86-1EA6D98BF0F6}"/>
  <sortState xmlns:xlrd2="http://schemas.microsoft.com/office/spreadsheetml/2017/richdata2" ref="A2:I201">
    <sortCondition descending="1" ref="H1:H201"/>
  </sortState>
  <tableColumns count="9">
    <tableColumn id="1" xr3:uid="{989335BB-F5FC-4EC5-AA4F-BF3A66ABECDE}" name="Week_Start_Date" dataDxfId="21"/>
    <tableColumn id="2" xr3:uid="{5BF758F6-D931-44B0-9C9B-13FA5BD784B3}" name="Platform" dataDxfId="20"/>
    <tableColumn id="3" xr3:uid="{0818AD71-1647-4794-BB5A-B7C9581B957A}" name="New_Followers" dataDxfId="19"/>
    <tableColumn id="4" xr3:uid="{C23AAEE4-0251-4709-A7C0-017356E20C96}" name="Unfollows" dataDxfId="18"/>
    <tableColumn id="5" xr3:uid="{4834ED65-B27A-42BA-A5D5-6C7B22210955}" name="Total_Followers" dataDxfId="17"/>
    <tableColumn id="6" xr3:uid="{BDD67E1C-5E48-4133-A69D-48CFC52C8058}" name="Engagement_Rate" dataDxfId="16"/>
    <tableColumn id="7" xr3:uid="{5AF0B58B-059A-42FC-B546-6F9A9D9C4F7D}" name="Ad_Spend" dataDxfId="15"/>
    <tableColumn id="8" xr3:uid="{46A6D0DD-CE3F-46B2-AB6C-DF10CF52645C}" name="Followers gained" dataDxfId="14">
      <calculatedColumnFormula>Table25[[#This Row],[New_Followers]]-Table25[[#This Row],[Unfollows]]</calculatedColumnFormula>
    </tableColumn>
    <tableColumn id="9" xr3:uid="{A6ADB267-1828-404E-A882-1B762EABF201}" name="Growth Rate" dataDxfId="13">
      <calculatedColumnFormula>Table25[[#This Row],[Followers gained]]/Table25[[#This Row],[Total_Followers]]</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0DCD-7DA8-42E5-B9FC-DC3508E27959}">
  <sheetPr>
    <tabColor theme="7" tint="-0.499984740745262"/>
  </sheetPr>
  <dimension ref="A1"/>
  <sheetViews>
    <sheetView topLeftCell="A6" zoomScale="85" zoomScaleNormal="85" workbookViewId="0">
      <selection activeCell="T26" sqref="T26"/>
    </sheetView>
  </sheetViews>
  <sheetFormatPr defaultRowHeight="14.4" x14ac:dyDescent="0.3"/>
  <sheetData>
    <row r="1" ht="21" customHeight="1" x14ac:dyDescent="0.3"/>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D3AE-BBC4-44D9-B982-DD366FBEF8EE}">
  <sheetPr>
    <tabColor rgb="FFFF0000"/>
  </sheetPr>
  <dimension ref="A1:B7"/>
  <sheetViews>
    <sheetView workbookViewId="0">
      <selection activeCell="A24" sqref="A24"/>
    </sheetView>
  </sheetViews>
  <sheetFormatPr defaultRowHeight="14.4" x14ac:dyDescent="0.3"/>
  <cols>
    <col min="1" max="1" width="93" bestFit="1" customWidth="1"/>
    <col min="2" max="2" width="65.33203125" bestFit="1" customWidth="1"/>
  </cols>
  <sheetData>
    <row r="1" spans="1:2" ht="18" x14ac:dyDescent="0.35">
      <c r="A1" s="53" t="s">
        <v>554</v>
      </c>
      <c r="B1" s="53"/>
    </row>
    <row r="2" spans="1:2" ht="18" x14ac:dyDescent="0.35">
      <c r="A2" s="12" t="s">
        <v>560</v>
      </c>
      <c r="B2" s="12" t="s">
        <v>620</v>
      </c>
    </row>
    <row r="3" spans="1:2" ht="18" x14ac:dyDescent="0.35">
      <c r="A3" s="37" t="s">
        <v>555</v>
      </c>
      <c r="B3" s="37" t="s">
        <v>561</v>
      </c>
    </row>
    <row r="4" spans="1:2" ht="18" x14ac:dyDescent="0.35">
      <c r="A4" s="37" t="s">
        <v>556</v>
      </c>
      <c r="B4" s="37" t="s">
        <v>562</v>
      </c>
    </row>
    <row r="5" spans="1:2" ht="18" x14ac:dyDescent="0.35">
      <c r="A5" s="37" t="s">
        <v>557</v>
      </c>
      <c r="B5" s="37" t="s">
        <v>563</v>
      </c>
    </row>
    <row r="6" spans="1:2" ht="18" x14ac:dyDescent="0.35">
      <c r="A6" s="37" t="s">
        <v>558</v>
      </c>
      <c r="B6" s="37" t="s">
        <v>564</v>
      </c>
    </row>
    <row r="7" spans="1:2" ht="18" x14ac:dyDescent="0.35">
      <c r="A7" s="37" t="s">
        <v>559</v>
      </c>
      <c r="B7" s="37" t="s">
        <v>565</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0282-90F3-49B3-9529-6B8ABB349A4D}">
  <sheetPr codeName="Sheet1">
    <tabColor rgb="FFFF0000"/>
  </sheetPr>
  <dimension ref="A1:U301"/>
  <sheetViews>
    <sheetView tabSelected="1" topLeftCell="F1" zoomScale="99" zoomScaleNormal="99" workbookViewId="0">
      <selection activeCell="Q17" sqref="Q17"/>
    </sheetView>
  </sheetViews>
  <sheetFormatPr defaultRowHeight="14.4" x14ac:dyDescent="0.3"/>
  <cols>
    <col min="1" max="1" width="14.44140625" bestFit="1" customWidth="1"/>
    <col min="2" max="2" width="15.77734375" style="41" bestFit="1" customWidth="1"/>
    <col min="3" max="3" width="12.44140625" bestFit="1" customWidth="1"/>
    <col min="4" max="4" width="19.6640625" bestFit="1" customWidth="1"/>
    <col min="5" max="5" width="44.21875" bestFit="1" customWidth="1"/>
    <col min="6" max="6" width="12.6640625" bestFit="1" customWidth="1"/>
    <col min="7" max="7" width="14" bestFit="1" customWidth="1"/>
    <col min="8" max="8" width="17.5546875" bestFit="1" customWidth="1"/>
    <col min="9" max="9" width="18.6640625" bestFit="1" customWidth="1"/>
    <col min="10" max="10" width="13.5546875" bestFit="1" customWidth="1"/>
    <col min="11" max="11" width="13.109375" bestFit="1" customWidth="1"/>
    <col min="12" max="12" width="20.5546875" bestFit="1" customWidth="1"/>
    <col min="13" max="13" width="23.88671875" bestFit="1" customWidth="1"/>
    <col min="14" max="14" width="22.109375" bestFit="1" customWidth="1"/>
    <col min="15" max="15" width="23.44140625" bestFit="1" customWidth="1"/>
    <col min="17" max="17" width="96.88671875" bestFit="1" customWidth="1"/>
    <col min="18" max="18" width="67.88671875" bestFit="1" customWidth="1"/>
  </cols>
  <sheetData>
    <row r="1" spans="1:21" x14ac:dyDescent="0.3">
      <c r="A1" s="27" t="s">
        <v>0</v>
      </c>
      <c r="B1" s="50" t="s">
        <v>1</v>
      </c>
      <c r="C1" s="27" t="s">
        <v>2</v>
      </c>
      <c r="D1" s="27" t="s">
        <v>3</v>
      </c>
      <c r="E1" s="27" t="s">
        <v>4</v>
      </c>
      <c r="F1" s="28" t="s">
        <v>5</v>
      </c>
      <c r="G1" s="27" t="s">
        <v>6</v>
      </c>
      <c r="H1" s="27" t="s">
        <v>7</v>
      </c>
      <c r="I1" s="27" t="s">
        <v>8</v>
      </c>
      <c r="J1" s="27" t="s">
        <v>9</v>
      </c>
      <c r="K1" s="27" t="s">
        <v>10</v>
      </c>
      <c r="L1" s="29" t="s">
        <v>569</v>
      </c>
      <c r="M1" s="29" t="s">
        <v>570</v>
      </c>
      <c r="N1" s="29" t="s">
        <v>571</v>
      </c>
      <c r="O1" s="29" t="s">
        <v>11</v>
      </c>
    </row>
    <row r="2" spans="1:21" ht="29.4" customHeight="1" x14ac:dyDescent="0.3">
      <c r="A2" s="21" t="s">
        <v>450</v>
      </c>
      <c r="B2" s="22" t="s">
        <v>39</v>
      </c>
      <c r="C2" s="23" t="s">
        <v>451</v>
      </c>
      <c r="D2" s="22" t="s">
        <v>20</v>
      </c>
      <c r="E2" s="22" t="s">
        <v>52</v>
      </c>
      <c r="F2" s="24">
        <v>1272</v>
      </c>
      <c r="G2" s="24">
        <v>465</v>
      </c>
      <c r="H2" s="24">
        <v>99</v>
      </c>
      <c r="I2" s="24">
        <v>24168</v>
      </c>
      <c r="J2" s="24">
        <v>23719</v>
      </c>
      <c r="K2" s="24">
        <v>42</v>
      </c>
      <c r="L2" s="22" t="s">
        <v>27</v>
      </c>
      <c r="M2" s="21"/>
      <c r="N2" s="21"/>
      <c r="O2" s="8"/>
    </row>
    <row r="3" spans="1:21" ht="29.4" customHeight="1" x14ac:dyDescent="0.3">
      <c r="A3" s="21" t="s">
        <v>405</v>
      </c>
      <c r="B3" s="22" t="s">
        <v>39</v>
      </c>
      <c r="C3" s="23" t="s">
        <v>406</v>
      </c>
      <c r="D3" s="22" t="s">
        <v>48</v>
      </c>
      <c r="E3" s="22" t="s">
        <v>55</v>
      </c>
      <c r="F3" s="24">
        <v>1871</v>
      </c>
      <c r="G3" s="24">
        <v>252</v>
      </c>
      <c r="H3" s="24">
        <v>335</v>
      </c>
      <c r="I3" s="24">
        <v>29936</v>
      </c>
      <c r="J3" s="24">
        <v>29576</v>
      </c>
      <c r="K3" s="24">
        <v>288</v>
      </c>
      <c r="L3" s="22" t="s">
        <v>34</v>
      </c>
      <c r="M3" s="21"/>
      <c r="N3" s="21"/>
      <c r="O3" s="21" t="s">
        <v>28</v>
      </c>
    </row>
    <row r="4" spans="1:21" ht="29.4" customHeight="1" x14ac:dyDescent="0.3">
      <c r="A4" s="21" t="s">
        <v>430</v>
      </c>
      <c r="B4" s="22" t="s">
        <v>30</v>
      </c>
      <c r="C4" s="23" t="s">
        <v>406</v>
      </c>
      <c r="D4" s="22" t="s">
        <v>32</v>
      </c>
      <c r="E4" s="22" t="s">
        <v>33</v>
      </c>
      <c r="F4" s="24">
        <v>84</v>
      </c>
      <c r="G4" s="24">
        <v>897</v>
      </c>
      <c r="H4" s="24">
        <v>85</v>
      </c>
      <c r="I4" s="24">
        <v>588</v>
      </c>
      <c r="J4" s="24">
        <v>8</v>
      </c>
      <c r="K4" s="24">
        <v>12</v>
      </c>
      <c r="L4" s="22" t="s">
        <v>34</v>
      </c>
      <c r="M4" s="21"/>
      <c r="N4" s="21"/>
      <c r="O4" s="8"/>
    </row>
    <row r="5" spans="1:21" ht="29.4" customHeight="1" x14ac:dyDescent="0.3">
      <c r="A5" s="21" t="s">
        <v>223</v>
      </c>
      <c r="B5" s="22" t="s">
        <v>30</v>
      </c>
      <c r="C5" s="23" t="s">
        <v>224</v>
      </c>
      <c r="D5" s="22" t="s">
        <v>48</v>
      </c>
      <c r="E5" s="22" t="s">
        <v>208</v>
      </c>
      <c r="F5" s="24">
        <v>3861</v>
      </c>
      <c r="G5" s="24">
        <v>960</v>
      </c>
      <c r="H5" s="24">
        <v>101</v>
      </c>
      <c r="I5" s="24">
        <v>69498</v>
      </c>
      <c r="J5" s="24">
        <v>68817</v>
      </c>
      <c r="K5" s="24">
        <v>297</v>
      </c>
      <c r="L5" s="22" t="s">
        <v>27</v>
      </c>
      <c r="M5" s="21"/>
      <c r="N5" s="21"/>
      <c r="O5" s="21" t="s">
        <v>35</v>
      </c>
    </row>
    <row r="6" spans="1:21" ht="29.4" customHeight="1" x14ac:dyDescent="0.3">
      <c r="A6" s="21" t="s">
        <v>314</v>
      </c>
      <c r="B6" s="22" t="s">
        <v>24</v>
      </c>
      <c r="C6" s="23" t="s">
        <v>315</v>
      </c>
      <c r="D6" s="22" t="s">
        <v>15</v>
      </c>
      <c r="E6" s="22" t="s">
        <v>26</v>
      </c>
      <c r="F6" s="24">
        <v>3065</v>
      </c>
      <c r="G6" s="24">
        <v>772</v>
      </c>
      <c r="H6" s="24">
        <v>142</v>
      </c>
      <c r="I6" s="24">
        <v>18390</v>
      </c>
      <c r="J6" s="24">
        <v>17875</v>
      </c>
      <c r="K6" s="24">
        <v>200</v>
      </c>
      <c r="L6" s="22" t="s">
        <v>34</v>
      </c>
      <c r="M6" s="21" t="s">
        <v>551</v>
      </c>
      <c r="N6" s="21"/>
      <c r="O6" s="8"/>
    </row>
    <row r="7" spans="1:21" ht="29.4" customHeight="1" x14ac:dyDescent="0.3">
      <c r="A7" s="21" t="s">
        <v>217</v>
      </c>
      <c r="B7" s="22" t="s">
        <v>13</v>
      </c>
      <c r="C7" s="23" t="s">
        <v>218</v>
      </c>
      <c r="D7" s="22" t="s">
        <v>70</v>
      </c>
      <c r="E7" s="22" t="s">
        <v>140</v>
      </c>
      <c r="F7" s="24">
        <v>1436</v>
      </c>
      <c r="G7" s="24">
        <v>765</v>
      </c>
      <c r="H7" s="24">
        <v>496</v>
      </c>
      <c r="I7" s="24">
        <v>12924</v>
      </c>
      <c r="J7" s="24">
        <v>12701</v>
      </c>
      <c r="K7" s="24">
        <v>197</v>
      </c>
      <c r="L7" s="22" t="s">
        <v>58</v>
      </c>
      <c r="M7" s="21"/>
      <c r="N7" s="21"/>
      <c r="O7" s="21" t="s">
        <v>28</v>
      </c>
    </row>
    <row r="8" spans="1:21" ht="29.4" customHeight="1" x14ac:dyDescent="0.3">
      <c r="A8" s="21" t="s">
        <v>383</v>
      </c>
      <c r="B8" s="22" t="s">
        <v>24</v>
      </c>
      <c r="C8" s="23" t="s">
        <v>218</v>
      </c>
      <c r="D8" s="22" t="s">
        <v>15</v>
      </c>
      <c r="E8" s="22" t="s">
        <v>26</v>
      </c>
      <c r="F8" s="24">
        <v>2728</v>
      </c>
      <c r="G8" s="24">
        <v>533</v>
      </c>
      <c r="H8" s="24">
        <v>215</v>
      </c>
      <c r="I8" s="24">
        <v>40920</v>
      </c>
      <c r="J8" s="24">
        <v>40816</v>
      </c>
      <c r="K8" s="24">
        <v>137</v>
      </c>
      <c r="L8" s="22" t="s">
        <v>58</v>
      </c>
      <c r="M8" s="21"/>
      <c r="N8" s="21"/>
      <c r="O8" s="21" t="s">
        <v>22</v>
      </c>
    </row>
    <row r="9" spans="1:21" ht="29.4" customHeight="1" x14ac:dyDescent="0.3">
      <c r="A9" s="21" t="s">
        <v>513</v>
      </c>
      <c r="B9" s="22" t="s">
        <v>13</v>
      </c>
      <c r="C9" s="23" t="s">
        <v>514</v>
      </c>
      <c r="D9" s="22" t="s">
        <v>41</v>
      </c>
      <c r="E9" s="22" t="s">
        <v>45</v>
      </c>
      <c r="F9" s="24">
        <v>1556</v>
      </c>
      <c r="G9" s="24">
        <v>195</v>
      </c>
      <c r="H9" s="24">
        <v>131</v>
      </c>
      <c r="I9" s="24">
        <v>9336</v>
      </c>
      <c r="J9" s="24">
        <v>8875</v>
      </c>
      <c r="K9" s="24">
        <v>137</v>
      </c>
      <c r="L9" s="22" t="s">
        <v>27</v>
      </c>
      <c r="M9" s="21"/>
      <c r="N9" s="21"/>
      <c r="O9" s="21" t="s">
        <v>22</v>
      </c>
    </row>
    <row r="10" spans="1:21" ht="29.4" customHeight="1" x14ac:dyDescent="0.3">
      <c r="A10" s="21" t="s">
        <v>145</v>
      </c>
      <c r="B10" s="22" t="s">
        <v>13</v>
      </c>
      <c r="C10" s="23" t="s">
        <v>146</v>
      </c>
      <c r="D10" s="22" t="s">
        <v>32</v>
      </c>
      <c r="E10" s="22" t="s">
        <v>144</v>
      </c>
      <c r="F10" s="24">
        <v>2164</v>
      </c>
      <c r="G10" s="24">
        <v>549</v>
      </c>
      <c r="H10" s="24">
        <v>274</v>
      </c>
      <c r="I10" s="24">
        <v>28132</v>
      </c>
      <c r="J10" s="24">
        <v>27361</v>
      </c>
      <c r="K10" s="24">
        <v>177</v>
      </c>
      <c r="L10" s="22" t="s">
        <v>27</v>
      </c>
      <c r="M10" s="21"/>
      <c r="N10" s="21"/>
      <c r="O10" s="21" t="s">
        <v>35</v>
      </c>
    </row>
    <row r="11" spans="1:21" ht="29.4" customHeight="1" x14ac:dyDescent="0.3">
      <c r="A11" s="21" t="s">
        <v>237</v>
      </c>
      <c r="B11" s="22" t="s">
        <v>13</v>
      </c>
      <c r="C11" s="23" t="s">
        <v>146</v>
      </c>
      <c r="D11" s="22" t="s">
        <v>32</v>
      </c>
      <c r="E11" s="22" t="s">
        <v>144</v>
      </c>
      <c r="F11" s="24">
        <v>1575</v>
      </c>
      <c r="G11" s="24">
        <v>771</v>
      </c>
      <c r="H11" s="24">
        <v>486</v>
      </c>
      <c r="I11" s="24">
        <v>25200</v>
      </c>
      <c r="J11" s="24">
        <v>24826</v>
      </c>
      <c r="K11" s="24">
        <v>17</v>
      </c>
      <c r="L11" s="22" t="s">
        <v>58</v>
      </c>
      <c r="M11" s="21"/>
      <c r="N11" s="21"/>
      <c r="O11" s="8" t="s">
        <v>685</v>
      </c>
    </row>
    <row r="12" spans="1:21" ht="29.4" customHeight="1" x14ac:dyDescent="0.3">
      <c r="A12" s="21" t="s">
        <v>245</v>
      </c>
      <c r="B12" s="22" t="s">
        <v>39</v>
      </c>
      <c r="C12" s="23" t="s">
        <v>246</v>
      </c>
      <c r="D12" s="22" t="s">
        <v>48</v>
      </c>
      <c r="E12" s="22" t="s">
        <v>55</v>
      </c>
      <c r="F12" s="24">
        <v>3689</v>
      </c>
      <c r="G12" s="24">
        <v>48</v>
      </c>
      <c r="H12" s="24">
        <v>306</v>
      </c>
      <c r="I12" s="24">
        <v>40579</v>
      </c>
      <c r="J12" s="24">
        <v>39588</v>
      </c>
      <c r="K12" s="24">
        <v>212</v>
      </c>
      <c r="L12" s="22" t="s">
        <v>34</v>
      </c>
      <c r="M12" s="21"/>
      <c r="N12" s="21"/>
      <c r="O12" s="21" t="s">
        <v>22</v>
      </c>
    </row>
    <row r="13" spans="1:21" ht="29.4" customHeight="1" x14ac:dyDescent="0.3">
      <c r="A13" s="21" t="s">
        <v>428</v>
      </c>
      <c r="B13" s="22" t="s">
        <v>39</v>
      </c>
      <c r="C13" s="23" t="s">
        <v>246</v>
      </c>
      <c r="D13" s="22" t="s">
        <v>41</v>
      </c>
      <c r="E13" s="22" t="s">
        <v>42</v>
      </c>
      <c r="F13" s="24">
        <v>1869</v>
      </c>
      <c r="G13" s="24">
        <v>453</v>
      </c>
      <c r="H13" s="24">
        <v>490</v>
      </c>
      <c r="I13" s="24">
        <v>14952</v>
      </c>
      <c r="J13" s="24">
        <v>14309</v>
      </c>
      <c r="K13" s="24">
        <v>275</v>
      </c>
      <c r="L13" s="22" t="s">
        <v>27</v>
      </c>
      <c r="M13" s="21"/>
      <c r="N13" s="21"/>
      <c r="O13" s="21" t="s">
        <v>35</v>
      </c>
    </row>
    <row r="14" spans="1:21" ht="29.4" customHeight="1" x14ac:dyDescent="0.3">
      <c r="A14" s="21" t="s">
        <v>440</v>
      </c>
      <c r="B14" s="22" t="s">
        <v>30</v>
      </c>
      <c r="C14" s="23" t="s">
        <v>441</v>
      </c>
      <c r="D14" s="22" t="s">
        <v>20</v>
      </c>
      <c r="E14" s="22" t="s">
        <v>108</v>
      </c>
      <c r="F14" s="24">
        <v>246</v>
      </c>
      <c r="G14" s="24">
        <v>149</v>
      </c>
      <c r="H14" s="24">
        <v>130</v>
      </c>
      <c r="I14" s="24">
        <v>4674</v>
      </c>
      <c r="J14" s="24">
        <v>4390</v>
      </c>
      <c r="K14" s="24">
        <v>217</v>
      </c>
      <c r="L14" s="22" t="s">
        <v>58</v>
      </c>
      <c r="M14" s="21"/>
      <c r="N14" s="21"/>
      <c r="O14" s="21" t="s">
        <v>28</v>
      </c>
      <c r="U14" s="8"/>
    </row>
    <row r="15" spans="1:21" ht="29.4" customHeight="1" x14ac:dyDescent="0.3">
      <c r="A15" s="21" t="s">
        <v>150</v>
      </c>
      <c r="B15" s="22" t="s">
        <v>39</v>
      </c>
      <c r="C15" s="23" t="s">
        <v>151</v>
      </c>
      <c r="D15" s="22" t="s">
        <v>41</v>
      </c>
      <c r="E15" s="22" t="s">
        <v>42</v>
      </c>
      <c r="F15" s="24">
        <v>2200</v>
      </c>
      <c r="G15" s="24">
        <v>504</v>
      </c>
      <c r="H15" s="24">
        <v>239</v>
      </c>
      <c r="I15" s="24">
        <v>37400</v>
      </c>
      <c r="J15" s="24">
        <v>36938</v>
      </c>
      <c r="K15" s="24">
        <v>225</v>
      </c>
      <c r="L15" s="22" t="s">
        <v>58</v>
      </c>
      <c r="M15" s="21"/>
      <c r="N15" s="21"/>
      <c r="O15" s="21" t="s">
        <v>22</v>
      </c>
    </row>
    <row r="16" spans="1:21" ht="29.4" customHeight="1" x14ac:dyDescent="0.3">
      <c r="A16" s="21" t="s">
        <v>203</v>
      </c>
      <c r="B16" s="22" t="s">
        <v>30</v>
      </c>
      <c r="C16" s="23" t="s">
        <v>151</v>
      </c>
      <c r="D16" s="22" t="s">
        <v>32</v>
      </c>
      <c r="E16" s="22" t="s">
        <v>33</v>
      </c>
      <c r="F16" s="24">
        <v>2103</v>
      </c>
      <c r="G16" s="24">
        <v>892</v>
      </c>
      <c r="H16" s="24">
        <v>103</v>
      </c>
      <c r="I16" s="24">
        <v>39957</v>
      </c>
      <c r="J16" s="24">
        <v>39466</v>
      </c>
      <c r="K16" s="24">
        <v>28</v>
      </c>
      <c r="L16" s="22" t="s">
        <v>58</v>
      </c>
      <c r="M16" s="21"/>
      <c r="N16" s="21"/>
      <c r="O16" s="8"/>
    </row>
    <row r="17" spans="1:15" ht="45.6" customHeight="1" x14ac:dyDescent="0.3">
      <c r="A17" s="8" t="s">
        <v>249</v>
      </c>
      <c r="B17" s="22" t="s">
        <v>30</v>
      </c>
      <c r="C17" s="23" t="s">
        <v>250</v>
      </c>
      <c r="D17" s="22" t="s">
        <v>41</v>
      </c>
      <c r="E17" s="22" t="s">
        <v>84</v>
      </c>
      <c r="F17" s="24">
        <v>498</v>
      </c>
      <c r="G17" s="24">
        <v>38</v>
      </c>
      <c r="H17" s="24">
        <v>42</v>
      </c>
      <c r="I17" s="24">
        <v>4482</v>
      </c>
      <c r="J17" s="24">
        <v>3647</v>
      </c>
      <c r="K17" s="24">
        <v>32</v>
      </c>
      <c r="L17" s="22" t="s">
        <v>58</v>
      </c>
      <c r="M17" s="21"/>
      <c r="N17" s="21"/>
      <c r="O17" s="21" t="s">
        <v>17</v>
      </c>
    </row>
    <row r="18" spans="1:15" ht="45.6" customHeight="1" x14ac:dyDescent="0.3">
      <c r="A18" s="21" t="s">
        <v>281</v>
      </c>
      <c r="B18" s="22" t="s">
        <v>30</v>
      </c>
      <c r="C18" s="23" t="s">
        <v>250</v>
      </c>
      <c r="D18" s="22" t="s">
        <v>32</v>
      </c>
      <c r="E18" s="22" t="s">
        <v>33</v>
      </c>
      <c r="F18" s="24">
        <v>4363</v>
      </c>
      <c r="G18" s="24">
        <v>649</v>
      </c>
      <c r="H18" s="24">
        <v>140</v>
      </c>
      <c r="I18" s="24">
        <v>21815</v>
      </c>
      <c r="J18" s="24">
        <v>21481</v>
      </c>
      <c r="K18" s="24">
        <v>157</v>
      </c>
      <c r="L18" s="22" t="s">
        <v>34</v>
      </c>
      <c r="M18" s="21"/>
      <c r="N18" s="21"/>
      <c r="O18" s="21" t="s">
        <v>17</v>
      </c>
    </row>
    <row r="19" spans="1:15" ht="45.6" customHeight="1" x14ac:dyDescent="0.3">
      <c r="A19" s="21" t="s">
        <v>318</v>
      </c>
      <c r="B19" s="22" t="s">
        <v>13</v>
      </c>
      <c r="C19" s="23" t="s">
        <v>319</v>
      </c>
      <c r="D19" s="22" t="s">
        <v>70</v>
      </c>
      <c r="E19" s="22" t="s">
        <v>140</v>
      </c>
      <c r="F19" s="24">
        <v>1702</v>
      </c>
      <c r="G19" s="24">
        <v>750</v>
      </c>
      <c r="H19" s="24">
        <v>179</v>
      </c>
      <c r="I19" s="24">
        <v>34040</v>
      </c>
      <c r="J19" s="24">
        <v>33174</v>
      </c>
      <c r="K19" s="24">
        <v>76</v>
      </c>
      <c r="L19" s="22" t="s">
        <v>34</v>
      </c>
      <c r="M19" s="21"/>
      <c r="N19" s="21"/>
      <c r="O19" s="21" t="s">
        <v>17</v>
      </c>
    </row>
    <row r="20" spans="1:15" ht="45.6" customHeight="1" x14ac:dyDescent="0.3">
      <c r="A20" s="21" t="s">
        <v>157</v>
      </c>
      <c r="B20" s="22" t="s">
        <v>39</v>
      </c>
      <c r="C20" s="23" t="s">
        <v>158</v>
      </c>
      <c r="D20" s="22" t="s">
        <v>48</v>
      </c>
      <c r="E20" s="22" t="s">
        <v>55</v>
      </c>
      <c r="F20" s="24">
        <v>1226</v>
      </c>
      <c r="G20" s="24">
        <v>119</v>
      </c>
      <c r="H20" s="24">
        <v>7</v>
      </c>
      <c r="I20" s="24">
        <v>14712</v>
      </c>
      <c r="J20" s="24">
        <v>14049</v>
      </c>
      <c r="K20" s="24">
        <v>123</v>
      </c>
      <c r="L20" s="22" t="s">
        <v>34</v>
      </c>
      <c r="M20" s="21"/>
      <c r="N20" s="21"/>
      <c r="O20" s="21" t="s">
        <v>35</v>
      </c>
    </row>
    <row r="21" spans="1:15" ht="45.6" customHeight="1" x14ac:dyDescent="0.3">
      <c r="A21" s="21" t="s">
        <v>200</v>
      </c>
      <c r="B21" s="22" t="s">
        <v>13</v>
      </c>
      <c r="C21" s="23" t="s">
        <v>158</v>
      </c>
      <c r="D21" s="22" t="s">
        <v>48</v>
      </c>
      <c r="E21" s="22" t="s">
        <v>127</v>
      </c>
      <c r="F21" s="24">
        <v>954</v>
      </c>
      <c r="G21" s="24">
        <v>324</v>
      </c>
      <c r="H21" s="24">
        <v>288</v>
      </c>
      <c r="I21" s="24">
        <v>19080</v>
      </c>
      <c r="J21" s="24">
        <v>18859</v>
      </c>
      <c r="K21" s="24">
        <v>21</v>
      </c>
      <c r="L21" s="22" t="s">
        <v>58</v>
      </c>
      <c r="M21" s="21"/>
      <c r="N21" s="21"/>
      <c r="O21" s="21" t="s">
        <v>35</v>
      </c>
    </row>
    <row r="22" spans="1:15" ht="45.6" customHeight="1" x14ac:dyDescent="0.3">
      <c r="A22" s="21" t="s">
        <v>541</v>
      </c>
      <c r="B22" s="22" t="s">
        <v>39</v>
      </c>
      <c r="C22" s="23" t="s">
        <v>542</v>
      </c>
      <c r="D22" s="22" t="s">
        <v>41</v>
      </c>
      <c r="E22" s="22" t="s">
        <v>42</v>
      </c>
      <c r="F22" s="24">
        <v>4731</v>
      </c>
      <c r="G22" s="24">
        <v>173</v>
      </c>
      <c r="H22" s="24">
        <v>276</v>
      </c>
      <c r="I22" s="24">
        <v>28386</v>
      </c>
      <c r="J22" s="24">
        <v>28185</v>
      </c>
      <c r="K22" s="24">
        <v>89</v>
      </c>
      <c r="L22" s="22" t="s">
        <v>34</v>
      </c>
      <c r="M22" s="21"/>
      <c r="N22" s="21"/>
      <c r="O22" s="21" t="s">
        <v>28</v>
      </c>
    </row>
    <row r="23" spans="1:15" ht="37.799999999999997" customHeight="1" x14ac:dyDescent="0.3">
      <c r="A23" s="21" t="s">
        <v>364</v>
      </c>
      <c r="B23" s="22" t="s">
        <v>39</v>
      </c>
      <c r="C23" s="23" t="s">
        <v>365</v>
      </c>
      <c r="D23" s="22" t="s">
        <v>70</v>
      </c>
      <c r="E23" s="22" t="s">
        <v>71</v>
      </c>
      <c r="F23" s="24">
        <v>3798</v>
      </c>
      <c r="G23" s="24">
        <v>31</v>
      </c>
      <c r="H23" s="24">
        <v>279</v>
      </c>
      <c r="I23" s="24">
        <v>75960</v>
      </c>
      <c r="J23" s="24">
        <v>75813</v>
      </c>
      <c r="K23" s="24">
        <v>266</v>
      </c>
      <c r="L23" s="22" t="s">
        <v>27</v>
      </c>
      <c r="M23" s="21"/>
      <c r="N23" s="21"/>
      <c r="O23" s="21" t="s">
        <v>17</v>
      </c>
    </row>
    <row r="24" spans="1:15" ht="29.4" customHeight="1" x14ac:dyDescent="0.3">
      <c r="A24" s="21" t="s">
        <v>437</v>
      </c>
      <c r="B24" s="22" t="s">
        <v>13</v>
      </c>
      <c r="C24" s="23" t="s">
        <v>365</v>
      </c>
      <c r="D24" s="22" t="s">
        <v>41</v>
      </c>
      <c r="E24" s="22" t="s">
        <v>45</v>
      </c>
      <c r="F24" s="24">
        <v>4672</v>
      </c>
      <c r="G24" s="24">
        <v>325</v>
      </c>
      <c r="H24" s="24">
        <v>32</v>
      </c>
      <c r="I24" s="24">
        <v>88768</v>
      </c>
      <c r="J24" s="24">
        <v>87833</v>
      </c>
      <c r="K24" s="24">
        <v>118</v>
      </c>
      <c r="L24" s="22" t="s">
        <v>34</v>
      </c>
      <c r="M24" s="21"/>
      <c r="N24" s="21"/>
      <c r="O24" s="8"/>
    </row>
    <row r="25" spans="1:15" ht="29.4" customHeight="1" x14ac:dyDescent="0.3">
      <c r="A25" s="21" t="s">
        <v>253</v>
      </c>
      <c r="B25" s="22" t="s">
        <v>24</v>
      </c>
      <c r="C25" s="23" t="s">
        <v>254</v>
      </c>
      <c r="D25" s="22" t="s">
        <v>48</v>
      </c>
      <c r="E25" s="22" t="s">
        <v>49</v>
      </c>
      <c r="F25" s="24">
        <v>4832</v>
      </c>
      <c r="G25" s="24">
        <v>893</v>
      </c>
      <c r="H25" s="24">
        <v>10</v>
      </c>
      <c r="I25" s="24">
        <v>91808</v>
      </c>
      <c r="J25" s="24">
        <v>91296</v>
      </c>
      <c r="K25" s="24">
        <v>182</v>
      </c>
      <c r="L25" s="22" t="s">
        <v>27</v>
      </c>
      <c r="M25" s="21"/>
      <c r="N25" s="21"/>
      <c r="O25" s="8"/>
    </row>
    <row r="26" spans="1:15" ht="29.4" customHeight="1" x14ac:dyDescent="0.3">
      <c r="A26" s="21" t="s">
        <v>165</v>
      </c>
      <c r="B26" s="22" t="s">
        <v>30</v>
      </c>
      <c r="C26" s="23" t="s">
        <v>166</v>
      </c>
      <c r="D26" s="22" t="s">
        <v>20</v>
      </c>
      <c r="E26" s="22" t="s">
        <v>108</v>
      </c>
      <c r="F26" s="24">
        <v>2180</v>
      </c>
      <c r="G26" s="24">
        <v>263</v>
      </c>
      <c r="H26" s="24">
        <v>387</v>
      </c>
      <c r="I26" s="24">
        <v>30520</v>
      </c>
      <c r="J26" s="24">
        <v>30059</v>
      </c>
      <c r="K26" s="24">
        <v>174</v>
      </c>
      <c r="L26" s="22" t="s">
        <v>34</v>
      </c>
      <c r="M26" s="21"/>
      <c r="N26" s="21"/>
      <c r="O26" s="8"/>
    </row>
    <row r="27" spans="1:15" ht="29.4" customHeight="1" x14ac:dyDescent="0.3">
      <c r="A27" s="21" t="s">
        <v>361</v>
      </c>
      <c r="B27" s="22" t="s">
        <v>39</v>
      </c>
      <c r="C27" s="23" t="s">
        <v>166</v>
      </c>
      <c r="D27" s="22" t="s">
        <v>20</v>
      </c>
      <c r="E27" s="22" t="s">
        <v>52</v>
      </c>
      <c r="F27" s="24">
        <v>3828</v>
      </c>
      <c r="G27" s="24">
        <v>148</v>
      </c>
      <c r="H27" s="24">
        <v>253</v>
      </c>
      <c r="I27" s="24">
        <v>30624</v>
      </c>
      <c r="J27" s="24">
        <v>30229</v>
      </c>
      <c r="K27" s="24">
        <v>235</v>
      </c>
      <c r="L27" s="22" t="s">
        <v>34</v>
      </c>
      <c r="M27" s="21"/>
      <c r="N27" s="21"/>
      <c r="O27" s="8"/>
    </row>
    <row r="28" spans="1:15" ht="29.4" customHeight="1" x14ac:dyDescent="0.3">
      <c r="A28" s="21" t="s">
        <v>474</v>
      </c>
      <c r="B28" s="22" t="s">
        <v>39</v>
      </c>
      <c r="C28" s="23" t="s">
        <v>166</v>
      </c>
      <c r="D28" s="22" t="s">
        <v>15</v>
      </c>
      <c r="E28" s="22" t="s">
        <v>61</v>
      </c>
      <c r="F28" s="24">
        <v>3813</v>
      </c>
      <c r="G28" s="24">
        <v>935</v>
      </c>
      <c r="H28" s="24">
        <v>274</v>
      </c>
      <c r="I28" s="24">
        <v>68634</v>
      </c>
      <c r="J28" s="24">
        <v>68488</v>
      </c>
      <c r="K28" s="24">
        <v>251</v>
      </c>
      <c r="L28" s="22" t="s">
        <v>58</v>
      </c>
      <c r="M28" s="21"/>
      <c r="N28" s="21"/>
      <c r="O28" s="8"/>
    </row>
    <row r="29" spans="1:15" ht="29.4" customHeight="1" x14ac:dyDescent="0.3">
      <c r="A29" s="21" t="s">
        <v>79</v>
      </c>
      <c r="B29" s="22" t="s">
        <v>30</v>
      </c>
      <c r="C29" s="23" t="s">
        <v>80</v>
      </c>
      <c r="D29" s="22" t="s">
        <v>70</v>
      </c>
      <c r="E29" s="22" t="s">
        <v>81</v>
      </c>
      <c r="F29" s="24">
        <v>1071</v>
      </c>
      <c r="G29" s="24">
        <v>519</v>
      </c>
      <c r="H29" s="24">
        <v>22</v>
      </c>
      <c r="I29" s="24">
        <v>16065</v>
      </c>
      <c r="J29" s="24">
        <v>15865</v>
      </c>
      <c r="K29" s="24">
        <v>103</v>
      </c>
      <c r="L29" s="22" t="s">
        <v>27</v>
      </c>
      <c r="M29" s="21"/>
      <c r="N29" s="21"/>
      <c r="O29" s="21" t="s">
        <v>35</v>
      </c>
    </row>
    <row r="30" spans="1:15" ht="29.4" customHeight="1" x14ac:dyDescent="0.3">
      <c r="A30" s="21" t="s">
        <v>43</v>
      </c>
      <c r="B30" s="22" t="s">
        <v>13</v>
      </c>
      <c r="C30" s="23" t="s">
        <v>44</v>
      </c>
      <c r="D30" s="22" t="s">
        <v>41</v>
      </c>
      <c r="E30" s="22" t="s">
        <v>45</v>
      </c>
      <c r="F30" s="24">
        <v>3860</v>
      </c>
      <c r="G30" s="24">
        <v>201</v>
      </c>
      <c r="H30" s="24">
        <v>279</v>
      </c>
      <c r="I30" s="24">
        <v>61760</v>
      </c>
      <c r="J30" s="24">
        <v>61660</v>
      </c>
      <c r="K30" s="24">
        <v>235</v>
      </c>
      <c r="L30" s="22" t="s">
        <v>27</v>
      </c>
      <c r="M30" s="21"/>
      <c r="N30" s="21"/>
      <c r="O30" s="21" t="s">
        <v>22</v>
      </c>
    </row>
    <row r="31" spans="1:15" ht="29.4" customHeight="1" x14ac:dyDescent="0.3">
      <c r="A31" s="21" t="s">
        <v>411</v>
      </c>
      <c r="B31" s="22" t="s">
        <v>13</v>
      </c>
      <c r="C31" s="23" t="s">
        <v>44</v>
      </c>
      <c r="D31" s="22" t="s">
        <v>20</v>
      </c>
      <c r="E31" s="22" t="s">
        <v>21</v>
      </c>
      <c r="F31" s="24">
        <v>941</v>
      </c>
      <c r="G31" s="24">
        <v>121</v>
      </c>
      <c r="H31" s="24">
        <v>458</v>
      </c>
      <c r="I31" s="24">
        <v>14115</v>
      </c>
      <c r="J31" s="24">
        <v>13838</v>
      </c>
      <c r="K31" s="24">
        <v>87</v>
      </c>
      <c r="L31" s="22" t="s">
        <v>34</v>
      </c>
      <c r="M31" s="21"/>
      <c r="N31" s="21"/>
      <c r="O31" s="21" t="s">
        <v>17</v>
      </c>
    </row>
    <row r="32" spans="1:15" ht="29.4" customHeight="1" x14ac:dyDescent="0.3">
      <c r="A32" s="21" t="s">
        <v>414</v>
      </c>
      <c r="B32" s="22" t="s">
        <v>24</v>
      </c>
      <c r="C32" s="23" t="s">
        <v>44</v>
      </c>
      <c r="D32" s="22" t="s">
        <v>70</v>
      </c>
      <c r="E32" s="22" t="s">
        <v>211</v>
      </c>
      <c r="F32" s="24">
        <v>2949</v>
      </c>
      <c r="G32" s="24">
        <v>476</v>
      </c>
      <c r="H32" s="24">
        <v>403</v>
      </c>
      <c r="I32" s="24">
        <v>44235</v>
      </c>
      <c r="J32" s="24">
        <v>43705</v>
      </c>
      <c r="K32" s="24">
        <v>135</v>
      </c>
      <c r="L32" s="22" t="s">
        <v>27</v>
      </c>
      <c r="M32" s="21"/>
      <c r="N32" s="21"/>
      <c r="O32" s="21" t="s">
        <v>22</v>
      </c>
    </row>
    <row r="33" spans="1:15" ht="29.4" customHeight="1" x14ac:dyDescent="0.3">
      <c r="A33" s="21" t="s">
        <v>36</v>
      </c>
      <c r="B33" s="22" t="s">
        <v>24</v>
      </c>
      <c r="C33" s="23" t="s">
        <v>37</v>
      </c>
      <c r="D33" s="22" t="s">
        <v>15</v>
      </c>
      <c r="E33" s="22" t="s">
        <v>26</v>
      </c>
      <c r="F33" s="24">
        <v>3557</v>
      </c>
      <c r="G33" s="24">
        <v>687</v>
      </c>
      <c r="H33" s="24">
        <v>424</v>
      </c>
      <c r="I33" s="24">
        <v>71140</v>
      </c>
      <c r="J33" s="24">
        <v>70701</v>
      </c>
      <c r="K33" s="24">
        <v>224</v>
      </c>
      <c r="L33" s="22" t="s">
        <v>34</v>
      </c>
      <c r="M33" s="21" t="s">
        <v>27</v>
      </c>
      <c r="N33" s="21"/>
      <c r="O33" s="21" t="s">
        <v>17</v>
      </c>
    </row>
    <row r="34" spans="1:15" ht="29.4" customHeight="1" x14ac:dyDescent="0.3">
      <c r="A34" s="21" t="s">
        <v>442</v>
      </c>
      <c r="B34" s="22" t="s">
        <v>30</v>
      </c>
      <c r="C34" s="23" t="s">
        <v>443</v>
      </c>
      <c r="D34" s="22" t="s">
        <v>32</v>
      </c>
      <c r="E34" s="22" t="s">
        <v>33</v>
      </c>
      <c r="F34" s="24">
        <v>4808</v>
      </c>
      <c r="G34" s="24">
        <v>772</v>
      </c>
      <c r="H34" s="24">
        <v>320</v>
      </c>
      <c r="I34" s="24">
        <v>72120</v>
      </c>
      <c r="J34" s="24">
        <v>71696</v>
      </c>
      <c r="K34" s="24">
        <v>195</v>
      </c>
      <c r="L34" s="22" t="s">
        <v>34</v>
      </c>
      <c r="M34" s="21"/>
      <c r="N34" s="21"/>
      <c r="O34" s="21" t="s">
        <v>17</v>
      </c>
    </row>
    <row r="35" spans="1:15" ht="29.4" customHeight="1" x14ac:dyDescent="0.3">
      <c r="A35" s="21" t="s">
        <v>238</v>
      </c>
      <c r="B35" s="22" t="s">
        <v>24</v>
      </c>
      <c r="C35" s="23" t="s">
        <v>239</v>
      </c>
      <c r="D35" s="22" t="s">
        <v>41</v>
      </c>
      <c r="E35" s="22" t="s">
        <v>64</v>
      </c>
      <c r="F35" s="24">
        <v>4171</v>
      </c>
      <c r="G35" s="24">
        <v>548</v>
      </c>
      <c r="H35" s="24">
        <v>86</v>
      </c>
      <c r="I35" s="24">
        <v>66736</v>
      </c>
      <c r="J35" s="24">
        <v>66634</v>
      </c>
      <c r="K35" s="24">
        <v>173</v>
      </c>
      <c r="L35" s="22" t="s">
        <v>58</v>
      </c>
      <c r="M35" s="21"/>
      <c r="N35" s="21"/>
      <c r="O35" s="21" t="s">
        <v>28</v>
      </c>
    </row>
    <row r="36" spans="1:15" ht="29.4" customHeight="1" x14ac:dyDescent="0.3">
      <c r="A36" s="21" t="s">
        <v>147</v>
      </c>
      <c r="B36" s="22" t="s">
        <v>24</v>
      </c>
      <c r="C36" s="23" t="s">
        <v>148</v>
      </c>
      <c r="D36" s="22" t="s">
        <v>32</v>
      </c>
      <c r="E36" s="22" t="s">
        <v>149</v>
      </c>
      <c r="F36" s="24">
        <v>2754</v>
      </c>
      <c r="G36" s="24">
        <v>130</v>
      </c>
      <c r="H36" s="24">
        <v>90</v>
      </c>
      <c r="I36" s="24">
        <v>22032</v>
      </c>
      <c r="J36" s="24">
        <v>21288</v>
      </c>
      <c r="K36" s="24">
        <v>112</v>
      </c>
      <c r="L36" s="22" t="s">
        <v>27</v>
      </c>
      <c r="M36" s="21"/>
      <c r="N36" s="21"/>
      <c r="O36" s="21" t="s">
        <v>28</v>
      </c>
    </row>
    <row r="37" spans="1:15" ht="29.4" customHeight="1" x14ac:dyDescent="0.3">
      <c r="A37" s="21" t="s">
        <v>444</v>
      </c>
      <c r="B37" s="22" t="s">
        <v>30</v>
      </c>
      <c r="C37" s="23" t="s">
        <v>148</v>
      </c>
      <c r="D37" s="22" t="s">
        <v>41</v>
      </c>
      <c r="E37" s="22" t="s">
        <v>84</v>
      </c>
      <c r="F37" s="24">
        <v>4799</v>
      </c>
      <c r="G37" s="24">
        <v>694</v>
      </c>
      <c r="H37" s="24">
        <v>289</v>
      </c>
      <c r="I37" s="24">
        <v>43191</v>
      </c>
      <c r="J37" s="24">
        <v>42228</v>
      </c>
      <c r="K37" s="24">
        <v>118</v>
      </c>
      <c r="L37" s="22" t="s">
        <v>27</v>
      </c>
      <c r="M37" s="21"/>
      <c r="N37" s="21"/>
      <c r="O37" s="8"/>
    </row>
    <row r="38" spans="1:15" ht="29.4" customHeight="1" x14ac:dyDescent="0.3">
      <c r="A38" s="21" t="s">
        <v>219</v>
      </c>
      <c r="B38" s="22" t="s">
        <v>39</v>
      </c>
      <c r="C38" s="23" t="s">
        <v>220</v>
      </c>
      <c r="D38" s="22" t="s">
        <v>32</v>
      </c>
      <c r="E38" s="22" t="s">
        <v>67</v>
      </c>
      <c r="F38" s="24">
        <v>302</v>
      </c>
      <c r="G38" s="24">
        <v>47</v>
      </c>
      <c r="H38" s="24">
        <v>430</v>
      </c>
      <c r="I38" s="24">
        <v>5738</v>
      </c>
      <c r="J38" s="24">
        <v>4890</v>
      </c>
      <c r="K38" s="24">
        <v>25</v>
      </c>
      <c r="L38" s="22" t="s">
        <v>27</v>
      </c>
      <c r="M38" s="21"/>
      <c r="N38" s="21"/>
      <c r="O38" s="21" t="s">
        <v>35</v>
      </c>
    </row>
    <row r="39" spans="1:15" ht="29.4" customHeight="1" x14ac:dyDescent="0.3">
      <c r="A39" s="21" t="s">
        <v>461</v>
      </c>
      <c r="B39" s="22" t="s">
        <v>39</v>
      </c>
      <c r="C39" s="23" t="s">
        <v>220</v>
      </c>
      <c r="D39" s="22" t="s">
        <v>15</v>
      </c>
      <c r="E39" s="22" t="s">
        <v>61</v>
      </c>
      <c r="F39" s="24">
        <v>4767</v>
      </c>
      <c r="G39" s="24">
        <v>190</v>
      </c>
      <c r="H39" s="24">
        <v>340</v>
      </c>
      <c r="I39" s="24">
        <v>28602</v>
      </c>
      <c r="J39" s="24">
        <v>28044</v>
      </c>
      <c r="K39" s="24">
        <v>210</v>
      </c>
      <c r="L39" s="22" t="s">
        <v>34</v>
      </c>
      <c r="M39" s="21"/>
      <c r="N39" s="21"/>
      <c r="O39" s="21" t="s">
        <v>28</v>
      </c>
    </row>
    <row r="40" spans="1:15" ht="29.4" customHeight="1" x14ac:dyDescent="0.3">
      <c r="A40" s="21" t="s">
        <v>366</v>
      </c>
      <c r="B40" s="22" t="s">
        <v>30</v>
      </c>
      <c r="C40" s="23" t="s">
        <v>367</v>
      </c>
      <c r="D40" s="22" t="s">
        <v>41</v>
      </c>
      <c r="E40" s="22" t="s">
        <v>84</v>
      </c>
      <c r="F40" s="24">
        <v>3099</v>
      </c>
      <c r="G40" s="24">
        <v>694</v>
      </c>
      <c r="H40" s="24">
        <v>171</v>
      </c>
      <c r="I40" s="24">
        <v>43386</v>
      </c>
      <c r="J40" s="24">
        <v>42921</v>
      </c>
      <c r="K40" s="24">
        <v>52</v>
      </c>
      <c r="L40" s="22" t="s">
        <v>27</v>
      </c>
      <c r="M40" s="21"/>
      <c r="N40" s="21"/>
      <c r="O40" s="21" t="s">
        <v>28</v>
      </c>
    </row>
    <row r="41" spans="1:15" ht="29.4" customHeight="1" x14ac:dyDescent="0.3">
      <c r="A41" s="21" t="s">
        <v>300</v>
      </c>
      <c r="B41" s="22" t="s">
        <v>30</v>
      </c>
      <c r="C41" s="23" t="s">
        <v>301</v>
      </c>
      <c r="D41" s="22" t="s">
        <v>20</v>
      </c>
      <c r="E41" s="22" t="s">
        <v>108</v>
      </c>
      <c r="F41" s="24">
        <v>3134</v>
      </c>
      <c r="G41" s="24">
        <v>888</v>
      </c>
      <c r="H41" s="24">
        <v>444</v>
      </c>
      <c r="I41" s="24">
        <v>21938</v>
      </c>
      <c r="J41" s="24">
        <v>21337</v>
      </c>
      <c r="K41" s="24">
        <v>130</v>
      </c>
      <c r="L41" s="22" t="s">
        <v>34</v>
      </c>
      <c r="M41" s="21"/>
      <c r="N41" s="21"/>
      <c r="O41" s="21" t="s">
        <v>35</v>
      </c>
    </row>
    <row r="42" spans="1:15" ht="29.4" customHeight="1" x14ac:dyDescent="0.3">
      <c r="A42" s="21" t="s">
        <v>46</v>
      </c>
      <c r="B42" s="22" t="s">
        <v>24</v>
      </c>
      <c r="C42" s="23" t="s">
        <v>47</v>
      </c>
      <c r="D42" s="22" t="s">
        <v>48</v>
      </c>
      <c r="E42" s="22" t="s">
        <v>49</v>
      </c>
      <c r="F42" s="24">
        <v>3929</v>
      </c>
      <c r="G42" s="24">
        <v>262</v>
      </c>
      <c r="H42" s="24">
        <v>278</v>
      </c>
      <c r="I42" s="24">
        <v>43219</v>
      </c>
      <c r="J42" s="24">
        <v>42841</v>
      </c>
      <c r="K42" s="24">
        <v>39</v>
      </c>
      <c r="L42" s="22" t="s">
        <v>34</v>
      </c>
      <c r="M42" s="21"/>
      <c r="N42" s="21"/>
      <c r="O42" s="21" t="s">
        <v>35</v>
      </c>
    </row>
    <row r="43" spans="1:15" ht="29.4" customHeight="1" x14ac:dyDescent="0.3">
      <c r="A43" s="21" t="s">
        <v>306</v>
      </c>
      <c r="B43" s="22" t="s">
        <v>39</v>
      </c>
      <c r="C43" s="23" t="s">
        <v>307</v>
      </c>
      <c r="D43" s="22" t="s">
        <v>48</v>
      </c>
      <c r="E43" s="22" t="s">
        <v>55</v>
      </c>
      <c r="F43" s="24">
        <v>2291</v>
      </c>
      <c r="G43" s="24">
        <v>78</v>
      </c>
      <c r="H43" s="24">
        <v>485</v>
      </c>
      <c r="I43" s="24">
        <v>18328</v>
      </c>
      <c r="J43" s="24">
        <v>18101</v>
      </c>
      <c r="K43" s="24">
        <v>10</v>
      </c>
      <c r="L43" s="22" t="s">
        <v>34</v>
      </c>
      <c r="M43" s="21" t="s">
        <v>552</v>
      </c>
      <c r="N43" s="21"/>
      <c r="O43" s="21" t="s">
        <v>22</v>
      </c>
    </row>
    <row r="44" spans="1:15" ht="29.4" customHeight="1" x14ac:dyDescent="0.3">
      <c r="A44" s="21" t="s">
        <v>369</v>
      </c>
      <c r="B44" s="22" t="s">
        <v>39</v>
      </c>
      <c r="C44" s="23" t="s">
        <v>307</v>
      </c>
      <c r="D44" s="22" t="s">
        <v>41</v>
      </c>
      <c r="E44" s="22" t="s">
        <v>42</v>
      </c>
      <c r="F44" s="24">
        <v>3796</v>
      </c>
      <c r="G44" s="24">
        <v>667</v>
      </c>
      <c r="H44" s="24">
        <v>395</v>
      </c>
      <c r="I44" s="24">
        <v>64532</v>
      </c>
      <c r="J44" s="24">
        <v>63550</v>
      </c>
      <c r="K44" s="24">
        <v>292</v>
      </c>
      <c r="L44" s="22" t="s">
        <v>27</v>
      </c>
      <c r="M44" s="21"/>
      <c r="N44" s="21"/>
      <c r="O44" s="8"/>
    </row>
    <row r="45" spans="1:15" ht="29.4" customHeight="1" x14ac:dyDescent="0.3">
      <c r="A45" s="21" t="s">
        <v>445</v>
      </c>
      <c r="B45" s="22" t="s">
        <v>39</v>
      </c>
      <c r="C45" s="23" t="s">
        <v>307</v>
      </c>
      <c r="D45" s="22" t="s">
        <v>15</v>
      </c>
      <c r="E45" s="22" t="s">
        <v>61</v>
      </c>
      <c r="F45" s="24">
        <v>3663</v>
      </c>
      <c r="G45" s="24">
        <v>17</v>
      </c>
      <c r="H45" s="24">
        <v>295</v>
      </c>
      <c r="I45" s="24">
        <v>51282</v>
      </c>
      <c r="J45" s="24">
        <v>50567</v>
      </c>
      <c r="K45" s="24">
        <v>84</v>
      </c>
      <c r="L45" s="22" t="s">
        <v>34</v>
      </c>
      <c r="M45" s="21"/>
      <c r="N45" s="21"/>
      <c r="O45" s="21" t="s">
        <v>28</v>
      </c>
    </row>
    <row r="46" spans="1:15" ht="29.4" customHeight="1" x14ac:dyDescent="0.3">
      <c r="A46" s="21" t="s">
        <v>455</v>
      </c>
      <c r="B46" s="22" t="s">
        <v>13</v>
      </c>
      <c r="C46" s="23" t="s">
        <v>456</v>
      </c>
      <c r="D46" s="22" t="s">
        <v>20</v>
      </c>
      <c r="E46" s="22" t="s">
        <v>21</v>
      </c>
      <c r="F46" s="24">
        <v>4725</v>
      </c>
      <c r="G46" s="24">
        <v>400</v>
      </c>
      <c r="H46" s="24">
        <v>362</v>
      </c>
      <c r="I46" s="24">
        <v>75600</v>
      </c>
      <c r="J46" s="24">
        <v>74927</v>
      </c>
      <c r="K46" s="24">
        <v>43</v>
      </c>
      <c r="L46" s="22" t="s">
        <v>58</v>
      </c>
      <c r="M46" s="21"/>
      <c r="N46" s="21"/>
      <c r="O46" s="21" t="s">
        <v>35</v>
      </c>
    </row>
    <row r="47" spans="1:15" ht="29.4" customHeight="1" x14ac:dyDescent="0.3">
      <c r="A47" s="21" t="s">
        <v>418</v>
      </c>
      <c r="B47" s="22" t="s">
        <v>13</v>
      </c>
      <c r="C47" s="23" t="s">
        <v>419</v>
      </c>
      <c r="D47" s="22" t="s">
        <v>41</v>
      </c>
      <c r="E47" s="22" t="s">
        <v>45</v>
      </c>
      <c r="F47" s="24">
        <v>2120</v>
      </c>
      <c r="G47" s="24">
        <v>38</v>
      </c>
      <c r="H47" s="24">
        <v>212</v>
      </c>
      <c r="I47" s="24">
        <v>12720</v>
      </c>
      <c r="J47" s="24">
        <v>12564</v>
      </c>
      <c r="K47" s="24">
        <v>21</v>
      </c>
      <c r="L47" s="22" t="s">
        <v>58</v>
      </c>
      <c r="M47" s="21"/>
      <c r="N47" s="21"/>
      <c r="O47" s="21" t="s">
        <v>35</v>
      </c>
    </row>
    <row r="48" spans="1:15" ht="29.4" customHeight="1" x14ac:dyDescent="0.3">
      <c r="A48" s="21" t="s">
        <v>473</v>
      </c>
      <c r="B48" s="22" t="s">
        <v>13</v>
      </c>
      <c r="C48" s="23" t="s">
        <v>419</v>
      </c>
      <c r="D48" s="22" t="s">
        <v>48</v>
      </c>
      <c r="E48" s="22" t="s">
        <v>127</v>
      </c>
      <c r="F48" s="24">
        <v>827</v>
      </c>
      <c r="G48" s="24">
        <v>77</v>
      </c>
      <c r="H48" s="24">
        <v>402</v>
      </c>
      <c r="I48" s="24">
        <v>14886</v>
      </c>
      <c r="J48" s="24">
        <v>14129</v>
      </c>
      <c r="K48" s="24">
        <v>254</v>
      </c>
      <c r="L48" s="22" t="s">
        <v>34</v>
      </c>
      <c r="M48" s="21"/>
      <c r="N48" s="21"/>
      <c r="O48" s="21" t="s">
        <v>22</v>
      </c>
    </row>
    <row r="49" spans="1:15" ht="29.4" customHeight="1" x14ac:dyDescent="0.3">
      <c r="A49" s="21" t="s">
        <v>527</v>
      </c>
      <c r="B49" s="22" t="s">
        <v>24</v>
      </c>
      <c r="C49" s="23" t="s">
        <v>419</v>
      </c>
      <c r="D49" s="22" t="s">
        <v>20</v>
      </c>
      <c r="E49" s="22" t="s">
        <v>99</v>
      </c>
      <c r="F49" s="24">
        <v>4021</v>
      </c>
      <c r="G49" s="24">
        <v>794</v>
      </c>
      <c r="H49" s="24">
        <v>77</v>
      </c>
      <c r="I49" s="24">
        <v>36189</v>
      </c>
      <c r="J49" s="24">
        <v>35505</v>
      </c>
      <c r="K49" s="24">
        <v>174</v>
      </c>
      <c r="L49" s="22" t="s">
        <v>34</v>
      </c>
      <c r="M49" s="21"/>
      <c r="N49" s="21"/>
      <c r="O49" s="8"/>
    </row>
    <row r="50" spans="1:15" ht="29.4" customHeight="1" x14ac:dyDescent="0.3">
      <c r="A50" s="21" t="s">
        <v>59</v>
      </c>
      <c r="B50" s="22" t="s">
        <v>39</v>
      </c>
      <c r="C50" s="23" t="s">
        <v>60</v>
      </c>
      <c r="D50" s="22" t="s">
        <v>15</v>
      </c>
      <c r="E50" s="22" t="s">
        <v>61</v>
      </c>
      <c r="F50" s="24">
        <v>1946</v>
      </c>
      <c r="G50" s="24">
        <v>686</v>
      </c>
      <c r="H50" s="24">
        <v>377</v>
      </c>
      <c r="I50" s="24">
        <v>23352</v>
      </c>
      <c r="J50" s="24">
        <v>22982</v>
      </c>
      <c r="K50" s="24">
        <v>213</v>
      </c>
      <c r="L50" s="22" t="s">
        <v>58</v>
      </c>
      <c r="M50" s="21"/>
      <c r="N50" s="21"/>
      <c r="O50" s="21" t="s">
        <v>28</v>
      </c>
    </row>
    <row r="51" spans="1:15" ht="29.4" customHeight="1" x14ac:dyDescent="0.3">
      <c r="A51" s="21" t="s">
        <v>289</v>
      </c>
      <c r="B51" s="22" t="s">
        <v>13</v>
      </c>
      <c r="C51" s="23" t="s">
        <v>60</v>
      </c>
      <c r="D51" s="22" t="s">
        <v>20</v>
      </c>
      <c r="E51" s="22" t="s">
        <v>21</v>
      </c>
      <c r="F51" s="24">
        <v>2147</v>
      </c>
      <c r="G51" s="24">
        <v>430</v>
      </c>
      <c r="H51" s="24">
        <v>393</v>
      </c>
      <c r="I51" s="24">
        <v>17176</v>
      </c>
      <c r="J51" s="24">
        <v>16483</v>
      </c>
      <c r="K51" s="24">
        <v>170</v>
      </c>
      <c r="L51" s="22" t="s">
        <v>27</v>
      </c>
      <c r="M51" s="21"/>
      <c r="N51" s="21"/>
      <c r="O51" s="8"/>
    </row>
    <row r="52" spans="1:15" ht="29.4" customHeight="1" x14ac:dyDescent="0.3">
      <c r="A52" s="21" t="s">
        <v>332</v>
      </c>
      <c r="B52" s="22" t="s">
        <v>24</v>
      </c>
      <c r="C52" s="23" t="s">
        <v>333</v>
      </c>
      <c r="D52" s="22" t="s">
        <v>32</v>
      </c>
      <c r="E52" s="22" t="s">
        <v>149</v>
      </c>
      <c r="F52" s="24">
        <v>4775</v>
      </c>
      <c r="G52" s="24">
        <v>173</v>
      </c>
      <c r="H52" s="24">
        <v>206</v>
      </c>
      <c r="I52" s="24">
        <v>47750</v>
      </c>
      <c r="J52" s="24">
        <v>47544</v>
      </c>
      <c r="K52" s="24">
        <v>187</v>
      </c>
      <c r="L52" s="22" t="s">
        <v>58</v>
      </c>
      <c r="M52" s="21"/>
      <c r="N52" s="21"/>
      <c r="O52" s="21" t="s">
        <v>22</v>
      </c>
    </row>
    <row r="53" spans="1:15" ht="29.4" customHeight="1" x14ac:dyDescent="0.3">
      <c r="A53" s="21" t="s">
        <v>206</v>
      </c>
      <c r="B53" s="22" t="s">
        <v>30</v>
      </c>
      <c r="C53" s="23" t="s">
        <v>207</v>
      </c>
      <c r="D53" s="22" t="s">
        <v>48</v>
      </c>
      <c r="E53" s="22" t="s">
        <v>208</v>
      </c>
      <c r="F53" s="24">
        <v>725</v>
      </c>
      <c r="G53" s="24">
        <v>88</v>
      </c>
      <c r="H53" s="24">
        <v>428</v>
      </c>
      <c r="I53" s="24">
        <v>14500</v>
      </c>
      <c r="J53" s="24">
        <v>13637</v>
      </c>
      <c r="K53" s="24">
        <v>200</v>
      </c>
      <c r="L53" s="22" t="s">
        <v>58</v>
      </c>
      <c r="M53" s="21" t="s">
        <v>27</v>
      </c>
      <c r="N53" s="21" t="s">
        <v>551</v>
      </c>
      <c r="O53" s="21" t="s">
        <v>28</v>
      </c>
    </row>
    <row r="54" spans="1:15" ht="29.4" customHeight="1" x14ac:dyDescent="0.3">
      <c r="A54" s="21" t="s">
        <v>178</v>
      </c>
      <c r="B54" s="22" t="s">
        <v>13</v>
      </c>
      <c r="C54" s="23" t="s">
        <v>179</v>
      </c>
      <c r="D54" s="22" t="s">
        <v>41</v>
      </c>
      <c r="E54" s="22" t="s">
        <v>45</v>
      </c>
      <c r="F54" s="24">
        <v>432</v>
      </c>
      <c r="G54" s="24">
        <v>171</v>
      </c>
      <c r="H54" s="24">
        <v>280</v>
      </c>
      <c r="I54" s="24">
        <v>3024</v>
      </c>
      <c r="J54" s="24">
        <v>2285</v>
      </c>
      <c r="K54" s="24">
        <v>184</v>
      </c>
      <c r="L54" s="22" t="s">
        <v>34</v>
      </c>
      <c r="M54" s="21"/>
      <c r="N54" s="21"/>
      <c r="O54" s="21" t="s">
        <v>17</v>
      </c>
    </row>
    <row r="55" spans="1:15" ht="29.4" customHeight="1" x14ac:dyDescent="0.3">
      <c r="A55" s="21" t="s">
        <v>322</v>
      </c>
      <c r="B55" s="22" t="s">
        <v>30</v>
      </c>
      <c r="C55" s="23" t="s">
        <v>179</v>
      </c>
      <c r="D55" s="22" t="s">
        <v>48</v>
      </c>
      <c r="E55" s="22" t="s">
        <v>208</v>
      </c>
      <c r="F55" s="24">
        <v>3559</v>
      </c>
      <c r="G55" s="24">
        <v>59</v>
      </c>
      <c r="H55" s="24">
        <v>289</v>
      </c>
      <c r="I55" s="24">
        <v>35590</v>
      </c>
      <c r="J55" s="24">
        <v>35105</v>
      </c>
      <c r="K55" s="24">
        <v>122</v>
      </c>
      <c r="L55" s="22" t="s">
        <v>34</v>
      </c>
      <c r="M55" s="21"/>
      <c r="N55" s="21"/>
      <c r="O55" s="21" t="s">
        <v>17</v>
      </c>
    </row>
    <row r="56" spans="1:15" ht="29.4" customHeight="1" x14ac:dyDescent="0.3">
      <c r="A56" s="21" t="s">
        <v>376</v>
      </c>
      <c r="B56" s="22" t="s">
        <v>13</v>
      </c>
      <c r="C56" s="23" t="s">
        <v>377</v>
      </c>
      <c r="D56" s="22" t="s">
        <v>48</v>
      </c>
      <c r="E56" s="22" t="s">
        <v>127</v>
      </c>
      <c r="F56" s="24">
        <v>3215</v>
      </c>
      <c r="G56" s="24">
        <v>960</v>
      </c>
      <c r="H56" s="24">
        <v>202</v>
      </c>
      <c r="I56" s="24">
        <v>32150</v>
      </c>
      <c r="J56" s="24">
        <v>31404</v>
      </c>
      <c r="K56" s="24">
        <v>251</v>
      </c>
      <c r="L56" s="22" t="s">
        <v>34</v>
      </c>
      <c r="M56" s="21"/>
      <c r="N56" s="21"/>
      <c r="O56" s="21" t="s">
        <v>17</v>
      </c>
    </row>
    <row r="57" spans="1:15" ht="29.4" customHeight="1" x14ac:dyDescent="0.3">
      <c r="A57" s="21" t="s">
        <v>259</v>
      </c>
      <c r="B57" s="22" t="s">
        <v>30</v>
      </c>
      <c r="C57" s="23" t="s">
        <v>260</v>
      </c>
      <c r="D57" s="22" t="s">
        <v>15</v>
      </c>
      <c r="E57" s="22" t="s">
        <v>78</v>
      </c>
      <c r="F57" s="24">
        <v>3523</v>
      </c>
      <c r="G57" s="24">
        <v>753</v>
      </c>
      <c r="H57" s="24">
        <v>482</v>
      </c>
      <c r="I57" s="24">
        <v>38753</v>
      </c>
      <c r="J57" s="24">
        <v>38579</v>
      </c>
      <c r="K57" s="24">
        <v>270</v>
      </c>
      <c r="L57" s="22" t="s">
        <v>34</v>
      </c>
      <c r="M57" s="21"/>
      <c r="N57" s="21"/>
      <c r="O57" s="21" t="s">
        <v>22</v>
      </c>
    </row>
    <row r="58" spans="1:15" ht="29.4" customHeight="1" x14ac:dyDescent="0.3">
      <c r="A58" s="21" t="s">
        <v>279</v>
      </c>
      <c r="B58" s="22" t="s">
        <v>30</v>
      </c>
      <c r="C58" s="23" t="s">
        <v>260</v>
      </c>
      <c r="D58" s="22" t="s">
        <v>32</v>
      </c>
      <c r="E58" s="22" t="s">
        <v>33</v>
      </c>
      <c r="F58" s="24">
        <v>498</v>
      </c>
      <c r="G58" s="24">
        <v>701</v>
      </c>
      <c r="H58" s="24">
        <v>412</v>
      </c>
      <c r="I58" s="24">
        <v>4980</v>
      </c>
      <c r="J58" s="24">
        <v>4185</v>
      </c>
      <c r="K58" s="24">
        <v>185</v>
      </c>
      <c r="L58" s="22" t="s">
        <v>58</v>
      </c>
      <c r="M58" s="21"/>
      <c r="N58" s="21"/>
      <c r="O58" s="8"/>
    </row>
    <row r="59" spans="1:15" ht="29.4" customHeight="1" x14ac:dyDescent="0.3">
      <c r="A59" s="21" t="s">
        <v>426</v>
      </c>
      <c r="B59" s="22" t="s">
        <v>24</v>
      </c>
      <c r="C59" s="23" t="s">
        <v>260</v>
      </c>
      <c r="D59" s="22" t="s">
        <v>32</v>
      </c>
      <c r="E59" s="22" t="s">
        <v>149</v>
      </c>
      <c r="F59" s="24">
        <v>1509</v>
      </c>
      <c r="G59" s="24">
        <v>88</v>
      </c>
      <c r="H59" s="24">
        <v>163</v>
      </c>
      <c r="I59" s="24">
        <v>30180</v>
      </c>
      <c r="J59" s="24">
        <v>29689</v>
      </c>
      <c r="K59" s="24">
        <v>119</v>
      </c>
      <c r="L59" s="22" t="s">
        <v>34</v>
      </c>
      <c r="M59" s="21"/>
      <c r="N59" s="21"/>
      <c r="O59" s="21" t="s">
        <v>22</v>
      </c>
    </row>
    <row r="60" spans="1:15" ht="29.4" customHeight="1" x14ac:dyDescent="0.3">
      <c r="A60" s="21" t="s">
        <v>109</v>
      </c>
      <c r="B60" s="22" t="s">
        <v>13</v>
      </c>
      <c r="C60" s="23" t="s">
        <v>110</v>
      </c>
      <c r="D60" s="22" t="s">
        <v>41</v>
      </c>
      <c r="E60" s="22" t="s">
        <v>45</v>
      </c>
      <c r="F60" s="24">
        <v>2278</v>
      </c>
      <c r="G60" s="24">
        <v>10</v>
      </c>
      <c r="H60" s="24">
        <v>321</v>
      </c>
      <c r="I60" s="24">
        <v>13668</v>
      </c>
      <c r="J60" s="24">
        <v>12676</v>
      </c>
      <c r="K60" s="24">
        <v>275</v>
      </c>
      <c r="L60" s="22" t="s">
        <v>34</v>
      </c>
      <c r="M60" s="21"/>
      <c r="N60" s="21"/>
      <c r="O60" s="21" t="s">
        <v>17</v>
      </c>
    </row>
    <row r="61" spans="1:15" ht="29.4" customHeight="1" x14ac:dyDescent="0.3">
      <c r="A61" s="21" t="s">
        <v>173</v>
      </c>
      <c r="B61" s="22" t="s">
        <v>13</v>
      </c>
      <c r="C61" s="23" t="s">
        <v>110</v>
      </c>
      <c r="D61" s="22" t="s">
        <v>41</v>
      </c>
      <c r="E61" s="22" t="s">
        <v>45</v>
      </c>
      <c r="F61" s="24">
        <v>4507</v>
      </c>
      <c r="G61" s="24">
        <v>217</v>
      </c>
      <c r="H61" s="24">
        <v>13</v>
      </c>
      <c r="I61" s="24">
        <v>90140</v>
      </c>
      <c r="J61" s="24">
        <v>89591</v>
      </c>
      <c r="K61" s="24">
        <v>125</v>
      </c>
      <c r="L61" s="22" t="s">
        <v>58</v>
      </c>
      <c r="M61" s="21"/>
      <c r="N61" s="21"/>
      <c r="O61" s="21" t="s">
        <v>28</v>
      </c>
    </row>
    <row r="62" spans="1:15" ht="29.4" customHeight="1" x14ac:dyDescent="0.3">
      <c r="A62" s="21" t="s">
        <v>302</v>
      </c>
      <c r="B62" s="22" t="s">
        <v>39</v>
      </c>
      <c r="C62" s="23" t="s">
        <v>110</v>
      </c>
      <c r="D62" s="22" t="s">
        <v>70</v>
      </c>
      <c r="E62" s="22" t="s">
        <v>71</v>
      </c>
      <c r="F62" s="24">
        <v>3008</v>
      </c>
      <c r="G62" s="24">
        <v>94</v>
      </c>
      <c r="H62" s="24">
        <v>37</v>
      </c>
      <c r="I62" s="24">
        <v>15040</v>
      </c>
      <c r="J62" s="24">
        <v>14639</v>
      </c>
      <c r="K62" s="24">
        <v>277</v>
      </c>
      <c r="L62" s="22" t="s">
        <v>58</v>
      </c>
      <c r="M62" s="21"/>
      <c r="N62" s="21"/>
      <c r="O62" s="8"/>
    </row>
    <row r="63" spans="1:15" ht="29.4" customHeight="1" x14ac:dyDescent="0.3">
      <c r="A63" s="21" t="s">
        <v>373</v>
      </c>
      <c r="B63" s="22" t="s">
        <v>39</v>
      </c>
      <c r="C63" s="23" t="s">
        <v>110</v>
      </c>
      <c r="D63" s="22" t="s">
        <v>48</v>
      </c>
      <c r="E63" s="22" t="s">
        <v>55</v>
      </c>
      <c r="F63" s="24">
        <v>4689</v>
      </c>
      <c r="G63" s="24">
        <v>134</v>
      </c>
      <c r="H63" s="24">
        <v>403</v>
      </c>
      <c r="I63" s="24">
        <v>51579</v>
      </c>
      <c r="J63" s="24">
        <v>50924</v>
      </c>
      <c r="K63" s="24">
        <v>173</v>
      </c>
      <c r="L63" s="22" t="s">
        <v>27</v>
      </c>
      <c r="M63" s="21"/>
      <c r="N63" s="21"/>
      <c r="O63" s="21" t="s">
        <v>35</v>
      </c>
    </row>
    <row r="64" spans="1:15" ht="29.4" customHeight="1" x14ac:dyDescent="0.3">
      <c r="A64" s="21" t="s">
        <v>195</v>
      </c>
      <c r="B64" s="22" t="s">
        <v>30</v>
      </c>
      <c r="C64" s="23" t="s">
        <v>196</v>
      </c>
      <c r="D64" s="22" t="s">
        <v>15</v>
      </c>
      <c r="E64" s="22" t="s">
        <v>78</v>
      </c>
      <c r="F64" s="24">
        <v>1674</v>
      </c>
      <c r="G64" s="24">
        <v>929</v>
      </c>
      <c r="H64" s="24">
        <v>37</v>
      </c>
      <c r="I64" s="24">
        <v>21762</v>
      </c>
      <c r="J64" s="24">
        <v>20998</v>
      </c>
      <c r="K64" s="24">
        <v>255</v>
      </c>
      <c r="L64" s="22" t="s">
        <v>27</v>
      </c>
      <c r="M64" s="21"/>
      <c r="N64" s="21"/>
      <c r="O64" s="21" t="s">
        <v>35</v>
      </c>
    </row>
    <row r="65" spans="1:15" ht="29.4" customHeight="1" x14ac:dyDescent="0.3">
      <c r="A65" s="21" t="s">
        <v>478</v>
      </c>
      <c r="B65" s="22" t="s">
        <v>13</v>
      </c>
      <c r="C65" s="23" t="s">
        <v>479</v>
      </c>
      <c r="D65" s="22" t="s">
        <v>15</v>
      </c>
      <c r="E65" s="22" t="s">
        <v>16</v>
      </c>
      <c r="F65" s="24">
        <v>3791</v>
      </c>
      <c r="G65" s="24">
        <v>593</v>
      </c>
      <c r="H65" s="24">
        <v>228</v>
      </c>
      <c r="I65" s="24">
        <v>53074</v>
      </c>
      <c r="J65" s="24">
        <v>52613</v>
      </c>
      <c r="K65" s="24">
        <v>205</v>
      </c>
      <c r="L65" s="22" t="s">
        <v>34</v>
      </c>
      <c r="M65" s="21"/>
      <c r="N65" s="21"/>
      <c r="O65" s="8"/>
    </row>
    <row r="66" spans="1:15" ht="29.4" customHeight="1" x14ac:dyDescent="0.3">
      <c r="A66" s="21" t="s">
        <v>485</v>
      </c>
      <c r="B66" s="22" t="s">
        <v>30</v>
      </c>
      <c r="C66" s="23" t="s">
        <v>486</v>
      </c>
      <c r="D66" s="22" t="s">
        <v>32</v>
      </c>
      <c r="E66" s="22" t="s">
        <v>33</v>
      </c>
      <c r="F66" s="24">
        <v>3601</v>
      </c>
      <c r="G66" s="24">
        <v>695</v>
      </c>
      <c r="H66" s="24">
        <v>75</v>
      </c>
      <c r="I66" s="24">
        <v>21606</v>
      </c>
      <c r="J66" s="24">
        <v>21454</v>
      </c>
      <c r="K66" s="24">
        <v>172</v>
      </c>
      <c r="L66" s="22" t="s">
        <v>34</v>
      </c>
      <c r="M66" s="21"/>
      <c r="N66" s="21"/>
      <c r="O66" s="21" t="s">
        <v>22</v>
      </c>
    </row>
    <row r="67" spans="1:15" ht="29.4" customHeight="1" x14ac:dyDescent="0.3">
      <c r="A67" s="21" t="s">
        <v>512</v>
      </c>
      <c r="B67" s="22" t="s">
        <v>39</v>
      </c>
      <c r="C67" s="23" t="s">
        <v>486</v>
      </c>
      <c r="D67" s="22" t="s">
        <v>15</v>
      </c>
      <c r="E67" s="22" t="s">
        <v>61</v>
      </c>
      <c r="F67" s="24">
        <v>1741</v>
      </c>
      <c r="G67" s="24">
        <v>831</v>
      </c>
      <c r="H67" s="24">
        <v>345</v>
      </c>
      <c r="I67" s="24">
        <v>17410</v>
      </c>
      <c r="J67" s="24">
        <v>16844</v>
      </c>
      <c r="K67" s="24">
        <v>58</v>
      </c>
      <c r="L67" s="22" t="s">
        <v>34</v>
      </c>
      <c r="M67" s="21"/>
      <c r="N67" s="21"/>
      <c r="O67" s="21" t="s">
        <v>28</v>
      </c>
    </row>
    <row r="68" spans="1:15" ht="29.4" customHeight="1" x14ac:dyDescent="0.3">
      <c r="A68" s="21" t="s">
        <v>438</v>
      </c>
      <c r="B68" s="22" t="s">
        <v>30</v>
      </c>
      <c r="C68" s="23" t="s">
        <v>439</v>
      </c>
      <c r="D68" s="22" t="s">
        <v>41</v>
      </c>
      <c r="E68" s="22" t="s">
        <v>84</v>
      </c>
      <c r="F68" s="24">
        <v>1741</v>
      </c>
      <c r="G68" s="24">
        <v>164</v>
      </c>
      <c r="H68" s="24">
        <v>318</v>
      </c>
      <c r="I68" s="24">
        <v>8705</v>
      </c>
      <c r="J68" s="24">
        <v>8272</v>
      </c>
      <c r="K68" s="24">
        <v>121</v>
      </c>
      <c r="L68" s="22" t="s">
        <v>27</v>
      </c>
      <c r="M68" s="21"/>
      <c r="N68" s="21"/>
      <c r="O68" s="8"/>
    </row>
    <row r="69" spans="1:15" ht="29.4" customHeight="1" x14ac:dyDescent="0.3">
      <c r="A69" s="21" t="s">
        <v>257</v>
      </c>
      <c r="B69" s="22" t="s">
        <v>13</v>
      </c>
      <c r="C69" s="23" t="s">
        <v>258</v>
      </c>
      <c r="D69" s="22" t="s">
        <v>32</v>
      </c>
      <c r="E69" s="22" t="s">
        <v>144</v>
      </c>
      <c r="F69" s="24">
        <v>3649</v>
      </c>
      <c r="G69" s="24">
        <v>215</v>
      </c>
      <c r="H69" s="24">
        <v>413</v>
      </c>
      <c r="I69" s="24">
        <v>25543</v>
      </c>
      <c r="J69" s="24">
        <v>24963</v>
      </c>
      <c r="K69" s="24">
        <v>167</v>
      </c>
      <c r="L69" s="22" t="s">
        <v>58</v>
      </c>
      <c r="M69" s="21"/>
      <c r="N69" s="21"/>
      <c r="O69" s="21" t="s">
        <v>28</v>
      </c>
    </row>
    <row r="70" spans="1:15" ht="29.4" customHeight="1" x14ac:dyDescent="0.3">
      <c r="A70" s="21" t="s">
        <v>334</v>
      </c>
      <c r="B70" s="22" t="s">
        <v>30</v>
      </c>
      <c r="C70" s="23" t="s">
        <v>335</v>
      </c>
      <c r="D70" s="22" t="s">
        <v>32</v>
      </c>
      <c r="E70" s="22" t="s">
        <v>33</v>
      </c>
      <c r="F70" s="24">
        <v>1762</v>
      </c>
      <c r="G70" s="24">
        <v>405</v>
      </c>
      <c r="H70" s="24">
        <v>423</v>
      </c>
      <c r="I70" s="24">
        <v>22906</v>
      </c>
      <c r="J70" s="24">
        <v>21925</v>
      </c>
      <c r="K70" s="24">
        <v>25</v>
      </c>
      <c r="L70" s="22" t="s">
        <v>27</v>
      </c>
      <c r="M70" s="21"/>
      <c r="N70" s="21"/>
      <c r="O70" s="21" t="s">
        <v>17</v>
      </c>
    </row>
    <row r="71" spans="1:15" ht="29.4" customHeight="1" x14ac:dyDescent="0.3">
      <c r="A71" s="21" t="s">
        <v>29</v>
      </c>
      <c r="B71" s="22" t="s">
        <v>30</v>
      </c>
      <c r="C71" s="23" t="s">
        <v>31</v>
      </c>
      <c r="D71" s="22" t="s">
        <v>32</v>
      </c>
      <c r="E71" s="22" t="s">
        <v>33</v>
      </c>
      <c r="F71" s="24">
        <v>2404</v>
      </c>
      <c r="G71" s="24">
        <v>363</v>
      </c>
      <c r="H71" s="24">
        <v>138</v>
      </c>
      <c r="I71" s="24">
        <v>19232</v>
      </c>
      <c r="J71" s="24">
        <v>18636</v>
      </c>
      <c r="K71" s="24">
        <v>128</v>
      </c>
      <c r="L71" s="22" t="s">
        <v>34</v>
      </c>
      <c r="M71" s="21"/>
      <c r="N71" s="21"/>
      <c r="O71" s="21" t="s">
        <v>35</v>
      </c>
    </row>
    <row r="72" spans="1:15" ht="29.4" customHeight="1" x14ac:dyDescent="0.3">
      <c r="A72" s="21" t="s">
        <v>313</v>
      </c>
      <c r="B72" s="22" t="s">
        <v>30</v>
      </c>
      <c r="C72" s="23" t="s">
        <v>31</v>
      </c>
      <c r="D72" s="22" t="s">
        <v>41</v>
      </c>
      <c r="E72" s="22" t="s">
        <v>84</v>
      </c>
      <c r="F72" s="24">
        <v>1878</v>
      </c>
      <c r="G72" s="24">
        <v>62</v>
      </c>
      <c r="H72" s="24">
        <v>179</v>
      </c>
      <c r="I72" s="24">
        <v>37560</v>
      </c>
      <c r="J72" s="24">
        <v>36874</v>
      </c>
      <c r="K72" s="24">
        <v>142</v>
      </c>
      <c r="L72" s="22" t="s">
        <v>27</v>
      </c>
      <c r="M72" s="21"/>
      <c r="N72" s="21"/>
      <c r="O72" s="21" t="s">
        <v>35</v>
      </c>
    </row>
    <row r="73" spans="1:15" ht="29.4" customHeight="1" x14ac:dyDescent="0.3">
      <c r="A73" s="21" t="s">
        <v>235</v>
      </c>
      <c r="B73" s="22" t="s">
        <v>30</v>
      </c>
      <c r="C73" s="23" t="s">
        <v>236</v>
      </c>
      <c r="D73" s="22" t="s">
        <v>48</v>
      </c>
      <c r="E73" s="22" t="s">
        <v>208</v>
      </c>
      <c r="F73" s="24">
        <v>4739</v>
      </c>
      <c r="G73" s="24">
        <v>527</v>
      </c>
      <c r="H73" s="24">
        <v>135</v>
      </c>
      <c r="I73" s="24">
        <v>61607</v>
      </c>
      <c r="J73" s="24">
        <v>61333</v>
      </c>
      <c r="K73" s="24">
        <v>36</v>
      </c>
      <c r="L73" s="22" t="s">
        <v>27</v>
      </c>
      <c r="M73" s="21" t="s">
        <v>551</v>
      </c>
      <c r="N73" s="21"/>
      <c r="O73" s="21" t="s">
        <v>22</v>
      </c>
    </row>
    <row r="74" spans="1:15" ht="29.4" customHeight="1" x14ac:dyDescent="0.3">
      <c r="A74" s="21" t="s">
        <v>357</v>
      </c>
      <c r="B74" s="22" t="s">
        <v>39</v>
      </c>
      <c r="C74" s="23" t="s">
        <v>358</v>
      </c>
      <c r="D74" s="22" t="s">
        <v>41</v>
      </c>
      <c r="E74" s="22" t="s">
        <v>42</v>
      </c>
      <c r="F74" s="24">
        <v>3073</v>
      </c>
      <c r="G74" s="24">
        <v>553</v>
      </c>
      <c r="H74" s="24">
        <v>174</v>
      </c>
      <c r="I74" s="24">
        <v>52241</v>
      </c>
      <c r="J74" s="24">
        <v>51605</v>
      </c>
      <c r="K74" s="24">
        <v>246</v>
      </c>
      <c r="L74" s="22" t="s">
        <v>34</v>
      </c>
      <c r="M74" s="21"/>
      <c r="N74" s="21"/>
      <c r="O74" s="21" t="s">
        <v>28</v>
      </c>
    </row>
    <row r="75" spans="1:15" ht="29.4" customHeight="1" x14ac:dyDescent="0.3">
      <c r="A75" s="21" t="s">
        <v>393</v>
      </c>
      <c r="B75" s="22" t="s">
        <v>30</v>
      </c>
      <c r="C75" s="23" t="s">
        <v>394</v>
      </c>
      <c r="D75" s="22" t="s">
        <v>41</v>
      </c>
      <c r="E75" s="22" t="s">
        <v>84</v>
      </c>
      <c r="F75" s="24">
        <v>914</v>
      </c>
      <c r="G75" s="24">
        <v>464</v>
      </c>
      <c r="H75" s="24">
        <v>246</v>
      </c>
      <c r="I75" s="24">
        <v>11882</v>
      </c>
      <c r="J75" s="24">
        <v>11500</v>
      </c>
      <c r="K75" s="24">
        <v>282</v>
      </c>
      <c r="L75" s="22" t="s">
        <v>58</v>
      </c>
      <c r="M75" s="21" t="s">
        <v>27</v>
      </c>
      <c r="N75" s="21" t="s">
        <v>551</v>
      </c>
      <c r="O75" s="21" t="s">
        <v>35</v>
      </c>
    </row>
    <row r="76" spans="1:15" ht="29.4" customHeight="1" x14ac:dyDescent="0.3">
      <c r="A76" s="21" t="s">
        <v>530</v>
      </c>
      <c r="B76" s="22" t="s">
        <v>30</v>
      </c>
      <c r="C76" s="23" t="s">
        <v>394</v>
      </c>
      <c r="D76" s="22" t="s">
        <v>15</v>
      </c>
      <c r="E76" s="22" t="s">
        <v>78</v>
      </c>
      <c r="F76" s="24">
        <v>1164</v>
      </c>
      <c r="G76" s="24">
        <v>616</v>
      </c>
      <c r="H76" s="24">
        <v>324</v>
      </c>
      <c r="I76" s="24">
        <v>6984</v>
      </c>
      <c r="J76" s="24">
        <v>6636</v>
      </c>
      <c r="K76" s="24">
        <v>82</v>
      </c>
      <c r="L76" s="22" t="s">
        <v>34</v>
      </c>
      <c r="M76" s="21"/>
      <c r="N76" s="21"/>
      <c r="O76" s="21" t="s">
        <v>17</v>
      </c>
    </row>
    <row r="77" spans="1:15" ht="29.4" customHeight="1" x14ac:dyDescent="0.3">
      <c r="A77" s="21" t="s">
        <v>174</v>
      </c>
      <c r="B77" s="22" t="s">
        <v>39</v>
      </c>
      <c r="C77" s="23" t="s">
        <v>175</v>
      </c>
      <c r="D77" s="22" t="s">
        <v>48</v>
      </c>
      <c r="E77" s="22" t="s">
        <v>55</v>
      </c>
      <c r="F77" s="24">
        <v>2878</v>
      </c>
      <c r="G77" s="24">
        <v>248</v>
      </c>
      <c r="H77" s="24">
        <v>416</v>
      </c>
      <c r="I77" s="24">
        <v>43170</v>
      </c>
      <c r="J77" s="24">
        <v>42667</v>
      </c>
      <c r="K77" s="24">
        <v>75</v>
      </c>
      <c r="L77" s="22" t="s">
        <v>58</v>
      </c>
      <c r="M77" s="21"/>
      <c r="N77" s="21"/>
      <c r="O77" s="21" t="s">
        <v>28</v>
      </c>
    </row>
    <row r="78" spans="1:15" ht="29.4" customHeight="1" x14ac:dyDescent="0.3">
      <c r="A78" s="21" t="s">
        <v>76</v>
      </c>
      <c r="B78" s="22" t="s">
        <v>30</v>
      </c>
      <c r="C78" s="23" t="s">
        <v>77</v>
      </c>
      <c r="D78" s="22" t="s">
        <v>15</v>
      </c>
      <c r="E78" s="22" t="s">
        <v>78</v>
      </c>
      <c r="F78" s="24">
        <v>3000</v>
      </c>
      <c r="G78" s="24">
        <v>382</v>
      </c>
      <c r="H78" s="24">
        <v>325</v>
      </c>
      <c r="I78" s="24">
        <v>36000</v>
      </c>
      <c r="J78" s="24">
        <v>35819</v>
      </c>
      <c r="K78" s="24">
        <v>19</v>
      </c>
      <c r="L78" s="22" t="s">
        <v>58</v>
      </c>
      <c r="M78" s="21"/>
      <c r="N78" s="21"/>
      <c r="O78" s="21" t="s">
        <v>17</v>
      </c>
    </row>
    <row r="79" spans="1:15" ht="29.4" customHeight="1" x14ac:dyDescent="0.3">
      <c r="A79" s="21" t="s">
        <v>453</v>
      </c>
      <c r="B79" s="22" t="s">
        <v>39</v>
      </c>
      <c r="C79" s="23" t="s">
        <v>77</v>
      </c>
      <c r="D79" s="22" t="s">
        <v>20</v>
      </c>
      <c r="E79" s="22" t="s">
        <v>52</v>
      </c>
      <c r="F79" s="24">
        <v>1257</v>
      </c>
      <c r="G79" s="24">
        <v>19</v>
      </c>
      <c r="H79" s="24">
        <v>351</v>
      </c>
      <c r="I79" s="24">
        <v>12570</v>
      </c>
      <c r="J79" s="24">
        <v>11660</v>
      </c>
      <c r="K79" s="24">
        <v>194</v>
      </c>
      <c r="L79" s="22" t="s">
        <v>58</v>
      </c>
      <c r="M79" s="21" t="s">
        <v>551</v>
      </c>
      <c r="N79" s="21" t="s">
        <v>34</v>
      </c>
      <c r="O79" s="21" t="s">
        <v>22</v>
      </c>
    </row>
    <row r="80" spans="1:15" ht="29.4" customHeight="1" x14ac:dyDescent="0.3">
      <c r="A80" s="21" t="s">
        <v>493</v>
      </c>
      <c r="B80" s="22" t="s">
        <v>30</v>
      </c>
      <c r="C80" s="23" t="s">
        <v>494</v>
      </c>
      <c r="D80" s="22" t="s">
        <v>15</v>
      </c>
      <c r="E80" s="22" t="s">
        <v>78</v>
      </c>
      <c r="F80" s="24">
        <v>2603</v>
      </c>
      <c r="G80" s="24">
        <v>690</v>
      </c>
      <c r="H80" s="24">
        <v>205</v>
      </c>
      <c r="I80" s="24">
        <v>13015</v>
      </c>
      <c r="J80" s="24">
        <v>12130</v>
      </c>
      <c r="K80" s="24">
        <v>20</v>
      </c>
      <c r="L80" s="22" t="s">
        <v>58</v>
      </c>
      <c r="M80" s="21"/>
      <c r="N80" s="21"/>
      <c r="O80" s="21" t="s">
        <v>22</v>
      </c>
    </row>
    <row r="81" spans="1:15" ht="29.4" customHeight="1" x14ac:dyDescent="0.3">
      <c r="A81" s="21" t="s">
        <v>111</v>
      </c>
      <c r="B81" s="22" t="s">
        <v>39</v>
      </c>
      <c r="C81" s="23" t="s">
        <v>112</v>
      </c>
      <c r="D81" s="22" t="s">
        <v>48</v>
      </c>
      <c r="E81" s="22" t="s">
        <v>55</v>
      </c>
      <c r="F81" s="24">
        <v>1407</v>
      </c>
      <c r="G81" s="24">
        <v>400</v>
      </c>
      <c r="H81" s="24">
        <v>351</v>
      </c>
      <c r="I81" s="24">
        <v>16884</v>
      </c>
      <c r="J81" s="24">
        <v>15954</v>
      </c>
      <c r="K81" s="24">
        <v>113</v>
      </c>
      <c r="L81" s="22" t="s">
        <v>27</v>
      </c>
      <c r="M81" s="21"/>
      <c r="N81" s="21"/>
      <c r="O81" s="21" t="s">
        <v>17</v>
      </c>
    </row>
    <row r="82" spans="1:15" ht="29.4" customHeight="1" x14ac:dyDescent="0.3">
      <c r="A82" s="21" t="s">
        <v>320</v>
      </c>
      <c r="B82" s="22" t="s">
        <v>24</v>
      </c>
      <c r="C82" s="23" t="s">
        <v>321</v>
      </c>
      <c r="D82" s="22" t="s">
        <v>41</v>
      </c>
      <c r="E82" s="22" t="s">
        <v>64</v>
      </c>
      <c r="F82" s="24">
        <v>4295</v>
      </c>
      <c r="G82" s="24">
        <v>853</v>
      </c>
      <c r="H82" s="24">
        <v>325</v>
      </c>
      <c r="I82" s="24">
        <v>85900</v>
      </c>
      <c r="J82" s="24">
        <v>85788</v>
      </c>
      <c r="K82" s="24">
        <v>290</v>
      </c>
      <c r="L82" s="22" t="s">
        <v>27</v>
      </c>
      <c r="M82" s="21"/>
      <c r="N82" s="21"/>
      <c r="O82" s="21" t="s">
        <v>35</v>
      </c>
    </row>
    <row r="83" spans="1:15" ht="29.4" customHeight="1" x14ac:dyDescent="0.3">
      <c r="A83" s="21" t="s">
        <v>337</v>
      </c>
      <c r="B83" s="22" t="s">
        <v>13</v>
      </c>
      <c r="C83" s="23" t="s">
        <v>338</v>
      </c>
      <c r="D83" s="22" t="s">
        <v>70</v>
      </c>
      <c r="E83" s="22" t="s">
        <v>140</v>
      </c>
      <c r="F83" s="24">
        <v>1082</v>
      </c>
      <c r="G83" s="24">
        <v>209</v>
      </c>
      <c r="H83" s="24">
        <v>484</v>
      </c>
      <c r="I83" s="24">
        <v>19476</v>
      </c>
      <c r="J83" s="24">
        <v>18654</v>
      </c>
      <c r="K83" s="24">
        <v>20</v>
      </c>
      <c r="L83" s="22" t="s">
        <v>27</v>
      </c>
      <c r="M83" s="21"/>
      <c r="N83" s="21"/>
      <c r="O83" s="8"/>
    </row>
    <row r="84" spans="1:15" ht="29.4" customHeight="1" x14ac:dyDescent="0.3">
      <c r="A84" s="21" t="s">
        <v>380</v>
      </c>
      <c r="B84" s="22" t="s">
        <v>39</v>
      </c>
      <c r="C84" s="23" t="s">
        <v>338</v>
      </c>
      <c r="D84" s="22" t="s">
        <v>41</v>
      </c>
      <c r="E84" s="22" t="s">
        <v>42</v>
      </c>
      <c r="F84" s="24">
        <v>4292</v>
      </c>
      <c r="G84" s="24">
        <v>51</v>
      </c>
      <c r="H84" s="24">
        <v>392</v>
      </c>
      <c r="I84" s="24">
        <v>55796</v>
      </c>
      <c r="J84" s="24">
        <v>54826</v>
      </c>
      <c r="K84" s="24">
        <v>264</v>
      </c>
      <c r="L84" s="22" t="s">
        <v>34</v>
      </c>
      <c r="M84" s="21"/>
      <c r="N84" s="21"/>
      <c r="O84" s="21" t="s">
        <v>28</v>
      </c>
    </row>
    <row r="85" spans="1:15" ht="29.4" customHeight="1" x14ac:dyDescent="0.3">
      <c r="A85" s="21" t="s">
        <v>72</v>
      </c>
      <c r="B85" s="22" t="s">
        <v>39</v>
      </c>
      <c r="C85" s="23" t="s">
        <v>73</v>
      </c>
      <c r="D85" s="22" t="s">
        <v>20</v>
      </c>
      <c r="E85" s="22" t="s">
        <v>52</v>
      </c>
      <c r="F85" s="24">
        <v>3452</v>
      </c>
      <c r="G85" s="24">
        <v>377</v>
      </c>
      <c r="H85" s="24">
        <v>360</v>
      </c>
      <c r="I85" s="24">
        <v>55232</v>
      </c>
      <c r="J85" s="24">
        <v>55075</v>
      </c>
      <c r="K85" s="24">
        <v>87</v>
      </c>
      <c r="L85" s="22" t="s">
        <v>58</v>
      </c>
      <c r="M85" s="21"/>
      <c r="N85" s="21"/>
      <c r="O85" s="21" t="s">
        <v>28</v>
      </c>
    </row>
    <row r="86" spans="1:15" ht="29.4" customHeight="1" x14ac:dyDescent="0.3">
      <c r="A86" s="21" t="s">
        <v>458</v>
      </c>
      <c r="B86" s="22" t="s">
        <v>13</v>
      </c>
      <c r="C86" s="23" t="s">
        <v>73</v>
      </c>
      <c r="D86" s="22" t="s">
        <v>41</v>
      </c>
      <c r="E86" s="22" t="s">
        <v>45</v>
      </c>
      <c r="F86" s="24">
        <v>929</v>
      </c>
      <c r="G86" s="24">
        <v>192</v>
      </c>
      <c r="H86" s="24">
        <v>322</v>
      </c>
      <c r="I86" s="24">
        <v>16722</v>
      </c>
      <c r="J86" s="24">
        <v>15996</v>
      </c>
      <c r="K86" s="24">
        <v>145</v>
      </c>
      <c r="L86" s="22" t="s">
        <v>34</v>
      </c>
      <c r="M86" s="21" t="s">
        <v>27</v>
      </c>
      <c r="N86" s="21" t="s">
        <v>551</v>
      </c>
      <c r="O86" s="21" t="s">
        <v>28</v>
      </c>
    </row>
    <row r="87" spans="1:15" ht="29.4" customHeight="1" x14ac:dyDescent="0.3">
      <c r="A87" s="21" t="s">
        <v>549</v>
      </c>
      <c r="B87" s="22" t="s">
        <v>39</v>
      </c>
      <c r="C87" s="23" t="s">
        <v>73</v>
      </c>
      <c r="D87" s="22" t="s">
        <v>48</v>
      </c>
      <c r="E87" s="22" t="s">
        <v>55</v>
      </c>
      <c r="F87" s="24">
        <v>2581</v>
      </c>
      <c r="G87" s="24">
        <v>517</v>
      </c>
      <c r="H87" s="24">
        <v>117</v>
      </c>
      <c r="I87" s="24">
        <v>23229</v>
      </c>
      <c r="J87" s="24">
        <v>22331</v>
      </c>
      <c r="K87" s="24">
        <v>70</v>
      </c>
      <c r="L87" s="22" t="s">
        <v>58</v>
      </c>
      <c r="M87" s="21"/>
      <c r="N87" s="21"/>
      <c r="O87" s="21" t="s">
        <v>28</v>
      </c>
    </row>
    <row r="88" spans="1:15" ht="29.4" customHeight="1" x14ac:dyDescent="0.3">
      <c r="A88" s="21" t="s">
        <v>470</v>
      </c>
      <c r="B88" s="22" t="s">
        <v>39</v>
      </c>
      <c r="C88" s="23" t="s">
        <v>471</v>
      </c>
      <c r="D88" s="22" t="s">
        <v>15</v>
      </c>
      <c r="E88" s="22" t="s">
        <v>61</v>
      </c>
      <c r="F88" s="24">
        <v>3960</v>
      </c>
      <c r="G88" s="24">
        <v>266</v>
      </c>
      <c r="H88" s="24">
        <v>8</v>
      </c>
      <c r="I88" s="24">
        <v>35640</v>
      </c>
      <c r="J88" s="24">
        <v>34850</v>
      </c>
      <c r="K88" s="24">
        <v>208</v>
      </c>
      <c r="L88" s="22" t="s">
        <v>58</v>
      </c>
      <c r="M88" s="21" t="s">
        <v>34</v>
      </c>
      <c r="N88" s="21" t="s">
        <v>553</v>
      </c>
      <c r="O88" s="8"/>
    </row>
    <row r="89" spans="1:15" ht="29.4" customHeight="1" x14ac:dyDescent="0.3">
      <c r="A89" s="21" t="s">
        <v>50</v>
      </c>
      <c r="B89" s="22" t="s">
        <v>39</v>
      </c>
      <c r="C89" s="23" t="s">
        <v>51</v>
      </c>
      <c r="D89" s="22" t="s">
        <v>20</v>
      </c>
      <c r="E89" s="22" t="s">
        <v>52</v>
      </c>
      <c r="F89" s="24">
        <v>3784</v>
      </c>
      <c r="G89" s="24">
        <v>808</v>
      </c>
      <c r="H89" s="24">
        <v>404</v>
      </c>
      <c r="I89" s="24">
        <v>56760</v>
      </c>
      <c r="J89" s="24">
        <v>56343</v>
      </c>
      <c r="K89" s="24">
        <v>131</v>
      </c>
      <c r="L89" s="22" t="s">
        <v>27</v>
      </c>
      <c r="M89" s="21"/>
      <c r="N89" s="21"/>
      <c r="O89" s="21" t="s">
        <v>22</v>
      </c>
    </row>
    <row r="90" spans="1:15" ht="29.4" customHeight="1" x14ac:dyDescent="0.3">
      <c r="A90" s="21" t="s">
        <v>308</v>
      </c>
      <c r="B90" s="22" t="s">
        <v>13</v>
      </c>
      <c r="C90" s="23" t="s">
        <v>309</v>
      </c>
      <c r="D90" s="22" t="s">
        <v>48</v>
      </c>
      <c r="E90" s="22" t="s">
        <v>127</v>
      </c>
      <c r="F90" s="24">
        <v>3170</v>
      </c>
      <c r="G90" s="24">
        <v>857</v>
      </c>
      <c r="H90" s="24">
        <v>379</v>
      </c>
      <c r="I90" s="24">
        <v>19020</v>
      </c>
      <c r="J90" s="24">
        <v>18559</v>
      </c>
      <c r="K90" s="24">
        <v>240</v>
      </c>
      <c r="L90" s="22" t="s">
        <v>58</v>
      </c>
      <c r="M90" s="21"/>
      <c r="N90" s="21"/>
      <c r="O90" s="8"/>
    </row>
    <row r="91" spans="1:15" ht="29.4" customHeight="1" x14ac:dyDescent="0.3">
      <c r="A91" s="21" t="s">
        <v>550</v>
      </c>
      <c r="B91" s="22" t="s">
        <v>13</v>
      </c>
      <c r="C91" s="23" t="s">
        <v>309</v>
      </c>
      <c r="D91" s="22" t="s">
        <v>41</v>
      </c>
      <c r="E91" s="22" t="s">
        <v>45</v>
      </c>
      <c r="F91" s="24">
        <v>4494</v>
      </c>
      <c r="G91" s="24">
        <v>717</v>
      </c>
      <c r="H91" s="24">
        <v>45</v>
      </c>
      <c r="I91" s="24">
        <v>62916</v>
      </c>
      <c r="J91" s="24">
        <v>62688</v>
      </c>
      <c r="K91" s="24">
        <v>191</v>
      </c>
      <c r="L91" s="22" t="s">
        <v>27</v>
      </c>
      <c r="M91" s="21" t="s">
        <v>34</v>
      </c>
      <c r="N91" s="21" t="s">
        <v>553</v>
      </c>
      <c r="O91" s="21" t="s">
        <v>17</v>
      </c>
    </row>
    <row r="92" spans="1:15" ht="29.4" customHeight="1" x14ac:dyDescent="0.3">
      <c r="A92" s="21" t="s">
        <v>187</v>
      </c>
      <c r="B92" s="22" t="s">
        <v>24</v>
      </c>
      <c r="C92" s="23" t="s">
        <v>188</v>
      </c>
      <c r="D92" s="22" t="s">
        <v>41</v>
      </c>
      <c r="E92" s="22" t="s">
        <v>64</v>
      </c>
      <c r="F92" s="24">
        <v>2551</v>
      </c>
      <c r="G92" s="24">
        <v>915</v>
      </c>
      <c r="H92" s="24">
        <v>205</v>
      </c>
      <c r="I92" s="24">
        <v>30612</v>
      </c>
      <c r="J92" s="24">
        <v>30360</v>
      </c>
      <c r="K92" s="24">
        <v>227</v>
      </c>
      <c r="L92" s="22" t="s">
        <v>27</v>
      </c>
      <c r="M92" s="21"/>
      <c r="N92" s="21"/>
      <c r="O92" s="21" t="s">
        <v>22</v>
      </c>
    </row>
    <row r="93" spans="1:15" ht="29.4" customHeight="1" x14ac:dyDescent="0.3">
      <c r="A93" s="21" t="s">
        <v>518</v>
      </c>
      <c r="B93" s="22" t="s">
        <v>24</v>
      </c>
      <c r="C93" s="23" t="s">
        <v>188</v>
      </c>
      <c r="D93" s="22" t="s">
        <v>48</v>
      </c>
      <c r="E93" s="22" t="s">
        <v>49</v>
      </c>
      <c r="F93" s="24">
        <v>4905</v>
      </c>
      <c r="G93" s="24">
        <v>845</v>
      </c>
      <c r="H93" s="24">
        <v>129</v>
      </c>
      <c r="I93" s="24">
        <v>98100</v>
      </c>
      <c r="J93" s="24">
        <v>97772</v>
      </c>
      <c r="K93" s="24">
        <v>279</v>
      </c>
      <c r="L93" s="22" t="s">
        <v>27</v>
      </c>
      <c r="M93" s="21"/>
      <c r="N93" s="21"/>
      <c r="O93" s="21" t="s">
        <v>22</v>
      </c>
    </row>
    <row r="94" spans="1:15" ht="29.4" customHeight="1" x14ac:dyDescent="0.3">
      <c r="A94" s="21" t="s">
        <v>169</v>
      </c>
      <c r="B94" s="22" t="s">
        <v>13</v>
      </c>
      <c r="C94" s="23" t="s">
        <v>170</v>
      </c>
      <c r="D94" s="22" t="s">
        <v>70</v>
      </c>
      <c r="E94" s="22" t="s">
        <v>140</v>
      </c>
      <c r="F94" s="24">
        <v>4886</v>
      </c>
      <c r="G94" s="24">
        <v>983</v>
      </c>
      <c r="H94" s="24">
        <v>409</v>
      </c>
      <c r="I94" s="24">
        <v>43974</v>
      </c>
      <c r="J94" s="24">
        <v>43239</v>
      </c>
      <c r="K94" s="24">
        <v>65</v>
      </c>
      <c r="L94" s="22" t="s">
        <v>27</v>
      </c>
      <c r="M94" s="21"/>
      <c r="N94" s="21"/>
      <c r="O94" s="21" t="s">
        <v>17</v>
      </c>
    </row>
    <row r="95" spans="1:15" ht="29.4" customHeight="1" x14ac:dyDescent="0.3">
      <c r="A95" s="21" t="s">
        <v>284</v>
      </c>
      <c r="B95" s="22" t="s">
        <v>13</v>
      </c>
      <c r="C95" s="23" t="s">
        <v>285</v>
      </c>
      <c r="D95" s="22" t="s">
        <v>41</v>
      </c>
      <c r="E95" s="22" t="s">
        <v>45</v>
      </c>
      <c r="F95" s="24">
        <v>3811</v>
      </c>
      <c r="G95" s="24">
        <v>866</v>
      </c>
      <c r="H95" s="24">
        <v>216</v>
      </c>
      <c r="I95" s="24">
        <v>34299</v>
      </c>
      <c r="J95" s="24">
        <v>34088</v>
      </c>
      <c r="K95" s="24">
        <v>233</v>
      </c>
      <c r="L95" s="22" t="s">
        <v>27</v>
      </c>
      <c r="M95" s="21"/>
      <c r="N95" s="21"/>
      <c r="O95" s="21" t="s">
        <v>35</v>
      </c>
    </row>
    <row r="96" spans="1:15" ht="29.4" customHeight="1" x14ac:dyDescent="0.3">
      <c r="A96" s="21" t="s">
        <v>82</v>
      </c>
      <c r="B96" s="22" t="s">
        <v>30</v>
      </c>
      <c r="C96" s="23" t="s">
        <v>83</v>
      </c>
      <c r="D96" s="22" t="s">
        <v>41</v>
      </c>
      <c r="E96" s="22" t="s">
        <v>84</v>
      </c>
      <c r="F96" s="24">
        <v>4054</v>
      </c>
      <c r="G96" s="24">
        <v>488</v>
      </c>
      <c r="H96" s="24">
        <v>373</v>
      </c>
      <c r="I96" s="24">
        <v>77026</v>
      </c>
      <c r="J96" s="24">
        <v>76881</v>
      </c>
      <c r="K96" s="24">
        <v>25</v>
      </c>
      <c r="L96" s="22" t="s">
        <v>27</v>
      </c>
      <c r="M96" s="21"/>
      <c r="N96" s="21"/>
      <c r="O96" s="21" t="s">
        <v>17</v>
      </c>
    </row>
    <row r="97" spans="1:15" ht="29.4" customHeight="1" x14ac:dyDescent="0.3">
      <c r="A97" s="21" t="s">
        <v>233</v>
      </c>
      <c r="B97" s="22" t="s">
        <v>13</v>
      </c>
      <c r="C97" s="23" t="s">
        <v>234</v>
      </c>
      <c r="D97" s="22" t="s">
        <v>48</v>
      </c>
      <c r="E97" s="22" t="s">
        <v>127</v>
      </c>
      <c r="F97" s="24">
        <v>1238</v>
      </c>
      <c r="G97" s="24">
        <v>366</v>
      </c>
      <c r="H97" s="24">
        <v>444</v>
      </c>
      <c r="I97" s="24">
        <v>19808</v>
      </c>
      <c r="J97" s="24">
        <v>19334</v>
      </c>
      <c r="K97" s="24">
        <v>123</v>
      </c>
      <c r="L97" s="22" t="s">
        <v>58</v>
      </c>
      <c r="M97" s="21"/>
      <c r="N97" s="21"/>
      <c r="O97" s="8"/>
    </row>
    <row r="98" spans="1:15" ht="29.4" customHeight="1" x14ac:dyDescent="0.3">
      <c r="A98" s="21" t="s">
        <v>390</v>
      </c>
      <c r="B98" s="22" t="s">
        <v>13</v>
      </c>
      <c r="C98" s="23" t="s">
        <v>391</v>
      </c>
      <c r="D98" s="22" t="s">
        <v>48</v>
      </c>
      <c r="E98" s="22" t="s">
        <v>127</v>
      </c>
      <c r="F98" s="24">
        <v>4858</v>
      </c>
      <c r="G98" s="24">
        <v>317</v>
      </c>
      <c r="H98" s="24">
        <v>129</v>
      </c>
      <c r="I98" s="24">
        <v>53438</v>
      </c>
      <c r="J98" s="24">
        <v>52687</v>
      </c>
      <c r="K98" s="24">
        <v>223</v>
      </c>
      <c r="L98" s="22" t="s">
        <v>34</v>
      </c>
      <c r="M98" s="21"/>
      <c r="N98" s="21"/>
      <c r="O98" s="21" t="s">
        <v>28</v>
      </c>
    </row>
    <row r="99" spans="1:15" ht="29.4" customHeight="1" x14ac:dyDescent="0.3">
      <c r="A99" s="21" t="s">
        <v>398</v>
      </c>
      <c r="B99" s="22" t="s">
        <v>13</v>
      </c>
      <c r="C99" s="23" t="s">
        <v>399</v>
      </c>
      <c r="D99" s="22" t="s">
        <v>48</v>
      </c>
      <c r="E99" s="22" t="s">
        <v>127</v>
      </c>
      <c r="F99" s="24">
        <v>1048</v>
      </c>
      <c r="G99" s="24">
        <v>374</v>
      </c>
      <c r="H99" s="24">
        <v>450</v>
      </c>
      <c r="I99" s="24">
        <v>9432</v>
      </c>
      <c r="J99" s="24">
        <v>8882</v>
      </c>
      <c r="K99" s="24">
        <v>158</v>
      </c>
      <c r="L99" s="22" t="s">
        <v>27</v>
      </c>
      <c r="M99" s="21"/>
      <c r="N99" s="21"/>
      <c r="O99" s="21" t="s">
        <v>28</v>
      </c>
    </row>
    <row r="100" spans="1:15" ht="29.4" customHeight="1" x14ac:dyDescent="0.3">
      <c r="A100" s="21" t="s">
        <v>97</v>
      </c>
      <c r="B100" s="22" t="s">
        <v>24</v>
      </c>
      <c r="C100" s="23" t="s">
        <v>98</v>
      </c>
      <c r="D100" s="22" t="s">
        <v>20</v>
      </c>
      <c r="E100" s="22" t="s">
        <v>99</v>
      </c>
      <c r="F100" s="24">
        <v>2076</v>
      </c>
      <c r="G100" s="24">
        <v>195</v>
      </c>
      <c r="H100" s="24">
        <v>104</v>
      </c>
      <c r="I100" s="24">
        <v>33216</v>
      </c>
      <c r="J100" s="24">
        <v>32244</v>
      </c>
      <c r="K100" s="24">
        <v>51</v>
      </c>
      <c r="L100" s="22" t="s">
        <v>58</v>
      </c>
      <c r="M100" s="21"/>
      <c r="N100" s="21"/>
      <c r="O100" s="21" t="s">
        <v>35</v>
      </c>
    </row>
    <row r="101" spans="1:15" ht="29.4" customHeight="1" x14ac:dyDescent="0.3">
      <c r="A101" s="21" t="s">
        <v>526</v>
      </c>
      <c r="B101" s="22" t="s">
        <v>13</v>
      </c>
      <c r="C101" s="23" t="s">
        <v>98</v>
      </c>
      <c r="D101" s="22" t="s">
        <v>20</v>
      </c>
      <c r="E101" s="22" t="s">
        <v>21</v>
      </c>
      <c r="F101" s="24">
        <v>571</v>
      </c>
      <c r="G101" s="24">
        <v>190</v>
      </c>
      <c r="H101" s="24">
        <v>352</v>
      </c>
      <c r="I101" s="24">
        <v>9707</v>
      </c>
      <c r="J101" s="24">
        <v>9418</v>
      </c>
      <c r="K101" s="24">
        <v>231</v>
      </c>
      <c r="L101" s="22" t="s">
        <v>27</v>
      </c>
      <c r="M101" s="21"/>
      <c r="N101" s="21"/>
      <c r="O101" s="21" t="s">
        <v>35</v>
      </c>
    </row>
    <row r="102" spans="1:15" ht="29.4" customHeight="1" x14ac:dyDescent="0.3">
      <c r="A102" s="21" t="s">
        <v>243</v>
      </c>
      <c r="B102" s="22" t="s">
        <v>13</v>
      </c>
      <c r="C102" s="23" t="s">
        <v>244</v>
      </c>
      <c r="D102" s="22" t="s">
        <v>15</v>
      </c>
      <c r="E102" s="22" t="s">
        <v>16</v>
      </c>
      <c r="F102" s="24">
        <v>1000</v>
      </c>
      <c r="G102" s="24">
        <v>978</v>
      </c>
      <c r="H102" s="24">
        <v>162</v>
      </c>
      <c r="I102" s="24">
        <v>6000</v>
      </c>
      <c r="J102" s="24">
        <v>5221</v>
      </c>
      <c r="K102" s="24">
        <v>223</v>
      </c>
      <c r="L102" s="22" t="s">
        <v>34</v>
      </c>
      <c r="M102" s="21"/>
      <c r="N102" s="21"/>
      <c r="O102" s="21" t="s">
        <v>22</v>
      </c>
    </row>
    <row r="103" spans="1:15" ht="29.4" customHeight="1" x14ac:dyDescent="0.3">
      <c r="A103" s="21" t="s">
        <v>483</v>
      </c>
      <c r="B103" s="22" t="s">
        <v>24</v>
      </c>
      <c r="C103" s="23" t="s">
        <v>244</v>
      </c>
      <c r="D103" s="22" t="s">
        <v>41</v>
      </c>
      <c r="E103" s="22" t="s">
        <v>64</v>
      </c>
      <c r="F103" s="24">
        <v>2143</v>
      </c>
      <c r="G103" s="24">
        <v>12</v>
      </c>
      <c r="H103" s="24">
        <v>204</v>
      </c>
      <c r="I103" s="24">
        <v>40717</v>
      </c>
      <c r="J103" s="24">
        <v>40125</v>
      </c>
      <c r="K103" s="24">
        <v>248</v>
      </c>
      <c r="L103" s="22" t="s">
        <v>34</v>
      </c>
      <c r="M103" s="21"/>
      <c r="N103" s="21"/>
      <c r="O103" s="21" t="s">
        <v>22</v>
      </c>
    </row>
    <row r="104" spans="1:15" ht="29.4" customHeight="1" x14ac:dyDescent="0.3">
      <c r="A104" s="21" t="s">
        <v>528</v>
      </c>
      <c r="B104" s="22" t="s">
        <v>24</v>
      </c>
      <c r="C104" s="23" t="s">
        <v>529</v>
      </c>
      <c r="D104" s="22" t="s">
        <v>70</v>
      </c>
      <c r="E104" s="22" t="s">
        <v>211</v>
      </c>
      <c r="F104" s="24">
        <v>3389</v>
      </c>
      <c r="G104" s="24">
        <v>344</v>
      </c>
      <c r="H104" s="24">
        <v>229</v>
      </c>
      <c r="I104" s="24">
        <v>20334</v>
      </c>
      <c r="J104" s="24">
        <v>19443</v>
      </c>
      <c r="K104" s="24">
        <v>228</v>
      </c>
      <c r="L104" s="22" t="s">
        <v>58</v>
      </c>
      <c r="M104" s="21"/>
      <c r="N104" s="21"/>
      <c r="O104" s="21" t="s">
        <v>28</v>
      </c>
    </row>
    <row r="105" spans="1:15" ht="29.4" customHeight="1" x14ac:dyDescent="0.3">
      <c r="A105" s="21" t="s">
        <v>290</v>
      </c>
      <c r="B105" s="22" t="s">
        <v>24</v>
      </c>
      <c r="C105" s="23" t="s">
        <v>291</v>
      </c>
      <c r="D105" s="22" t="s">
        <v>15</v>
      </c>
      <c r="E105" s="22" t="s">
        <v>26</v>
      </c>
      <c r="F105" s="24">
        <v>2936</v>
      </c>
      <c r="G105" s="24">
        <v>439</v>
      </c>
      <c r="H105" s="24">
        <v>44</v>
      </c>
      <c r="I105" s="24">
        <v>38168</v>
      </c>
      <c r="J105" s="24">
        <v>37571</v>
      </c>
      <c r="K105" s="24">
        <v>22</v>
      </c>
      <c r="L105" s="22" t="s">
        <v>34</v>
      </c>
      <c r="M105" s="21"/>
      <c r="N105" s="21"/>
      <c r="O105" s="21" t="s">
        <v>35</v>
      </c>
    </row>
    <row r="106" spans="1:15" ht="29.4" customHeight="1" x14ac:dyDescent="0.3">
      <c r="A106" s="21" t="s">
        <v>265</v>
      </c>
      <c r="B106" s="22" t="s">
        <v>13</v>
      </c>
      <c r="C106" s="23" t="s">
        <v>266</v>
      </c>
      <c r="D106" s="22" t="s">
        <v>41</v>
      </c>
      <c r="E106" s="22" t="s">
        <v>45</v>
      </c>
      <c r="F106" s="24">
        <v>4419</v>
      </c>
      <c r="G106" s="24">
        <v>236</v>
      </c>
      <c r="H106" s="24">
        <v>369</v>
      </c>
      <c r="I106" s="24">
        <v>44190</v>
      </c>
      <c r="J106" s="24">
        <v>43582</v>
      </c>
      <c r="K106" s="24">
        <v>10</v>
      </c>
      <c r="L106" s="22" t="s">
        <v>34</v>
      </c>
      <c r="M106" s="21"/>
      <c r="N106" s="21"/>
      <c r="O106" s="21" t="s">
        <v>17</v>
      </c>
    </row>
    <row r="107" spans="1:15" ht="29.4" customHeight="1" x14ac:dyDescent="0.3">
      <c r="A107" s="21" t="s">
        <v>280</v>
      </c>
      <c r="B107" s="22" t="s">
        <v>30</v>
      </c>
      <c r="C107" s="23" t="s">
        <v>266</v>
      </c>
      <c r="D107" s="22" t="s">
        <v>20</v>
      </c>
      <c r="E107" s="22" t="s">
        <v>108</v>
      </c>
      <c r="F107" s="24">
        <v>3432</v>
      </c>
      <c r="G107" s="24">
        <v>869</v>
      </c>
      <c r="H107" s="24">
        <v>123</v>
      </c>
      <c r="I107" s="24">
        <v>54912</v>
      </c>
      <c r="J107" s="24">
        <v>53916</v>
      </c>
      <c r="K107" s="24">
        <v>264</v>
      </c>
      <c r="L107" s="22" t="s">
        <v>34</v>
      </c>
      <c r="M107" s="21"/>
      <c r="N107" s="21"/>
      <c r="O107" s="21" t="s">
        <v>22</v>
      </c>
    </row>
    <row r="108" spans="1:15" ht="29.4" customHeight="1" x14ac:dyDescent="0.3">
      <c r="A108" s="21" t="s">
        <v>311</v>
      </c>
      <c r="B108" s="22" t="s">
        <v>24</v>
      </c>
      <c r="C108" s="23" t="s">
        <v>266</v>
      </c>
      <c r="D108" s="22" t="s">
        <v>41</v>
      </c>
      <c r="E108" s="22" t="s">
        <v>64</v>
      </c>
      <c r="F108" s="24">
        <v>80</v>
      </c>
      <c r="G108" s="24">
        <v>362</v>
      </c>
      <c r="H108" s="24">
        <v>80</v>
      </c>
      <c r="I108" s="24">
        <v>1040</v>
      </c>
      <c r="J108" s="24">
        <v>349</v>
      </c>
      <c r="K108" s="24">
        <v>117</v>
      </c>
      <c r="L108" s="22" t="s">
        <v>27</v>
      </c>
      <c r="M108" s="21"/>
      <c r="N108" s="21"/>
      <c r="O108" s="21" t="s">
        <v>28</v>
      </c>
    </row>
    <row r="109" spans="1:15" ht="29.4" customHeight="1" x14ac:dyDescent="0.3">
      <c r="A109" s="21" t="s">
        <v>392</v>
      </c>
      <c r="B109" s="22" t="s">
        <v>24</v>
      </c>
      <c r="C109" s="23" t="s">
        <v>266</v>
      </c>
      <c r="D109" s="22" t="s">
        <v>32</v>
      </c>
      <c r="E109" s="22" t="s">
        <v>149</v>
      </c>
      <c r="F109" s="24">
        <v>4350</v>
      </c>
      <c r="G109" s="24">
        <v>771</v>
      </c>
      <c r="H109" s="24">
        <v>7</v>
      </c>
      <c r="I109" s="24">
        <v>60900</v>
      </c>
      <c r="J109" s="24">
        <v>60592</v>
      </c>
      <c r="K109" s="24">
        <v>195</v>
      </c>
      <c r="L109" s="22" t="s">
        <v>34</v>
      </c>
      <c r="M109" s="21"/>
      <c r="N109" s="21"/>
      <c r="O109" s="21" t="s">
        <v>17</v>
      </c>
    </row>
    <row r="110" spans="1:15" ht="29.4" customHeight="1" x14ac:dyDescent="0.3">
      <c r="A110" s="21" t="s">
        <v>522</v>
      </c>
      <c r="B110" s="22" t="s">
        <v>30</v>
      </c>
      <c r="C110" s="23" t="s">
        <v>523</v>
      </c>
      <c r="D110" s="22" t="s">
        <v>70</v>
      </c>
      <c r="E110" s="22" t="s">
        <v>81</v>
      </c>
      <c r="F110" s="24">
        <v>1488</v>
      </c>
      <c r="G110" s="24">
        <v>417</v>
      </c>
      <c r="H110" s="24">
        <v>168</v>
      </c>
      <c r="I110" s="24">
        <v>19344</v>
      </c>
      <c r="J110" s="24">
        <v>18395</v>
      </c>
      <c r="K110" s="24">
        <v>30</v>
      </c>
      <c r="L110" s="22" t="s">
        <v>58</v>
      </c>
      <c r="M110" s="21"/>
      <c r="N110" s="21"/>
      <c r="O110" s="21" t="s">
        <v>28</v>
      </c>
    </row>
    <row r="111" spans="1:15" ht="29.4" customHeight="1" x14ac:dyDescent="0.3">
      <c r="A111" s="21" t="s">
        <v>385</v>
      </c>
      <c r="B111" s="22" t="s">
        <v>24</v>
      </c>
      <c r="C111" s="23" t="s">
        <v>386</v>
      </c>
      <c r="D111" s="22" t="s">
        <v>20</v>
      </c>
      <c r="E111" s="22" t="s">
        <v>99</v>
      </c>
      <c r="F111" s="24">
        <v>1963</v>
      </c>
      <c r="G111" s="24">
        <v>213</v>
      </c>
      <c r="H111" s="24">
        <v>19</v>
      </c>
      <c r="I111" s="24">
        <v>39260</v>
      </c>
      <c r="J111" s="24">
        <v>38771</v>
      </c>
      <c r="K111" s="24">
        <v>145</v>
      </c>
      <c r="L111" s="22" t="s">
        <v>58</v>
      </c>
      <c r="M111" s="21"/>
      <c r="N111" s="21"/>
      <c r="O111" s="8"/>
    </row>
    <row r="112" spans="1:15" ht="29.4" customHeight="1" x14ac:dyDescent="0.3">
      <c r="A112" s="21" t="s">
        <v>500</v>
      </c>
      <c r="B112" s="22" t="s">
        <v>13</v>
      </c>
      <c r="C112" s="23" t="s">
        <v>386</v>
      </c>
      <c r="D112" s="22" t="s">
        <v>15</v>
      </c>
      <c r="E112" s="22" t="s">
        <v>16</v>
      </c>
      <c r="F112" s="24">
        <v>4187</v>
      </c>
      <c r="G112" s="24">
        <v>66</v>
      </c>
      <c r="H112" s="24">
        <v>31</v>
      </c>
      <c r="I112" s="24">
        <v>66992</v>
      </c>
      <c r="J112" s="24">
        <v>66614</v>
      </c>
      <c r="K112" s="24">
        <v>62</v>
      </c>
      <c r="L112" s="22" t="s">
        <v>58</v>
      </c>
      <c r="M112" s="21"/>
      <c r="N112" s="21"/>
      <c r="O112" s="8"/>
    </row>
    <row r="113" spans="1:15" ht="29.4" customHeight="1" x14ac:dyDescent="0.3">
      <c r="A113" s="21" t="s">
        <v>263</v>
      </c>
      <c r="B113" s="22" t="s">
        <v>13</v>
      </c>
      <c r="C113" s="23" t="s">
        <v>264</v>
      </c>
      <c r="D113" s="22" t="s">
        <v>32</v>
      </c>
      <c r="E113" s="22" t="s">
        <v>144</v>
      </c>
      <c r="F113" s="24">
        <v>1957</v>
      </c>
      <c r="G113" s="24">
        <v>877</v>
      </c>
      <c r="H113" s="24">
        <v>238</v>
      </c>
      <c r="I113" s="24">
        <v>17613</v>
      </c>
      <c r="J113" s="24">
        <v>16865</v>
      </c>
      <c r="K113" s="24">
        <v>297</v>
      </c>
      <c r="L113" s="22" t="s">
        <v>58</v>
      </c>
      <c r="M113" s="21"/>
      <c r="N113" s="21"/>
      <c r="O113" s="21" t="s">
        <v>28</v>
      </c>
    </row>
    <row r="114" spans="1:15" ht="29.4" customHeight="1" x14ac:dyDescent="0.3">
      <c r="A114" s="21" t="s">
        <v>432</v>
      </c>
      <c r="B114" s="22" t="s">
        <v>39</v>
      </c>
      <c r="C114" s="23" t="s">
        <v>433</v>
      </c>
      <c r="D114" s="22" t="s">
        <v>15</v>
      </c>
      <c r="E114" s="22" t="s">
        <v>61</v>
      </c>
      <c r="F114" s="24">
        <v>1814</v>
      </c>
      <c r="G114" s="24">
        <v>653</v>
      </c>
      <c r="H114" s="24">
        <v>363</v>
      </c>
      <c r="I114" s="24">
        <v>25396</v>
      </c>
      <c r="J114" s="24">
        <v>25286</v>
      </c>
      <c r="K114" s="24">
        <v>39</v>
      </c>
      <c r="L114" s="22" t="s">
        <v>58</v>
      </c>
      <c r="M114" s="21" t="s">
        <v>552</v>
      </c>
      <c r="N114" s="21"/>
      <c r="O114" s="21" t="s">
        <v>17</v>
      </c>
    </row>
    <row r="115" spans="1:15" ht="29.4" customHeight="1" x14ac:dyDescent="0.3">
      <c r="A115" s="21" t="s">
        <v>201</v>
      </c>
      <c r="B115" s="22" t="s">
        <v>30</v>
      </c>
      <c r="C115" s="23" t="s">
        <v>202</v>
      </c>
      <c r="D115" s="22" t="s">
        <v>41</v>
      </c>
      <c r="E115" s="22" t="s">
        <v>84</v>
      </c>
      <c r="F115" s="24">
        <v>3068</v>
      </c>
      <c r="G115" s="24">
        <v>137</v>
      </c>
      <c r="H115" s="24">
        <v>329</v>
      </c>
      <c r="I115" s="24">
        <v>39884</v>
      </c>
      <c r="J115" s="24">
        <v>39404</v>
      </c>
      <c r="K115" s="24">
        <v>266</v>
      </c>
      <c r="L115" s="22" t="s">
        <v>34</v>
      </c>
      <c r="M115" s="21"/>
      <c r="N115" s="21"/>
      <c r="O115" s="21" t="s">
        <v>22</v>
      </c>
    </row>
    <row r="116" spans="1:15" ht="29.4" customHeight="1" x14ac:dyDescent="0.3">
      <c r="A116" s="21" t="s">
        <v>327</v>
      </c>
      <c r="B116" s="22" t="s">
        <v>30</v>
      </c>
      <c r="C116" s="23" t="s">
        <v>202</v>
      </c>
      <c r="D116" s="22" t="s">
        <v>41</v>
      </c>
      <c r="E116" s="22" t="s">
        <v>84</v>
      </c>
      <c r="F116" s="24">
        <v>985</v>
      </c>
      <c r="G116" s="24">
        <v>932</v>
      </c>
      <c r="H116" s="24">
        <v>287</v>
      </c>
      <c r="I116" s="24">
        <v>6895</v>
      </c>
      <c r="J116" s="24">
        <v>6757</v>
      </c>
      <c r="K116" s="24">
        <v>64</v>
      </c>
      <c r="L116" s="22" t="s">
        <v>58</v>
      </c>
      <c r="M116" s="21"/>
      <c r="N116" s="21"/>
      <c r="O116" s="21" t="s">
        <v>35</v>
      </c>
    </row>
    <row r="117" spans="1:15" ht="29.4" customHeight="1" x14ac:dyDescent="0.3">
      <c r="A117" s="21" t="s">
        <v>468</v>
      </c>
      <c r="B117" s="22" t="s">
        <v>39</v>
      </c>
      <c r="C117" s="23" t="s">
        <v>469</v>
      </c>
      <c r="D117" s="22" t="s">
        <v>48</v>
      </c>
      <c r="E117" s="22" t="s">
        <v>55</v>
      </c>
      <c r="F117" s="24">
        <v>400</v>
      </c>
      <c r="G117" s="24">
        <v>680</v>
      </c>
      <c r="H117" s="24">
        <v>434</v>
      </c>
      <c r="I117" s="24">
        <v>6400</v>
      </c>
      <c r="J117" s="24">
        <v>5472</v>
      </c>
      <c r="K117" s="24">
        <v>160</v>
      </c>
      <c r="L117" s="22" t="s">
        <v>58</v>
      </c>
      <c r="M117" s="21"/>
      <c r="N117" s="21"/>
      <c r="O117" s="21" t="s">
        <v>22</v>
      </c>
    </row>
    <row r="118" spans="1:15" ht="29.4" customHeight="1" x14ac:dyDescent="0.3">
      <c r="A118" s="21" t="s">
        <v>509</v>
      </c>
      <c r="B118" s="22" t="s">
        <v>24</v>
      </c>
      <c r="C118" s="23" t="s">
        <v>510</v>
      </c>
      <c r="D118" s="22" t="s">
        <v>32</v>
      </c>
      <c r="E118" s="22" t="s">
        <v>149</v>
      </c>
      <c r="F118" s="24">
        <v>3641</v>
      </c>
      <c r="G118" s="24">
        <v>226</v>
      </c>
      <c r="H118" s="24">
        <v>46</v>
      </c>
      <c r="I118" s="24">
        <v>40051</v>
      </c>
      <c r="J118" s="24">
        <v>39319</v>
      </c>
      <c r="K118" s="24">
        <v>296</v>
      </c>
      <c r="L118" s="22" t="s">
        <v>34</v>
      </c>
      <c r="M118" s="21"/>
      <c r="N118" s="21"/>
      <c r="O118" s="21" t="s">
        <v>35</v>
      </c>
    </row>
    <row r="119" spans="1:15" ht="29.4" customHeight="1" x14ac:dyDescent="0.3">
      <c r="A119" s="21" t="s">
        <v>209</v>
      </c>
      <c r="B119" s="22" t="s">
        <v>24</v>
      </c>
      <c r="C119" s="23" t="s">
        <v>210</v>
      </c>
      <c r="D119" s="22" t="s">
        <v>70</v>
      </c>
      <c r="E119" s="22" t="s">
        <v>211</v>
      </c>
      <c r="F119" s="24">
        <v>1094</v>
      </c>
      <c r="G119" s="24">
        <v>472</v>
      </c>
      <c r="H119" s="24">
        <v>21</v>
      </c>
      <c r="I119" s="24">
        <v>9846</v>
      </c>
      <c r="J119" s="24">
        <v>9609</v>
      </c>
      <c r="K119" s="24">
        <v>112</v>
      </c>
      <c r="L119" s="22" t="s">
        <v>34</v>
      </c>
      <c r="M119" s="21"/>
      <c r="N119" s="21"/>
      <c r="O119" s="8"/>
    </row>
    <row r="120" spans="1:15" ht="29.4" customHeight="1" x14ac:dyDescent="0.3">
      <c r="A120" s="21" t="s">
        <v>506</v>
      </c>
      <c r="B120" s="22" t="s">
        <v>30</v>
      </c>
      <c r="C120" s="23" t="s">
        <v>507</v>
      </c>
      <c r="D120" s="22" t="s">
        <v>70</v>
      </c>
      <c r="E120" s="22" t="s">
        <v>81</v>
      </c>
      <c r="F120" s="24">
        <v>3575</v>
      </c>
      <c r="G120" s="24">
        <v>749</v>
      </c>
      <c r="H120" s="24">
        <v>111</v>
      </c>
      <c r="I120" s="24">
        <v>21450</v>
      </c>
      <c r="J120" s="24">
        <v>20785</v>
      </c>
      <c r="K120" s="24">
        <v>195</v>
      </c>
      <c r="L120" s="22" t="s">
        <v>34</v>
      </c>
      <c r="M120" s="21"/>
      <c r="N120" s="21"/>
      <c r="O120" s="21" t="s">
        <v>22</v>
      </c>
    </row>
    <row r="121" spans="1:15" ht="29.4" customHeight="1" x14ac:dyDescent="0.3">
      <c r="A121" s="21" t="s">
        <v>191</v>
      </c>
      <c r="B121" s="22" t="s">
        <v>39</v>
      </c>
      <c r="C121" s="23" t="s">
        <v>192</v>
      </c>
      <c r="D121" s="22" t="s">
        <v>32</v>
      </c>
      <c r="E121" s="22" t="s">
        <v>67</v>
      </c>
      <c r="F121" s="24">
        <v>4126</v>
      </c>
      <c r="G121" s="24">
        <v>426</v>
      </c>
      <c r="H121" s="24">
        <v>486</v>
      </c>
      <c r="I121" s="24">
        <v>78394</v>
      </c>
      <c r="J121" s="24">
        <v>77798</v>
      </c>
      <c r="K121" s="24">
        <v>88</v>
      </c>
      <c r="L121" s="22" t="s">
        <v>58</v>
      </c>
      <c r="M121" s="21"/>
      <c r="N121" s="21"/>
      <c r="O121" s="21" t="s">
        <v>35</v>
      </c>
    </row>
    <row r="122" spans="1:15" ht="29.4" customHeight="1" x14ac:dyDescent="0.3">
      <c r="A122" s="21" t="s">
        <v>242</v>
      </c>
      <c r="B122" s="22" t="s">
        <v>24</v>
      </c>
      <c r="C122" s="23" t="s">
        <v>192</v>
      </c>
      <c r="D122" s="22" t="s">
        <v>70</v>
      </c>
      <c r="E122" s="22" t="s">
        <v>211</v>
      </c>
      <c r="F122" s="24">
        <v>4450</v>
      </c>
      <c r="G122" s="24">
        <v>983</v>
      </c>
      <c r="H122" s="24">
        <v>143</v>
      </c>
      <c r="I122" s="24">
        <v>75650</v>
      </c>
      <c r="J122" s="24">
        <v>75008</v>
      </c>
      <c r="K122" s="24">
        <v>12</v>
      </c>
      <c r="L122" s="22" t="s">
        <v>58</v>
      </c>
      <c r="M122" s="21"/>
      <c r="N122" s="21"/>
      <c r="O122" s="21" t="s">
        <v>28</v>
      </c>
    </row>
    <row r="123" spans="1:15" ht="29.4" customHeight="1" x14ac:dyDescent="0.3">
      <c r="A123" s="21" t="s">
        <v>204</v>
      </c>
      <c r="B123" s="22" t="s">
        <v>30</v>
      </c>
      <c r="C123" s="23" t="s">
        <v>205</v>
      </c>
      <c r="D123" s="22" t="s">
        <v>32</v>
      </c>
      <c r="E123" s="22" t="s">
        <v>33</v>
      </c>
      <c r="F123" s="24">
        <v>1816</v>
      </c>
      <c r="G123" s="24">
        <v>29</v>
      </c>
      <c r="H123" s="24">
        <v>41</v>
      </c>
      <c r="I123" s="24">
        <v>19976</v>
      </c>
      <c r="J123" s="24">
        <v>19262</v>
      </c>
      <c r="K123" s="24">
        <v>283</v>
      </c>
      <c r="L123" s="22" t="s">
        <v>27</v>
      </c>
      <c r="M123" s="21"/>
      <c r="N123" s="21"/>
      <c r="O123" s="21" t="s">
        <v>28</v>
      </c>
    </row>
    <row r="124" spans="1:15" ht="29.4" customHeight="1" x14ac:dyDescent="0.3">
      <c r="A124" s="21" t="s">
        <v>161</v>
      </c>
      <c r="B124" s="22" t="s">
        <v>13</v>
      </c>
      <c r="C124" s="23" t="s">
        <v>162</v>
      </c>
      <c r="D124" s="22" t="s">
        <v>70</v>
      </c>
      <c r="E124" s="22" t="s">
        <v>140</v>
      </c>
      <c r="F124" s="24">
        <v>2825</v>
      </c>
      <c r="G124" s="24">
        <v>535</v>
      </c>
      <c r="H124" s="24">
        <v>295</v>
      </c>
      <c r="I124" s="24">
        <v>45200</v>
      </c>
      <c r="J124" s="24">
        <v>44739</v>
      </c>
      <c r="K124" s="24">
        <v>169</v>
      </c>
      <c r="L124" s="22" t="s">
        <v>27</v>
      </c>
      <c r="M124" s="21"/>
      <c r="N124" s="21"/>
      <c r="O124" s="21" t="s">
        <v>17</v>
      </c>
    </row>
    <row r="125" spans="1:15" ht="29.4" customHeight="1" x14ac:dyDescent="0.3">
      <c r="A125" s="21" t="s">
        <v>227</v>
      </c>
      <c r="B125" s="22" t="s">
        <v>13</v>
      </c>
      <c r="C125" s="23" t="s">
        <v>162</v>
      </c>
      <c r="D125" s="22" t="s">
        <v>32</v>
      </c>
      <c r="E125" s="22" t="s">
        <v>144</v>
      </c>
      <c r="F125" s="24">
        <v>3801</v>
      </c>
      <c r="G125" s="24">
        <v>967</v>
      </c>
      <c r="H125" s="24">
        <v>401</v>
      </c>
      <c r="I125" s="24">
        <v>38010</v>
      </c>
      <c r="J125" s="24">
        <v>37625</v>
      </c>
      <c r="K125" s="24">
        <v>236</v>
      </c>
      <c r="L125" s="22" t="s">
        <v>58</v>
      </c>
      <c r="M125" s="21"/>
      <c r="N125" s="21"/>
      <c r="O125" s="21" t="s">
        <v>28</v>
      </c>
    </row>
    <row r="126" spans="1:15" ht="29.4" customHeight="1" x14ac:dyDescent="0.3">
      <c r="A126" s="21" t="s">
        <v>278</v>
      </c>
      <c r="B126" s="22" t="s">
        <v>39</v>
      </c>
      <c r="C126" s="23" t="s">
        <v>162</v>
      </c>
      <c r="D126" s="22" t="s">
        <v>32</v>
      </c>
      <c r="E126" s="22" t="s">
        <v>67</v>
      </c>
      <c r="F126" s="24">
        <v>780</v>
      </c>
      <c r="G126" s="24">
        <v>928</v>
      </c>
      <c r="H126" s="24">
        <v>301</v>
      </c>
      <c r="I126" s="24">
        <v>8580</v>
      </c>
      <c r="J126" s="24">
        <v>8081</v>
      </c>
      <c r="K126" s="24">
        <v>91</v>
      </c>
      <c r="L126" s="22" t="s">
        <v>34</v>
      </c>
      <c r="M126" s="21"/>
      <c r="N126" s="21"/>
      <c r="O126" s="21" t="s">
        <v>28</v>
      </c>
    </row>
    <row r="127" spans="1:15" ht="29.4" customHeight="1" x14ac:dyDescent="0.3">
      <c r="A127" s="21" t="s">
        <v>292</v>
      </c>
      <c r="B127" s="22" t="s">
        <v>30</v>
      </c>
      <c r="C127" s="23" t="s">
        <v>162</v>
      </c>
      <c r="D127" s="22" t="s">
        <v>15</v>
      </c>
      <c r="E127" s="22" t="s">
        <v>78</v>
      </c>
      <c r="F127" s="24">
        <v>4840</v>
      </c>
      <c r="G127" s="24">
        <v>658</v>
      </c>
      <c r="H127" s="24">
        <v>211</v>
      </c>
      <c r="I127" s="24">
        <v>43560</v>
      </c>
      <c r="J127" s="24">
        <v>43225</v>
      </c>
      <c r="K127" s="24">
        <v>57</v>
      </c>
      <c r="L127" s="22" t="s">
        <v>58</v>
      </c>
      <c r="M127" s="21"/>
      <c r="N127" s="21"/>
      <c r="O127" s="21" t="s">
        <v>28</v>
      </c>
    </row>
    <row r="128" spans="1:15" ht="29.4" customHeight="1" x14ac:dyDescent="0.3">
      <c r="A128" s="21" t="s">
        <v>316</v>
      </c>
      <c r="B128" s="22" t="s">
        <v>30</v>
      </c>
      <c r="C128" s="23" t="s">
        <v>162</v>
      </c>
      <c r="D128" s="22" t="s">
        <v>15</v>
      </c>
      <c r="E128" s="22" t="s">
        <v>78</v>
      </c>
      <c r="F128" s="24">
        <v>3256</v>
      </c>
      <c r="G128" s="24">
        <v>459</v>
      </c>
      <c r="H128" s="24">
        <v>266</v>
      </c>
      <c r="I128" s="24">
        <v>26048</v>
      </c>
      <c r="J128" s="24">
        <v>25529</v>
      </c>
      <c r="K128" s="24">
        <v>143</v>
      </c>
      <c r="L128" s="22" t="s">
        <v>27</v>
      </c>
      <c r="M128" s="21"/>
      <c r="N128" s="21"/>
      <c r="O128" s="21" t="s">
        <v>22</v>
      </c>
    </row>
    <row r="129" spans="1:15" ht="29.4" customHeight="1" x14ac:dyDescent="0.3">
      <c r="A129" s="21" t="s">
        <v>519</v>
      </c>
      <c r="B129" s="22" t="s">
        <v>24</v>
      </c>
      <c r="C129" s="23" t="s">
        <v>162</v>
      </c>
      <c r="D129" s="22" t="s">
        <v>70</v>
      </c>
      <c r="E129" s="22" t="s">
        <v>211</v>
      </c>
      <c r="F129" s="24">
        <v>4275</v>
      </c>
      <c r="G129" s="24">
        <v>680</v>
      </c>
      <c r="H129" s="24">
        <v>385</v>
      </c>
      <c r="I129" s="24">
        <v>64125</v>
      </c>
      <c r="J129" s="24">
        <v>63650</v>
      </c>
      <c r="K129" s="24">
        <v>104</v>
      </c>
      <c r="L129" s="22" t="s">
        <v>34</v>
      </c>
      <c r="M129" s="21" t="s">
        <v>27</v>
      </c>
      <c r="N129" s="21" t="s">
        <v>551</v>
      </c>
      <c r="O129" s="21" t="s">
        <v>35</v>
      </c>
    </row>
    <row r="130" spans="1:15" ht="29.4" customHeight="1" x14ac:dyDescent="0.3">
      <c r="A130" s="21" t="s">
        <v>330</v>
      </c>
      <c r="B130" s="22" t="s">
        <v>39</v>
      </c>
      <c r="C130" s="23" t="s">
        <v>331</v>
      </c>
      <c r="D130" s="22" t="s">
        <v>41</v>
      </c>
      <c r="E130" s="22" t="s">
        <v>42</v>
      </c>
      <c r="F130" s="24">
        <v>3352</v>
      </c>
      <c r="G130" s="24">
        <v>941</v>
      </c>
      <c r="H130" s="24">
        <v>482</v>
      </c>
      <c r="I130" s="24">
        <v>43576</v>
      </c>
      <c r="J130" s="24">
        <v>43338</v>
      </c>
      <c r="K130" s="24">
        <v>240</v>
      </c>
      <c r="L130" s="22" t="s">
        <v>58</v>
      </c>
      <c r="M130" s="21"/>
      <c r="N130" s="21"/>
      <c r="O130" s="21" t="s">
        <v>22</v>
      </c>
    </row>
    <row r="131" spans="1:15" ht="29.4" customHeight="1" x14ac:dyDescent="0.3">
      <c r="A131" s="21" t="s">
        <v>397</v>
      </c>
      <c r="B131" s="22" t="s">
        <v>13</v>
      </c>
      <c r="C131" s="23" t="s">
        <v>331</v>
      </c>
      <c r="D131" s="22" t="s">
        <v>15</v>
      </c>
      <c r="E131" s="22" t="s">
        <v>16</v>
      </c>
      <c r="F131" s="24">
        <v>4782</v>
      </c>
      <c r="G131" s="24">
        <v>721</v>
      </c>
      <c r="H131" s="24">
        <v>82</v>
      </c>
      <c r="I131" s="24">
        <v>86076</v>
      </c>
      <c r="J131" s="24">
        <v>85339</v>
      </c>
      <c r="K131" s="24">
        <v>19</v>
      </c>
      <c r="L131" s="22" t="s">
        <v>34</v>
      </c>
      <c r="M131" s="21"/>
      <c r="N131" s="21"/>
      <c r="O131" s="21" t="s">
        <v>17</v>
      </c>
    </row>
    <row r="132" spans="1:15" ht="29.4" customHeight="1" x14ac:dyDescent="0.3">
      <c r="A132" s="21" t="s">
        <v>454</v>
      </c>
      <c r="B132" s="22" t="s">
        <v>30</v>
      </c>
      <c r="C132" s="23" t="s">
        <v>331</v>
      </c>
      <c r="D132" s="22" t="s">
        <v>32</v>
      </c>
      <c r="E132" s="22" t="s">
        <v>33</v>
      </c>
      <c r="F132" s="24">
        <v>3770</v>
      </c>
      <c r="G132" s="24">
        <v>917</v>
      </c>
      <c r="H132" s="24">
        <v>129</v>
      </c>
      <c r="I132" s="24">
        <v>71630</v>
      </c>
      <c r="J132" s="24">
        <v>71322</v>
      </c>
      <c r="K132" s="24">
        <v>76</v>
      </c>
      <c r="L132" s="22" t="s">
        <v>58</v>
      </c>
      <c r="M132" s="21"/>
      <c r="N132" s="21"/>
      <c r="O132" s="21" t="s">
        <v>17</v>
      </c>
    </row>
    <row r="133" spans="1:15" ht="29.4" customHeight="1" x14ac:dyDescent="0.3">
      <c r="A133" s="21" t="s">
        <v>68</v>
      </c>
      <c r="B133" s="22" t="s">
        <v>39</v>
      </c>
      <c r="C133" s="23" t="s">
        <v>69</v>
      </c>
      <c r="D133" s="22" t="s">
        <v>70</v>
      </c>
      <c r="E133" s="22" t="s">
        <v>71</v>
      </c>
      <c r="F133" s="24">
        <v>3888</v>
      </c>
      <c r="G133" s="24">
        <v>604</v>
      </c>
      <c r="H133" s="24">
        <v>128</v>
      </c>
      <c r="I133" s="24">
        <v>77760</v>
      </c>
      <c r="J133" s="24">
        <v>77167</v>
      </c>
      <c r="K133" s="24">
        <v>20</v>
      </c>
      <c r="L133" s="22" t="s">
        <v>58</v>
      </c>
      <c r="M133" s="21"/>
      <c r="N133" s="21"/>
      <c r="O133" s="21" t="s">
        <v>17</v>
      </c>
    </row>
    <row r="134" spans="1:15" ht="29.4" customHeight="1" x14ac:dyDescent="0.3">
      <c r="A134" s="21" t="s">
        <v>548</v>
      </c>
      <c r="B134" s="22" t="s">
        <v>39</v>
      </c>
      <c r="C134" s="23" t="s">
        <v>69</v>
      </c>
      <c r="D134" s="22" t="s">
        <v>48</v>
      </c>
      <c r="E134" s="22" t="s">
        <v>55</v>
      </c>
      <c r="F134" s="24">
        <v>4303</v>
      </c>
      <c r="G134" s="24">
        <v>451</v>
      </c>
      <c r="H134" s="24">
        <v>286</v>
      </c>
      <c r="I134" s="24">
        <v>86060</v>
      </c>
      <c r="J134" s="24">
        <v>85823</v>
      </c>
      <c r="K134" s="24">
        <v>14</v>
      </c>
      <c r="L134" s="22" t="s">
        <v>27</v>
      </c>
      <c r="M134" s="21"/>
      <c r="N134" s="21"/>
      <c r="O134" s="21" t="s">
        <v>28</v>
      </c>
    </row>
    <row r="135" spans="1:15" ht="29.4" customHeight="1" x14ac:dyDescent="0.3">
      <c r="A135" s="21" t="s">
        <v>464</v>
      </c>
      <c r="B135" s="22" t="s">
        <v>24</v>
      </c>
      <c r="C135" s="23" t="s">
        <v>465</v>
      </c>
      <c r="D135" s="22" t="s">
        <v>70</v>
      </c>
      <c r="E135" s="22" t="s">
        <v>211</v>
      </c>
      <c r="F135" s="24">
        <v>4661</v>
      </c>
      <c r="G135" s="24">
        <v>935</v>
      </c>
      <c r="H135" s="24">
        <v>433</v>
      </c>
      <c r="I135" s="24">
        <v>23305</v>
      </c>
      <c r="J135" s="24">
        <v>22583</v>
      </c>
      <c r="K135" s="24">
        <v>63</v>
      </c>
      <c r="L135" s="22" t="s">
        <v>58</v>
      </c>
      <c r="M135" s="21"/>
      <c r="N135" s="21"/>
      <c r="O135" s="21" t="s">
        <v>28</v>
      </c>
    </row>
    <row r="136" spans="1:15" ht="29.4" customHeight="1" x14ac:dyDescent="0.3">
      <c r="A136" s="21" t="s">
        <v>490</v>
      </c>
      <c r="B136" s="22" t="s">
        <v>30</v>
      </c>
      <c r="C136" s="23" t="s">
        <v>491</v>
      </c>
      <c r="D136" s="22" t="s">
        <v>48</v>
      </c>
      <c r="E136" s="22" t="s">
        <v>208</v>
      </c>
      <c r="F136" s="24">
        <v>4853</v>
      </c>
      <c r="G136" s="24">
        <v>837</v>
      </c>
      <c r="H136" s="24">
        <v>340</v>
      </c>
      <c r="I136" s="24">
        <v>72795</v>
      </c>
      <c r="J136" s="24">
        <v>72237</v>
      </c>
      <c r="K136" s="24">
        <v>170</v>
      </c>
      <c r="L136" s="22" t="s">
        <v>34</v>
      </c>
      <c r="M136" s="21"/>
      <c r="N136" s="21"/>
      <c r="O136" s="21" t="s">
        <v>17</v>
      </c>
    </row>
    <row r="137" spans="1:15" ht="29.4" customHeight="1" x14ac:dyDescent="0.3">
      <c r="A137" s="21" t="s">
        <v>193</v>
      </c>
      <c r="B137" s="22" t="s">
        <v>24</v>
      </c>
      <c r="C137" s="23" t="s">
        <v>194</v>
      </c>
      <c r="D137" s="22" t="s">
        <v>15</v>
      </c>
      <c r="E137" s="22" t="s">
        <v>26</v>
      </c>
      <c r="F137" s="24">
        <v>1855</v>
      </c>
      <c r="G137" s="24">
        <v>200</v>
      </c>
      <c r="H137" s="24">
        <v>174</v>
      </c>
      <c r="I137" s="24">
        <v>16695</v>
      </c>
      <c r="J137" s="24">
        <v>16330</v>
      </c>
      <c r="K137" s="24">
        <v>123</v>
      </c>
      <c r="L137" s="22" t="s">
        <v>27</v>
      </c>
      <c r="M137" s="21"/>
      <c r="N137" s="21"/>
      <c r="O137" s="21" t="s">
        <v>28</v>
      </c>
    </row>
    <row r="138" spans="1:15" ht="29.4" customHeight="1" x14ac:dyDescent="0.3">
      <c r="A138" s="21" t="s">
        <v>312</v>
      </c>
      <c r="B138" s="22" t="s">
        <v>24</v>
      </c>
      <c r="C138" s="23" t="s">
        <v>194</v>
      </c>
      <c r="D138" s="22" t="s">
        <v>32</v>
      </c>
      <c r="E138" s="22" t="s">
        <v>149</v>
      </c>
      <c r="F138" s="24">
        <v>4929</v>
      </c>
      <c r="G138" s="24">
        <v>749</v>
      </c>
      <c r="H138" s="24">
        <v>452</v>
      </c>
      <c r="I138" s="24">
        <v>93651</v>
      </c>
      <c r="J138" s="24">
        <v>92810</v>
      </c>
      <c r="K138" s="24">
        <v>66</v>
      </c>
      <c r="L138" s="22" t="s">
        <v>34</v>
      </c>
      <c r="M138" s="21"/>
      <c r="N138" s="21"/>
      <c r="O138" s="21" t="s">
        <v>35</v>
      </c>
    </row>
    <row r="139" spans="1:15" ht="29.4" customHeight="1" x14ac:dyDescent="0.3">
      <c r="A139" s="21" t="s">
        <v>304</v>
      </c>
      <c r="B139" s="22" t="s">
        <v>24</v>
      </c>
      <c r="C139" s="23" t="s">
        <v>305</v>
      </c>
      <c r="D139" s="22" t="s">
        <v>20</v>
      </c>
      <c r="E139" s="22" t="s">
        <v>99</v>
      </c>
      <c r="F139" s="24">
        <v>2746</v>
      </c>
      <c r="G139" s="24">
        <v>156</v>
      </c>
      <c r="H139" s="24">
        <v>203</v>
      </c>
      <c r="I139" s="24">
        <v>32952</v>
      </c>
      <c r="J139" s="24">
        <v>32147</v>
      </c>
      <c r="K139" s="24">
        <v>147</v>
      </c>
      <c r="L139" s="22" t="s">
        <v>34</v>
      </c>
      <c r="M139" s="21"/>
      <c r="N139" s="21"/>
      <c r="O139" s="21" t="s">
        <v>17</v>
      </c>
    </row>
    <row r="140" spans="1:15" ht="29.4" customHeight="1" x14ac:dyDescent="0.3">
      <c r="A140" s="21" t="s">
        <v>38</v>
      </c>
      <c r="B140" s="22" t="s">
        <v>39</v>
      </c>
      <c r="C140" s="23" t="s">
        <v>40</v>
      </c>
      <c r="D140" s="22" t="s">
        <v>41</v>
      </c>
      <c r="E140" s="22" t="s">
        <v>42</v>
      </c>
      <c r="F140" s="24">
        <v>2945</v>
      </c>
      <c r="G140" s="24">
        <v>930</v>
      </c>
      <c r="H140" s="24">
        <v>355</v>
      </c>
      <c r="I140" s="24">
        <v>23560</v>
      </c>
      <c r="J140" s="24">
        <v>23275</v>
      </c>
      <c r="K140" s="24">
        <v>256</v>
      </c>
      <c r="L140" s="22" t="s">
        <v>27</v>
      </c>
      <c r="M140" s="21"/>
      <c r="N140" s="21"/>
      <c r="O140" s="21" t="s">
        <v>22</v>
      </c>
    </row>
    <row r="141" spans="1:15" ht="29.4" customHeight="1" x14ac:dyDescent="0.3">
      <c r="A141" s="21" t="s">
        <v>136</v>
      </c>
      <c r="B141" s="22" t="s">
        <v>39</v>
      </c>
      <c r="C141" s="23" t="s">
        <v>137</v>
      </c>
      <c r="D141" s="22" t="s">
        <v>70</v>
      </c>
      <c r="E141" s="22" t="s">
        <v>71</v>
      </c>
      <c r="F141" s="24">
        <v>3371</v>
      </c>
      <c r="G141" s="24">
        <v>106</v>
      </c>
      <c r="H141" s="24">
        <v>327</v>
      </c>
      <c r="I141" s="24">
        <v>50565</v>
      </c>
      <c r="J141" s="24">
        <v>49816</v>
      </c>
      <c r="K141" s="24">
        <v>176</v>
      </c>
      <c r="L141" s="22" t="s">
        <v>58</v>
      </c>
      <c r="M141" s="21"/>
      <c r="N141" s="21"/>
      <c r="O141" s="21" t="s">
        <v>17</v>
      </c>
    </row>
    <row r="142" spans="1:15" ht="29.4" customHeight="1" x14ac:dyDescent="0.3">
      <c r="A142" s="21" t="s">
        <v>273</v>
      </c>
      <c r="B142" s="22" t="s">
        <v>13</v>
      </c>
      <c r="C142" s="23" t="s">
        <v>274</v>
      </c>
      <c r="D142" s="22" t="s">
        <v>48</v>
      </c>
      <c r="E142" s="22" t="s">
        <v>127</v>
      </c>
      <c r="F142" s="24">
        <v>1606</v>
      </c>
      <c r="G142" s="24">
        <v>451</v>
      </c>
      <c r="H142" s="24">
        <v>405</v>
      </c>
      <c r="I142" s="24">
        <v>20878</v>
      </c>
      <c r="J142" s="24">
        <v>20190</v>
      </c>
      <c r="K142" s="24">
        <v>219</v>
      </c>
      <c r="L142" s="22" t="s">
        <v>34</v>
      </c>
      <c r="M142" s="21"/>
      <c r="N142" s="21"/>
      <c r="O142" s="21" t="s">
        <v>35</v>
      </c>
    </row>
    <row r="143" spans="1:15" ht="29.4" customHeight="1" x14ac:dyDescent="0.3">
      <c r="A143" s="21" t="s">
        <v>275</v>
      </c>
      <c r="B143" s="22" t="s">
        <v>39</v>
      </c>
      <c r="C143" s="23" t="s">
        <v>274</v>
      </c>
      <c r="D143" s="22" t="s">
        <v>48</v>
      </c>
      <c r="E143" s="22" t="s">
        <v>55</v>
      </c>
      <c r="F143" s="24">
        <v>4551</v>
      </c>
      <c r="G143" s="24">
        <v>714</v>
      </c>
      <c r="H143" s="24">
        <v>207</v>
      </c>
      <c r="I143" s="24">
        <v>68265</v>
      </c>
      <c r="J143" s="24">
        <v>67754</v>
      </c>
      <c r="K143" s="24">
        <v>57</v>
      </c>
      <c r="L143" s="22" t="s">
        <v>58</v>
      </c>
      <c r="M143" s="21"/>
      <c r="N143" s="21"/>
      <c r="O143" s="21" t="s">
        <v>28</v>
      </c>
    </row>
    <row r="144" spans="1:15" ht="29.4" customHeight="1" x14ac:dyDescent="0.3">
      <c r="A144" s="21" t="s">
        <v>503</v>
      </c>
      <c r="B144" s="22" t="s">
        <v>30</v>
      </c>
      <c r="C144" s="23" t="s">
        <v>504</v>
      </c>
      <c r="D144" s="22" t="s">
        <v>70</v>
      </c>
      <c r="E144" s="22" t="s">
        <v>81</v>
      </c>
      <c r="F144" s="24">
        <v>4561</v>
      </c>
      <c r="G144" s="24">
        <v>51</v>
      </c>
      <c r="H144" s="24">
        <v>441</v>
      </c>
      <c r="I144" s="24">
        <v>22805</v>
      </c>
      <c r="J144" s="24">
        <v>21890</v>
      </c>
      <c r="K144" s="24">
        <v>45</v>
      </c>
      <c r="L144" s="22" t="s">
        <v>27</v>
      </c>
      <c r="M144" s="21"/>
      <c r="N144" s="21"/>
      <c r="O144" s="21" t="s">
        <v>22</v>
      </c>
    </row>
    <row r="145" spans="1:15" ht="29.4" customHeight="1" x14ac:dyDescent="0.3">
      <c r="A145" s="21" t="s">
        <v>89</v>
      </c>
      <c r="B145" s="22" t="s">
        <v>39</v>
      </c>
      <c r="C145" s="23" t="s">
        <v>90</v>
      </c>
      <c r="D145" s="22" t="s">
        <v>70</v>
      </c>
      <c r="E145" s="22" t="s">
        <v>71</v>
      </c>
      <c r="F145" s="24">
        <v>1606</v>
      </c>
      <c r="G145" s="24">
        <v>547</v>
      </c>
      <c r="H145" s="24">
        <v>316</v>
      </c>
      <c r="I145" s="24">
        <v>32120</v>
      </c>
      <c r="J145" s="24">
        <v>31736</v>
      </c>
      <c r="K145" s="24">
        <v>225</v>
      </c>
      <c r="L145" s="22" t="s">
        <v>27</v>
      </c>
      <c r="M145" s="21" t="s">
        <v>551</v>
      </c>
      <c r="N145" s="21"/>
      <c r="O145" s="21" t="s">
        <v>22</v>
      </c>
    </row>
    <row r="146" spans="1:15" ht="29.4" customHeight="1" x14ac:dyDescent="0.3">
      <c r="A146" s="21" t="s">
        <v>536</v>
      </c>
      <c r="B146" s="22" t="s">
        <v>39</v>
      </c>
      <c r="C146" s="23" t="s">
        <v>90</v>
      </c>
      <c r="D146" s="22" t="s">
        <v>70</v>
      </c>
      <c r="E146" s="22" t="s">
        <v>71</v>
      </c>
      <c r="F146" s="24">
        <v>4663</v>
      </c>
      <c r="G146" s="24">
        <v>145</v>
      </c>
      <c r="H146" s="24">
        <v>225</v>
      </c>
      <c r="I146" s="24">
        <v>69945</v>
      </c>
      <c r="J146" s="24">
        <v>69596</v>
      </c>
      <c r="K146" s="24">
        <v>35</v>
      </c>
      <c r="L146" s="22" t="s">
        <v>34</v>
      </c>
      <c r="M146" s="21"/>
      <c r="N146" s="21"/>
      <c r="O146" s="21" t="s">
        <v>35</v>
      </c>
    </row>
    <row r="147" spans="1:15" ht="29.4" customHeight="1" x14ac:dyDescent="0.3">
      <c r="A147" s="21" t="s">
        <v>197</v>
      </c>
      <c r="B147" s="22" t="s">
        <v>13</v>
      </c>
      <c r="C147" s="23" t="s">
        <v>198</v>
      </c>
      <c r="D147" s="22" t="s">
        <v>32</v>
      </c>
      <c r="E147" s="22" t="s">
        <v>144</v>
      </c>
      <c r="F147" s="24">
        <v>1121</v>
      </c>
      <c r="G147" s="24">
        <v>135</v>
      </c>
      <c r="H147" s="24">
        <v>18</v>
      </c>
      <c r="I147" s="24">
        <v>15694</v>
      </c>
      <c r="J147" s="24">
        <v>14957</v>
      </c>
      <c r="K147" s="24">
        <v>99</v>
      </c>
      <c r="L147" s="22" t="s">
        <v>27</v>
      </c>
      <c r="M147" s="21"/>
      <c r="N147" s="21"/>
      <c r="O147" s="21" t="s">
        <v>35</v>
      </c>
    </row>
    <row r="148" spans="1:15" ht="29.4" customHeight="1" x14ac:dyDescent="0.3">
      <c r="A148" s="21" t="s">
        <v>230</v>
      </c>
      <c r="B148" s="22" t="s">
        <v>30</v>
      </c>
      <c r="C148" s="23" t="s">
        <v>198</v>
      </c>
      <c r="D148" s="22" t="s">
        <v>48</v>
      </c>
      <c r="E148" s="22" t="s">
        <v>208</v>
      </c>
      <c r="F148" s="24">
        <v>2647</v>
      </c>
      <c r="G148" s="24">
        <v>304</v>
      </c>
      <c r="H148" s="24">
        <v>170</v>
      </c>
      <c r="I148" s="24">
        <v>18529</v>
      </c>
      <c r="J148" s="24">
        <v>17841</v>
      </c>
      <c r="K148" s="24">
        <v>46</v>
      </c>
      <c r="L148" s="22" t="s">
        <v>58</v>
      </c>
      <c r="M148" s="21"/>
      <c r="N148" s="21"/>
      <c r="O148" s="21" t="s">
        <v>28</v>
      </c>
    </row>
    <row r="149" spans="1:15" ht="29.4" customHeight="1" x14ac:dyDescent="0.3">
      <c r="A149" s="21" t="s">
        <v>368</v>
      </c>
      <c r="B149" s="22" t="s">
        <v>30</v>
      </c>
      <c r="C149" s="23" t="s">
        <v>198</v>
      </c>
      <c r="D149" s="22" t="s">
        <v>70</v>
      </c>
      <c r="E149" s="22" t="s">
        <v>81</v>
      </c>
      <c r="F149" s="24">
        <v>129</v>
      </c>
      <c r="G149" s="24">
        <v>643</v>
      </c>
      <c r="H149" s="24">
        <v>136</v>
      </c>
      <c r="I149" s="24">
        <v>1290</v>
      </c>
      <c r="J149" s="24">
        <v>839</v>
      </c>
      <c r="K149" s="24">
        <v>238</v>
      </c>
      <c r="L149" s="22" t="s">
        <v>27</v>
      </c>
      <c r="M149" s="21"/>
      <c r="N149" s="21"/>
      <c r="O149" s="21" t="s">
        <v>35</v>
      </c>
    </row>
    <row r="150" spans="1:15" ht="29.4" customHeight="1" x14ac:dyDescent="0.3">
      <c r="A150" s="21" t="s">
        <v>231</v>
      </c>
      <c r="B150" s="22" t="s">
        <v>30</v>
      </c>
      <c r="C150" s="23" t="s">
        <v>232</v>
      </c>
      <c r="D150" s="22" t="s">
        <v>20</v>
      </c>
      <c r="E150" s="22" t="s">
        <v>108</v>
      </c>
      <c r="F150" s="24">
        <v>3182</v>
      </c>
      <c r="G150" s="24">
        <v>559</v>
      </c>
      <c r="H150" s="24">
        <v>160</v>
      </c>
      <c r="I150" s="24">
        <v>57276</v>
      </c>
      <c r="J150" s="24">
        <v>56890</v>
      </c>
      <c r="K150" s="24">
        <v>163</v>
      </c>
      <c r="L150" s="22" t="s">
        <v>58</v>
      </c>
      <c r="M150" s="21"/>
      <c r="N150" s="21"/>
      <c r="O150" s="21" t="s">
        <v>35</v>
      </c>
    </row>
    <row r="151" spans="1:15" ht="29.4" customHeight="1" x14ac:dyDescent="0.3">
      <c r="A151" s="21" t="s">
        <v>349</v>
      </c>
      <c r="B151" s="22" t="s">
        <v>39</v>
      </c>
      <c r="C151" s="23" t="s">
        <v>350</v>
      </c>
      <c r="D151" s="22" t="s">
        <v>20</v>
      </c>
      <c r="E151" s="22" t="s">
        <v>52</v>
      </c>
      <c r="F151" s="24">
        <v>2418</v>
      </c>
      <c r="G151" s="24">
        <v>754</v>
      </c>
      <c r="H151" s="24">
        <v>54</v>
      </c>
      <c r="I151" s="24">
        <v>43524</v>
      </c>
      <c r="J151" s="24">
        <v>42743</v>
      </c>
      <c r="K151" s="24">
        <v>182</v>
      </c>
      <c r="L151" s="22" t="s">
        <v>34</v>
      </c>
      <c r="M151" s="21"/>
      <c r="N151" s="21"/>
      <c r="O151" s="21" t="s">
        <v>17</v>
      </c>
    </row>
    <row r="152" spans="1:15" ht="29.4" customHeight="1" x14ac:dyDescent="0.3">
      <c r="A152" s="21" t="s">
        <v>434</v>
      </c>
      <c r="B152" s="22" t="s">
        <v>13</v>
      </c>
      <c r="C152" s="23" t="s">
        <v>350</v>
      </c>
      <c r="D152" s="22" t="s">
        <v>48</v>
      </c>
      <c r="E152" s="22" t="s">
        <v>127</v>
      </c>
      <c r="F152" s="24">
        <v>3338</v>
      </c>
      <c r="G152" s="24">
        <v>277</v>
      </c>
      <c r="H152" s="24">
        <v>118</v>
      </c>
      <c r="I152" s="24">
        <v>60084</v>
      </c>
      <c r="J152" s="24">
        <v>59842</v>
      </c>
      <c r="K152" s="24">
        <v>252</v>
      </c>
      <c r="L152" s="22" t="s">
        <v>27</v>
      </c>
      <c r="M152" s="21"/>
      <c r="N152" s="21"/>
      <c r="O152" s="8"/>
    </row>
    <row r="153" spans="1:15" ht="29.4" customHeight="1" x14ac:dyDescent="0.3">
      <c r="A153" s="21" t="s">
        <v>267</v>
      </c>
      <c r="B153" s="22" t="s">
        <v>13</v>
      </c>
      <c r="C153" s="23" t="s">
        <v>268</v>
      </c>
      <c r="D153" s="22" t="s">
        <v>32</v>
      </c>
      <c r="E153" s="22" t="s">
        <v>144</v>
      </c>
      <c r="F153" s="24">
        <v>4000</v>
      </c>
      <c r="G153" s="24">
        <v>689</v>
      </c>
      <c r="H153" s="24">
        <v>488</v>
      </c>
      <c r="I153" s="24">
        <v>40000</v>
      </c>
      <c r="J153" s="24">
        <v>39569</v>
      </c>
      <c r="K153" s="24">
        <v>44</v>
      </c>
      <c r="L153" s="22" t="s">
        <v>58</v>
      </c>
      <c r="M153" s="21"/>
      <c r="N153" s="21"/>
      <c r="O153" s="21" t="s">
        <v>17</v>
      </c>
    </row>
    <row r="154" spans="1:15" ht="29.4" customHeight="1" x14ac:dyDescent="0.3">
      <c r="A154" s="21" t="s">
        <v>537</v>
      </c>
      <c r="B154" s="22" t="s">
        <v>39</v>
      </c>
      <c r="C154" s="23" t="s">
        <v>538</v>
      </c>
      <c r="D154" s="22" t="s">
        <v>20</v>
      </c>
      <c r="E154" s="22" t="s">
        <v>52</v>
      </c>
      <c r="F154" s="24">
        <v>880</v>
      </c>
      <c r="G154" s="24">
        <v>297</v>
      </c>
      <c r="H154" s="24">
        <v>345</v>
      </c>
      <c r="I154" s="24">
        <v>12320</v>
      </c>
      <c r="J154" s="24">
        <v>11978</v>
      </c>
      <c r="K154" s="24">
        <v>238</v>
      </c>
      <c r="L154" s="22" t="s">
        <v>27</v>
      </c>
      <c r="M154" s="21" t="s">
        <v>551</v>
      </c>
      <c r="N154" s="21"/>
      <c r="O154" s="8"/>
    </row>
    <row r="155" spans="1:15" ht="29.4" customHeight="1" x14ac:dyDescent="0.3">
      <c r="A155" s="21" t="s">
        <v>62</v>
      </c>
      <c r="B155" s="22" t="s">
        <v>24</v>
      </c>
      <c r="C155" s="23" t="s">
        <v>63</v>
      </c>
      <c r="D155" s="22" t="s">
        <v>41</v>
      </c>
      <c r="E155" s="22" t="s">
        <v>64</v>
      </c>
      <c r="F155" s="24">
        <v>1171</v>
      </c>
      <c r="G155" s="24">
        <v>286</v>
      </c>
      <c r="H155" s="24">
        <v>231</v>
      </c>
      <c r="I155" s="24">
        <v>22249</v>
      </c>
      <c r="J155" s="24">
        <v>21282</v>
      </c>
      <c r="K155" s="24">
        <v>114</v>
      </c>
      <c r="L155" s="22" t="s">
        <v>34</v>
      </c>
      <c r="M155" s="21"/>
      <c r="N155" s="21"/>
      <c r="O155" s="21" t="s">
        <v>17</v>
      </c>
    </row>
    <row r="156" spans="1:15" ht="29.4" customHeight="1" x14ac:dyDescent="0.3">
      <c r="A156" s="21" t="s">
        <v>407</v>
      </c>
      <c r="B156" s="22" t="s">
        <v>30</v>
      </c>
      <c r="C156" s="23" t="s">
        <v>408</v>
      </c>
      <c r="D156" s="22" t="s">
        <v>41</v>
      </c>
      <c r="E156" s="22" t="s">
        <v>84</v>
      </c>
      <c r="F156" s="24">
        <v>3773</v>
      </c>
      <c r="G156" s="24">
        <v>299</v>
      </c>
      <c r="H156" s="24">
        <v>38</v>
      </c>
      <c r="I156" s="24">
        <v>71687</v>
      </c>
      <c r="J156" s="24">
        <v>71447</v>
      </c>
      <c r="K156" s="24">
        <v>286</v>
      </c>
      <c r="L156" s="22" t="s">
        <v>58</v>
      </c>
      <c r="M156" s="21"/>
      <c r="N156" s="21"/>
      <c r="O156" s="21" t="s">
        <v>17</v>
      </c>
    </row>
    <row r="157" spans="1:15" ht="29.4" customHeight="1" x14ac:dyDescent="0.3">
      <c r="A157" s="21" t="s">
        <v>171</v>
      </c>
      <c r="B157" s="22" t="s">
        <v>13</v>
      </c>
      <c r="C157" s="23" t="s">
        <v>172</v>
      </c>
      <c r="D157" s="22" t="s">
        <v>41</v>
      </c>
      <c r="E157" s="22" t="s">
        <v>45</v>
      </c>
      <c r="F157" s="24">
        <v>53</v>
      </c>
      <c r="G157" s="24">
        <v>81</v>
      </c>
      <c r="H157" s="24">
        <v>379</v>
      </c>
      <c r="I157" s="24">
        <v>954</v>
      </c>
      <c r="J157" s="24">
        <v>7</v>
      </c>
      <c r="K157" s="24">
        <v>148</v>
      </c>
      <c r="L157" s="22" t="s">
        <v>27</v>
      </c>
      <c r="M157" s="21"/>
      <c r="N157" s="21"/>
      <c r="O157" s="21" t="s">
        <v>28</v>
      </c>
    </row>
    <row r="158" spans="1:15" ht="29.4" customHeight="1" x14ac:dyDescent="0.3">
      <c r="A158" s="21" t="s">
        <v>261</v>
      </c>
      <c r="B158" s="22" t="s">
        <v>24</v>
      </c>
      <c r="C158" s="23" t="s">
        <v>262</v>
      </c>
      <c r="D158" s="22" t="s">
        <v>48</v>
      </c>
      <c r="E158" s="22" t="s">
        <v>49</v>
      </c>
      <c r="F158" s="24">
        <v>2719</v>
      </c>
      <c r="G158" s="24">
        <v>17</v>
      </c>
      <c r="H158" s="24">
        <v>285</v>
      </c>
      <c r="I158" s="24">
        <v>40785</v>
      </c>
      <c r="J158" s="24">
        <v>40281</v>
      </c>
      <c r="K158" s="24">
        <v>40</v>
      </c>
      <c r="L158" s="22" t="s">
        <v>27</v>
      </c>
      <c r="M158" s="21"/>
      <c r="N158" s="21"/>
      <c r="O158" s="21" t="s">
        <v>22</v>
      </c>
    </row>
    <row r="159" spans="1:15" ht="29.4" customHeight="1" x14ac:dyDescent="0.3">
      <c r="A159" s="21" t="s">
        <v>123</v>
      </c>
      <c r="B159" s="22" t="s">
        <v>39</v>
      </c>
      <c r="C159" s="23" t="s">
        <v>124</v>
      </c>
      <c r="D159" s="22" t="s">
        <v>48</v>
      </c>
      <c r="E159" s="22" t="s">
        <v>55</v>
      </c>
      <c r="F159" s="24">
        <v>3564</v>
      </c>
      <c r="G159" s="24">
        <v>629</v>
      </c>
      <c r="H159" s="24">
        <v>177</v>
      </c>
      <c r="I159" s="24">
        <v>60588</v>
      </c>
      <c r="J159" s="24">
        <v>59627</v>
      </c>
      <c r="K159" s="24">
        <v>92</v>
      </c>
      <c r="L159" s="22" t="s">
        <v>27</v>
      </c>
      <c r="M159" s="21"/>
      <c r="N159" s="21"/>
      <c r="O159" s="8"/>
    </row>
    <row r="160" spans="1:15" ht="29.4" customHeight="1" x14ac:dyDescent="0.3">
      <c r="A160" s="21" t="s">
        <v>336</v>
      </c>
      <c r="B160" s="22" t="s">
        <v>39</v>
      </c>
      <c r="C160" s="23" t="s">
        <v>124</v>
      </c>
      <c r="D160" s="22" t="s">
        <v>32</v>
      </c>
      <c r="E160" s="22" t="s">
        <v>67</v>
      </c>
      <c r="F160" s="24">
        <v>2120</v>
      </c>
      <c r="G160" s="24">
        <v>158</v>
      </c>
      <c r="H160" s="24">
        <v>488</v>
      </c>
      <c r="I160" s="24">
        <v>12720</v>
      </c>
      <c r="J160" s="24">
        <v>12085</v>
      </c>
      <c r="K160" s="24">
        <v>17</v>
      </c>
      <c r="L160" s="22" t="s">
        <v>58</v>
      </c>
      <c r="M160" s="21"/>
      <c r="N160" s="21"/>
      <c r="O160" s="21" t="s">
        <v>22</v>
      </c>
    </row>
    <row r="161" spans="1:15" ht="29.4" customHeight="1" x14ac:dyDescent="0.3">
      <c r="A161" s="21" t="s">
        <v>499</v>
      </c>
      <c r="B161" s="22" t="s">
        <v>39</v>
      </c>
      <c r="C161" s="23" t="s">
        <v>124</v>
      </c>
      <c r="D161" s="22" t="s">
        <v>32</v>
      </c>
      <c r="E161" s="22" t="s">
        <v>67</v>
      </c>
      <c r="F161" s="24">
        <v>4182</v>
      </c>
      <c r="G161" s="24">
        <v>640</v>
      </c>
      <c r="H161" s="24">
        <v>240</v>
      </c>
      <c r="I161" s="24">
        <v>50184</v>
      </c>
      <c r="J161" s="24">
        <v>49351</v>
      </c>
      <c r="K161" s="24">
        <v>10</v>
      </c>
      <c r="L161" s="22" t="s">
        <v>27</v>
      </c>
      <c r="M161" s="21"/>
      <c r="N161" s="21"/>
      <c r="O161" s="21" t="s">
        <v>28</v>
      </c>
    </row>
    <row r="162" spans="1:15" ht="29.4" customHeight="1" x14ac:dyDescent="0.3">
      <c r="A162" s="21" t="s">
        <v>516</v>
      </c>
      <c r="B162" s="22" t="s">
        <v>13</v>
      </c>
      <c r="C162" s="23" t="s">
        <v>517</v>
      </c>
      <c r="D162" s="22" t="s">
        <v>20</v>
      </c>
      <c r="E162" s="22" t="s">
        <v>21</v>
      </c>
      <c r="F162" s="24">
        <v>4516</v>
      </c>
      <c r="G162" s="24">
        <v>836</v>
      </c>
      <c r="H162" s="24">
        <v>169</v>
      </c>
      <c r="I162" s="24">
        <v>49676</v>
      </c>
      <c r="J162" s="24">
        <v>49257</v>
      </c>
      <c r="K162" s="24">
        <v>282</v>
      </c>
      <c r="L162" s="22" t="s">
        <v>34</v>
      </c>
      <c r="M162" s="21"/>
      <c r="N162" s="21"/>
      <c r="O162" s="21" t="s">
        <v>35</v>
      </c>
    </row>
    <row r="163" spans="1:15" ht="29.4" customHeight="1" x14ac:dyDescent="0.3">
      <c r="A163" s="21" t="s">
        <v>298</v>
      </c>
      <c r="B163" s="22" t="s">
        <v>39</v>
      </c>
      <c r="C163" s="23" t="s">
        <v>299</v>
      </c>
      <c r="D163" s="22" t="s">
        <v>20</v>
      </c>
      <c r="E163" s="22" t="s">
        <v>52</v>
      </c>
      <c r="F163" s="24">
        <v>4213</v>
      </c>
      <c r="G163" s="24">
        <v>253</v>
      </c>
      <c r="H163" s="24">
        <v>434</v>
      </c>
      <c r="I163" s="24">
        <v>75834</v>
      </c>
      <c r="J163" s="24">
        <v>75437</v>
      </c>
      <c r="K163" s="24">
        <v>272</v>
      </c>
      <c r="L163" s="22" t="s">
        <v>58</v>
      </c>
      <c r="M163" s="21"/>
      <c r="N163" s="21"/>
      <c r="O163" s="21" t="s">
        <v>35</v>
      </c>
    </row>
    <row r="164" spans="1:15" ht="29.4" customHeight="1" x14ac:dyDescent="0.3">
      <c r="A164" s="21" t="s">
        <v>348</v>
      </c>
      <c r="B164" s="22" t="s">
        <v>30</v>
      </c>
      <c r="C164" s="23" t="s">
        <v>299</v>
      </c>
      <c r="D164" s="22" t="s">
        <v>20</v>
      </c>
      <c r="E164" s="22" t="s">
        <v>108</v>
      </c>
      <c r="F164" s="24">
        <v>4771</v>
      </c>
      <c r="G164" s="24">
        <v>818</v>
      </c>
      <c r="H164" s="24">
        <v>56</v>
      </c>
      <c r="I164" s="24">
        <v>57252</v>
      </c>
      <c r="J164" s="24">
        <v>56378</v>
      </c>
      <c r="K164" s="24">
        <v>150</v>
      </c>
      <c r="L164" s="22" t="s">
        <v>58</v>
      </c>
      <c r="M164" s="21"/>
      <c r="N164" s="21"/>
      <c r="O164" s="8"/>
    </row>
    <row r="165" spans="1:15" ht="29.4" customHeight="1" x14ac:dyDescent="0.3">
      <c r="A165" s="21" t="s">
        <v>533</v>
      </c>
      <c r="B165" s="22" t="s">
        <v>39</v>
      </c>
      <c r="C165" s="23" t="s">
        <v>299</v>
      </c>
      <c r="D165" s="22" t="s">
        <v>41</v>
      </c>
      <c r="E165" s="22" t="s">
        <v>42</v>
      </c>
      <c r="F165" s="24">
        <v>2751</v>
      </c>
      <c r="G165" s="24">
        <v>33</v>
      </c>
      <c r="H165" s="24">
        <v>430</v>
      </c>
      <c r="I165" s="24">
        <v>44016</v>
      </c>
      <c r="J165" s="24">
        <v>43415</v>
      </c>
      <c r="K165" s="24">
        <v>129</v>
      </c>
      <c r="L165" s="22" t="s">
        <v>58</v>
      </c>
      <c r="M165" s="21"/>
      <c r="N165" s="21"/>
      <c r="O165" s="8"/>
    </row>
    <row r="166" spans="1:15" ht="29.4" customHeight="1" x14ac:dyDescent="0.3">
      <c r="A166" s="21" t="s">
        <v>388</v>
      </c>
      <c r="B166" s="22" t="s">
        <v>30</v>
      </c>
      <c r="C166" s="23" t="s">
        <v>389</v>
      </c>
      <c r="D166" s="22" t="s">
        <v>70</v>
      </c>
      <c r="E166" s="22" t="s">
        <v>81</v>
      </c>
      <c r="F166" s="24">
        <v>1176</v>
      </c>
      <c r="G166" s="24">
        <v>464</v>
      </c>
      <c r="H166" s="24">
        <v>394</v>
      </c>
      <c r="I166" s="24">
        <v>14112</v>
      </c>
      <c r="J166" s="24">
        <v>13588</v>
      </c>
      <c r="K166" s="24">
        <v>272</v>
      </c>
      <c r="L166" s="22" t="s">
        <v>34</v>
      </c>
      <c r="M166" s="21"/>
      <c r="N166" s="21"/>
      <c r="O166" s="8"/>
    </row>
    <row r="167" spans="1:15" ht="29.4" customHeight="1" x14ac:dyDescent="0.3">
      <c r="A167" s="21" t="s">
        <v>115</v>
      </c>
      <c r="B167" s="22" t="s">
        <v>30</v>
      </c>
      <c r="C167" s="23" t="s">
        <v>116</v>
      </c>
      <c r="D167" s="22" t="s">
        <v>70</v>
      </c>
      <c r="E167" s="22" t="s">
        <v>81</v>
      </c>
      <c r="F167" s="24">
        <v>3775</v>
      </c>
      <c r="G167" s="24">
        <v>16</v>
      </c>
      <c r="H167" s="24">
        <v>239</v>
      </c>
      <c r="I167" s="24">
        <v>33975</v>
      </c>
      <c r="J167" s="24">
        <v>33310</v>
      </c>
      <c r="K167" s="24">
        <v>271</v>
      </c>
      <c r="L167" s="22" t="s">
        <v>58</v>
      </c>
      <c r="M167" s="21"/>
      <c r="N167" s="21"/>
      <c r="O167" s="21" t="s">
        <v>22</v>
      </c>
    </row>
    <row r="168" spans="1:15" ht="29.4" customHeight="1" x14ac:dyDescent="0.3">
      <c r="A168" s="21" t="s">
        <v>400</v>
      </c>
      <c r="B168" s="22" t="s">
        <v>24</v>
      </c>
      <c r="C168" s="23" t="s">
        <v>116</v>
      </c>
      <c r="D168" s="22" t="s">
        <v>41</v>
      </c>
      <c r="E168" s="22" t="s">
        <v>64</v>
      </c>
      <c r="F168" s="24">
        <v>2509</v>
      </c>
      <c r="G168" s="24">
        <v>324</v>
      </c>
      <c r="H168" s="24">
        <v>171</v>
      </c>
      <c r="I168" s="24">
        <v>35126</v>
      </c>
      <c r="J168" s="24">
        <v>34685</v>
      </c>
      <c r="K168" s="24">
        <v>277</v>
      </c>
      <c r="L168" s="22" t="s">
        <v>27</v>
      </c>
      <c r="M168" s="21"/>
      <c r="N168" s="21"/>
      <c r="O168" s="21" t="s">
        <v>22</v>
      </c>
    </row>
    <row r="169" spans="1:15" ht="29.4" customHeight="1" x14ac:dyDescent="0.3">
      <c r="A169" s="21" t="s">
        <v>351</v>
      </c>
      <c r="B169" s="22" t="s">
        <v>24</v>
      </c>
      <c r="C169" s="23" t="s">
        <v>352</v>
      </c>
      <c r="D169" s="22" t="s">
        <v>70</v>
      </c>
      <c r="E169" s="22" t="s">
        <v>211</v>
      </c>
      <c r="F169" s="24">
        <v>3809</v>
      </c>
      <c r="G169" s="24">
        <v>273</v>
      </c>
      <c r="H169" s="24">
        <v>200</v>
      </c>
      <c r="I169" s="24">
        <v>34281</v>
      </c>
      <c r="J169" s="24">
        <v>33534</v>
      </c>
      <c r="K169" s="24">
        <v>83</v>
      </c>
      <c r="L169" s="22" t="s">
        <v>34</v>
      </c>
      <c r="M169" s="21"/>
      <c r="N169" s="21"/>
      <c r="O169" s="21" t="s">
        <v>17</v>
      </c>
    </row>
    <row r="170" spans="1:15" ht="29.4" customHeight="1" x14ac:dyDescent="0.3">
      <c r="A170" s="21" t="s">
        <v>370</v>
      </c>
      <c r="B170" s="22" t="s">
        <v>24</v>
      </c>
      <c r="C170" s="23" t="s">
        <v>352</v>
      </c>
      <c r="D170" s="22" t="s">
        <v>20</v>
      </c>
      <c r="E170" s="22" t="s">
        <v>99</v>
      </c>
      <c r="F170" s="24">
        <v>3711</v>
      </c>
      <c r="G170" s="24">
        <v>352</v>
      </c>
      <c r="H170" s="24">
        <v>290</v>
      </c>
      <c r="I170" s="24">
        <v>48243</v>
      </c>
      <c r="J170" s="24">
        <v>47579</v>
      </c>
      <c r="K170" s="24">
        <v>11</v>
      </c>
      <c r="L170" s="22" t="s">
        <v>27</v>
      </c>
      <c r="M170" s="21"/>
      <c r="N170" s="21"/>
      <c r="O170" s="21" t="s">
        <v>17</v>
      </c>
    </row>
    <row r="171" spans="1:15" ht="29.4" customHeight="1" x14ac:dyDescent="0.3">
      <c r="A171" s="21" t="s">
        <v>387</v>
      </c>
      <c r="B171" s="22" t="s">
        <v>24</v>
      </c>
      <c r="C171" s="23" t="s">
        <v>352</v>
      </c>
      <c r="D171" s="22" t="s">
        <v>32</v>
      </c>
      <c r="E171" s="22" t="s">
        <v>149</v>
      </c>
      <c r="F171" s="24">
        <v>4285</v>
      </c>
      <c r="G171" s="24">
        <v>886</v>
      </c>
      <c r="H171" s="24">
        <v>376</v>
      </c>
      <c r="I171" s="24">
        <v>55705</v>
      </c>
      <c r="J171" s="24">
        <v>55556</v>
      </c>
      <c r="K171" s="24">
        <v>51</v>
      </c>
      <c r="L171" s="22" t="s">
        <v>58</v>
      </c>
      <c r="M171" s="21"/>
      <c r="N171" s="21"/>
      <c r="O171" s="21" t="s">
        <v>28</v>
      </c>
    </row>
    <row r="172" spans="1:15" ht="29.4" customHeight="1" x14ac:dyDescent="0.3">
      <c r="A172" s="21" t="s">
        <v>427</v>
      </c>
      <c r="B172" s="22" t="s">
        <v>39</v>
      </c>
      <c r="C172" s="23" t="s">
        <v>352</v>
      </c>
      <c r="D172" s="22" t="s">
        <v>48</v>
      </c>
      <c r="E172" s="22" t="s">
        <v>55</v>
      </c>
      <c r="F172" s="24">
        <v>4606</v>
      </c>
      <c r="G172" s="24">
        <v>931</v>
      </c>
      <c r="H172" s="24">
        <v>230</v>
      </c>
      <c r="I172" s="24">
        <v>92120</v>
      </c>
      <c r="J172" s="24">
        <v>91440</v>
      </c>
      <c r="K172" s="24">
        <v>56</v>
      </c>
      <c r="L172" s="22" t="s">
        <v>27</v>
      </c>
      <c r="M172" s="21"/>
      <c r="N172" s="21"/>
      <c r="O172" s="8"/>
    </row>
    <row r="173" spans="1:15" ht="29.4" customHeight="1" x14ac:dyDescent="0.3">
      <c r="A173" s="21" t="s">
        <v>359</v>
      </c>
      <c r="B173" s="22" t="s">
        <v>13</v>
      </c>
      <c r="C173" s="23" t="s">
        <v>360</v>
      </c>
      <c r="D173" s="22" t="s">
        <v>70</v>
      </c>
      <c r="E173" s="22" t="s">
        <v>140</v>
      </c>
      <c r="F173" s="24">
        <v>1330</v>
      </c>
      <c r="G173" s="24">
        <v>925</v>
      </c>
      <c r="H173" s="24">
        <v>35</v>
      </c>
      <c r="I173" s="24">
        <v>15960</v>
      </c>
      <c r="J173" s="24">
        <v>15379</v>
      </c>
      <c r="K173" s="24">
        <v>229</v>
      </c>
      <c r="L173" s="22" t="s">
        <v>58</v>
      </c>
      <c r="M173" s="21"/>
      <c r="N173" s="21"/>
      <c r="O173" s="21" t="s">
        <v>28</v>
      </c>
    </row>
    <row r="174" spans="1:15" ht="29.4" customHeight="1" x14ac:dyDescent="0.3">
      <c r="A174" s="21" t="s">
        <v>182</v>
      </c>
      <c r="B174" s="22" t="s">
        <v>30</v>
      </c>
      <c r="C174" s="23" t="s">
        <v>183</v>
      </c>
      <c r="D174" s="22" t="s">
        <v>32</v>
      </c>
      <c r="E174" s="22" t="s">
        <v>33</v>
      </c>
      <c r="F174" s="24">
        <v>2610</v>
      </c>
      <c r="G174" s="24">
        <v>126</v>
      </c>
      <c r="H174" s="24">
        <v>288</v>
      </c>
      <c r="I174" s="24">
        <v>15660</v>
      </c>
      <c r="J174" s="24">
        <v>15145</v>
      </c>
      <c r="K174" s="24">
        <v>73</v>
      </c>
      <c r="L174" s="22" t="s">
        <v>34</v>
      </c>
      <c r="M174" s="21"/>
      <c r="N174" s="21"/>
      <c r="O174" s="8"/>
    </row>
    <row r="175" spans="1:15" ht="29.4" customHeight="1" x14ac:dyDescent="0.3">
      <c r="A175" s="21" t="s">
        <v>212</v>
      </c>
      <c r="B175" s="22" t="s">
        <v>39</v>
      </c>
      <c r="C175" s="23" t="s">
        <v>213</v>
      </c>
      <c r="D175" s="22" t="s">
        <v>48</v>
      </c>
      <c r="E175" s="22" t="s">
        <v>55</v>
      </c>
      <c r="F175" s="24">
        <v>1841</v>
      </c>
      <c r="G175" s="24">
        <v>851</v>
      </c>
      <c r="H175" s="24">
        <v>342</v>
      </c>
      <c r="I175" s="24">
        <v>34979</v>
      </c>
      <c r="J175" s="24">
        <v>34154</v>
      </c>
      <c r="K175" s="24">
        <v>255</v>
      </c>
      <c r="L175" s="22" t="s">
        <v>58</v>
      </c>
      <c r="M175" s="21"/>
      <c r="N175" s="21"/>
      <c r="O175" s="21" t="s">
        <v>35</v>
      </c>
    </row>
    <row r="176" spans="1:15" ht="29.4" customHeight="1" x14ac:dyDescent="0.3">
      <c r="A176" s="21" t="s">
        <v>228</v>
      </c>
      <c r="B176" s="22" t="s">
        <v>30</v>
      </c>
      <c r="C176" s="23" t="s">
        <v>229</v>
      </c>
      <c r="D176" s="22" t="s">
        <v>70</v>
      </c>
      <c r="E176" s="22" t="s">
        <v>81</v>
      </c>
      <c r="F176" s="24">
        <v>1431</v>
      </c>
      <c r="G176" s="24">
        <v>951</v>
      </c>
      <c r="H176" s="24">
        <v>26</v>
      </c>
      <c r="I176" s="24">
        <v>8586</v>
      </c>
      <c r="J176" s="24">
        <v>8396</v>
      </c>
      <c r="K176" s="24">
        <v>150</v>
      </c>
      <c r="L176" s="22" t="s">
        <v>34</v>
      </c>
      <c r="M176" s="21"/>
      <c r="N176" s="21"/>
      <c r="O176" s="21" t="s">
        <v>28</v>
      </c>
    </row>
    <row r="177" spans="1:15" ht="29.4" customHeight="1" x14ac:dyDescent="0.3">
      <c r="A177" s="21" t="s">
        <v>346</v>
      </c>
      <c r="B177" s="22" t="s">
        <v>13</v>
      </c>
      <c r="C177" s="23" t="s">
        <v>229</v>
      </c>
      <c r="D177" s="22" t="s">
        <v>20</v>
      </c>
      <c r="E177" s="22" t="s">
        <v>21</v>
      </c>
      <c r="F177" s="24">
        <v>3239</v>
      </c>
      <c r="G177" s="24">
        <v>43</v>
      </c>
      <c r="H177" s="24">
        <v>211</v>
      </c>
      <c r="I177" s="24">
        <v>22673</v>
      </c>
      <c r="J177" s="24">
        <v>22171</v>
      </c>
      <c r="K177" s="24">
        <v>230</v>
      </c>
      <c r="L177" s="22" t="s">
        <v>27</v>
      </c>
      <c r="M177" s="21"/>
      <c r="N177" s="21"/>
      <c r="O177" s="21" t="s">
        <v>22</v>
      </c>
    </row>
    <row r="178" spans="1:15" ht="29.4" customHeight="1" x14ac:dyDescent="0.3">
      <c r="A178" s="21" t="s">
        <v>132</v>
      </c>
      <c r="B178" s="22" t="s">
        <v>30</v>
      </c>
      <c r="C178" s="23" t="s">
        <v>133</v>
      </c>
      <c r="D178" s="22" t="s">
        <v>41</v>
      </c>
      <c r="E178" s="22" t="s">
        <v>84</v>
      </c>
      <c r="F178" s="24">
        <v>2174</v>
      </c>
      <c r="G178" s="24">
        <v>658</v>
      </c>
      <c r="H178" s="24">
        <v>15</v>
      </c>
      <c r="I178" s="24">
        <v>13044</v>
      </c>
      <c r="J178" s="24">
        <v>12206</v>
      </c>
      <c r="K178" s="24">
        <v>137</v>
      </c>
      <c r="L178" s="22" t="s">
        <v>27</v>
      </c>
      <c r="M178" s="21"/>
      <c r="N178" s="21"/>
      <c r="O178" s="21" t="s">
        <v>28</v>
      </c>
    </row>
    <row r="179" spans="1:15" ht="29.4" customHeight="1" x14ac:dyDescent="0.3">
      <c r="A179" s="21" t="s">
        <v>106</v>
      </c>
      <c r="B179" s="22" t="s">
        <v>30</v>
      </c>
      <c r="C179" s="23" t="s">
        <v>107</v>
      </c>
      <c r="D179" s="22" t="s">
        <v>20</v>
      </c>
      <c r="E179" s="22" t="s">
        <v>108</v>
      </c>
      <c r="F179" s="24">
        <v>438</v>
      </c>
      <c r="G179" s="24">
        <v>153</v>
      </c>
      <c r="H179" s="24">
        <v>275</v>
      </c>
      <c r="I179" s="24">
        <v>3066</v>
      </c>
      <c r="J179" s="24">
        <v>2701</v>
      </c>
      <c r="K179" s="24">
        <v>282</v>
      </c>
      <c r="L179" s="22" t="s">
        <v>27</v>
      </c>
      <c r="M179" s="21"/>
      <c r="N179" s="21"/>
      <c r="O179" s="21" t="s">
        <v>22</v>
      </c>
    </row>
    <row r="180" spans="1:15" ht="29.4" customHeight="1" x14ac:dyDescent="0.3">
      <c r="A180" s="21" t="s">
        <v>374</v>
      </c>
      <c r="B180" s="22" t="s">
        <v>30</v>
      </c>
      <c r="C180" s="23" t="s">
        <v>375</v>
      </c>
      <c r="D180" s="22" t="s">
        <v>32</v>
      </c>
      <c r="E180" s="22" t="s">
        <v>33</v>
      </c>
      <c r="F180" s="24">
        <v>360</v>
      </c>
      <c r="G180" s="24">
        <v>590</v>
      </c>
      <c r="H180" s="24">
        <v>393</v>
      </c>
      <c r="I180" s="24">
        <v>4680</v>
      </c>
      <c r="J180" s="24">
        <v>4322</v>
      </c>
      <c r="K180" s="24">
        <v>208</v>
      </c>
      <c r="L180" s="22" t="s">
        <v>58</v>
      </c>
      <c r="M180" s="21"/>
      <c r="N180" s="21"/>
      <c r="O180" s="21" t="s">
        <v>22</v>
      </c>
    </row>
    <row r="181" spans="1:15" ht="29.4" customHeight="1" x14ac:dyDescent="0.3">
      <c r="A181" s="21" t="s">
        <v>159</v>
      </c>
      <c r="B181" s="22" t="s">
        <v>39</v>
      </c>
      <c r="C181" s="23" t="s">
        <v>160</v>
      </c>
      <c r="D181" s="22" t="s">
        <v>41</v>
      </c>
      <c r="E181" s="22" t="s">
        <v>42</v>
      </c>
      <c r="F181" s="24">
        <v>2946</v>
      </c>
      <c r="G181" s="24">
        <v>498</v>
      </c>
      <c r="H181" s="24">
        <v>367</v>
      </c>
      <c r="I181" s="24">
        <v>29460</v>
      </c>
      <c r="J181" s="24">
        <v>28527</v>
      </c>
      <c r="K181" s="24">
        <v>60</v>
      </c>
      <c r="L181" s="22" t="s">
        <v>58</v>
      </c>
      <c r="M181" s="21"/>
      <c r="N181" s="21"/>
      <c r="O181" s="21" t="s">
        <v>28</v>
      </c>
    </row>
    <row r="182" spans="1:15" ht="29.4" customHeight="1" x14ac:dyDescent="0.3">
      <c r="A182" s="21" t="s">
        <v>395</v>
      </c>
      <c r="B182" s="22" t="s">
        <v>30</v>
      </c>
      <c r="C182" s="23" t="s">
        <v>396</v>
      </c>
      <c r="D182" s="22" t="s">
        <v>20</v>
      </c>
      <c r="E182" s="22" t="s">
        <v>108</v>
      </c>
      <c r="F182" s="24">
        <v>1813</v>
      </c>
      <c r="G182" s="24">
        <v>623</v>
      </c>
      <c r="H182" s="24">
        <v>72</v>
      </c>
      <c r="I182" s="24">
        <v>19943</v>
      </c>
      <c r="J182" s="24">
        <v>18959</v>
      </c>
      <c r="K182" s="24">
        <v>85</v>
      </c>
      <c r="L182" s="22" t="s">
        <v>34</v>
      </c>
      <c r="M182" s="21"/>
      <c r="N182" s="21"/>
      <c r="O182" s="21" t="s">
        <v>28</v>
      </c>
    </row>
    <row r="183" spans="1:15" ht="29.4" customHeight="1" x14ac:dyDescent="0.3">
      <c r="A183" s="21" t="s">
        <v>534</v>
      </c>
      <c r="B183" s="22" t="s">
        <v>30</v>
      </c>
      <c r="C183" s="23" t="s">
        <v>535</v>
      </c>
      <c r="D183" s="22" t="s">
        <v>41</v>
      </c>
      <c r="E183" s="22" t="s">
        <v>84</v>
      </c>
      <c r="F183" s="24">
        <v>2107</v>
      </c>
      <c r="G183" s="24">
        <v>550</v>
      </c>
      <c r="H183" s="24">
        <v>349</v>
      </c>
      <c r="I183" s="24">
        <v>35819</v>
      </c>
      <c r="J183" s="24">
        <v>35340</v>
      </c>
      <c r="K183" s="24">
        <v>191</v>
      </c>
      <c r="L183" s="22" t="s">
        <v>34</v>
      </c>
      <c r="M183" s="21"/>
      <c r="N183" s="21"/>
      <c r="O183" s="21" t="s">
        <v>35</v>
      </c>
    </row>
    <row r="184" spans="1:15" ht="29.4" customHeight="1" x14ac:dyDescent="0.3">
      <c r="A184" s="21" t="s">
        <v>328</v>
      </c>
      <c r="B184" s="22" t="s">
        <v>24</v>
      </c>
      <c r="C184" s="23" t="s">
        <v>329</v>
      </c>
      <c r="D184" s="22" t="s">
        <v>48</v>
      </c>
      <c r="E184" s="22" t="s">
        <v>49</v>
      </c>
      <c r="F184" s="24">
        <v>2283</v>
      </c>
      <c r="G184" s="24">
        <v>210</v>
      </c>
      <c r="H184" s="24">
        <v>130</v>
      </c>
      <c r="I184" s="24">
        <v>22830</v>
      </c>
      <c r="J184" s="24">
        <v>22617</v>
      </c>
      <c r="K184" s="24">
        <v>143</v>
      </c>
      <c r="L184" s="22" t="s">
        <v>58</v>
      </c>
      <c r="M184" s="21"/>
      <c r="N184" s="21"/>
      <c r="O184" s="21" t="s">
        <v>22</v>
      </c>
    </row>
    <row r="185" spans="1:15" ht="29.4" customHeight="1" x14ac:dyDescent="0.3">
      <c r="A185" s="21" t="s">
        <v>381</v>
      </c>
      <c r="B185" s="22" t="s">
        <v>13</v>
      </c>
      <c r="C185" s="23" t="s">
        <v>382</v>
      </c>
      <c r="D185" s="22" t="s">
        <v>15</v>
      </c>
      <c r="E185" s="22" t="s">
        <v>16</v>
      </c>
      <c r="F185" s="24">
        <v>1644</v>
      </c>
      <c r="G185" s="24">
        <v>546</v>
      </c>
      <c r="H185" s="24">
        <v>150</v>
      </c>
      <c r="I185" s="24">
        <v>27948</v>
      </c>
      <c r="J185" s="24">
        <v>27184</v>
      </c>
      <c r="K185" s="24">
        <v>300</v>
      </c>
      <c r="L185" s="22" t="s">
        <v>34</v>
      </c>
      <c r="M185" s="21"/>
      <c r="N185" s="21"/>
      <c r="O185" s="21" t="s">
        <v>28</v>
      </c>
    </row>
    <row r="186" spans="1:15" ht="29.4" customHeight="1" x14ac:dyDescent="0.3">
      <c r="A186" s="21" t="s">
        <v>452</v>
      </c>
      <c r="B186" s="22" t="s">
        <v>39</v>
      </c>
      <c r="C186" s="23" t="s">
        <v>382</v>
      </c>
      <c r="D186" s="22" t="s">
        <v>48</v>
      </c>
      <c r="E186" s="22" t="s">
        <v>55</v>
      </c>
      <c r="F186" s="24">
        <v>3196</v>
      </c>
      <c r="G186" s="24">
        <v>941</v>
      </c>
      <c r="H186" s="24">
        <v>376</v>
      </c>
      <c r="I186" s="24">
        <v>35156</v>
      </c>
      <c r="J186" s="24">
        <v>34444</v>
      </c>
      <c r="K186" s="24">
        <v>241</v>
      </c>
      <c r="L186" s="22" t="s">
        <v>27</v>
      </c>
      <c r="M186" s="21"/>
      <c r="N186" s="21"/>
      <c r="O186" s="21" t="s">
        <v>28</v>
      </c>
    </row>
    <row r="187" spans="1:15" ht="29.4" customHeight="1" x14ac:dyDescent="0.3">
      <c r="A187" s="21" t="s">
        <v>12</v>
      </c>
      <c r="B187" s="22" t="s">
        <v>13</v>
      </c>
      <c r="C187" s="23" t="s">
        <v>14</v>
      </c>
      <c r="D187" s="22" t="s">
        <v>15</v>
      </c>
      <c r="E187" s="22" t="s">
        <v>16</v>
      </c>
      <c r="F187" s="24">
        <v>1461</v>
      </c>
      <c r="G187" s="24">
        <v>184</v>
      </c>
      <c r="H187" s="24">
        <v>344</v>
      </c>
      <c r="I187" s="24">
        <v>21915</v>
      </c>
      <c r="J187" s="24">
        <v>21675</v>
      </c>
      <c r="K187" s="24">
        <v>15</v>
      </c>
      <c r="L187" s="22" t="s">
        <v>58</v>
      </c>
      <c r="M187" s="21" t="s">
        <v>551</v>
      </c>
      <c r="N187" s="21"/>
      <c r="O187" s="21" t="s">
        <v>17</v>
      </c>
    </row>
    <row r="188" spans="1:15" ht="29.4" customHeight="1" x14ac:dyDescent="0.3">
      <c r="A188" s="21" t="s">
        <v>423</v>
      </c>
      <c r="B188" s="22" t="s">
        <v>30</v>
      </c>
      <c r="C188" s="23" t="s">
        <v>14</v>
      </c>
      <c r="D188" s="22" t="s">
        <v>48</v>
      </c>
      <c r="E188" s="22" t="s">
        <v>208</v>
      </c>
      <c r="F188" s="24">
        <v>521</v>
      </c>
      <c r="G188" s="24">
        <v>746</v>
      </c>
      <c r="H188" s="24">
        <v>315</v>
      </c>
      <c r="I188" s="24">
        <v>4168</v>
      </c>
      <c r="J188" s="24">
        <v>3399</v>
      </c>
      <c r="K188" s="24">
        <v>282</v>
      </c>
      <c r="L188" s="22" t="s">
        <v>58</v>
      </c>
      <c r="M188" s="21"/>
      <c r="N188" s="21"/>
      <c r="O188" s="21" t="s">
        <v>22</v>
      </c>
    </row>
    <row r="189" spans="1:15" ht="29.4" customHeight="1" x14ac:dyDescent="0.3">
      <c r="A189" s="21" t="s">
        <v>546</v>
      </c>
      <c r="B189" s="22" t="s">
        <v>13</v>
      </c>
      <c r="C189" s="23" t="s">
        <v>547</v>
      </c>
      <c r="D189" s="22" t="s">
        <v>20</v>
      </c>
      <c r="E189" s="22" t="s">
        <v>21</v>
      </c>
      <c r="F189" s="24">
        <v>2166</v>
      </c>
      <c r="G189" s="24">
        <v>354</v>
      </c>
      <c r="H189" s="24">
        <v>117</v>
      </c>
      <c r="I189" s="24">
        <v>10830</v>
      </c>
      <c r="J189" s="24">
        <v>10245</v>
      </c>
      <c r="K189" s="24">
        <v>24</v>
      </c>
      <c r="L189" s="22" t="s">
        <v>34</v>
      </c>
      <c r="M189" s="21"/>
      <c r="N189" s="21"/>
      <c r="O189" s="21" t="s">
        <v>35</v>
      </c>
    </row>
    <row r="190" spans="1:15" ht="29.4" customHeight="1" x14ac:dyDescent="0.3">
      <c r="A190" s="21" t="s">
        <v>412</v>
      </c>
      <c r="B190" s="22" t="s">
        <v>13</v>
      </c>
      <c r="C190" s="23" t="s">
        <v>413</v>
      </c>
      <c r="D190" s="22" t="s">
        <v>41</v>
      </c>
      <c r="E190" s="22" t="s">
        <v>45</v>
      </c>
      <c r="F190" s="24">
        <v>4274</v>
      </c>
      <c r="G190" s="24">
        <v>340</v>
      </c>
      <c r="H190" s="24">
        <v>281</v>
      </c>
      <c r="I190" s="24">
        <v>34192</v>
      </c>
      <c r="J190" s="24">
        <v>33446</v>
      </c>
      <c r="K190" s="24">
        <v>129</v>
      </c>
      <c r="L190" s="22" t="s">
        <v>27</v>
      </c>
      <c r="M190" s="21" t="s">
        <v>552</v>
      </c>
      <c r="N190" s="21"/>
      <c r="O190" s="21" t="s">
        <v>28</v>
      </c>
    </row>
    <row r="191" spans="1:15" ht="29.4" customHeight="1" x14ac:dyDescent="0.3">
      <c r="A191" s="21" t="s">
        <v>355</v>
      </c>
      <c r="B191" s="22" t="s">
        <v>24</v>
      </c>
      <c r="C191" s="23" t="s">
        <v>356</v>
      </c>
      <c r="D191" s="22" t="s">
        <v>70</v>
      </c>
      <c r="E191" s="22" t="s">
        <v>211</v>
      </c>
      <c r="F191" s="24">
        <v>1018</v>
      </c>
      <c r="G191" s="24">
        <v>447</v>
      </c>
      <c r="H191" s="24">
        <v>332</v>
      </c>
      <c r="I191" s="24">
        <v>18324</v>
      </c>
      <c r="J191" s="24">
        <v>18164</v>
      </c>
      <c r="K191" s="24">
        <v>38</v>
      </c>
      <c r="L191" s="22" t="s">
        <v>58</v>
      </c>
      <c r="M191" s="21"/>
      <c r="N191" s="21"/>
      <c r="O191" s="21" t="s">
        <v>22</v>
      </c>
    </row>
    <row r="192" spans="1:15" ht="29.4" customHeight="1" x14ac:dyDescent="0.3">
      <c r="A192" s="21" t="s">
        <v>325</v>
      </c>
      <c r="B192" s="22" t="s">
        <v>13</v>
      </c>
      <c r="C192" s="23" t="s">
        <v>326</v>
      </c>
      <c r="D192" s="22" t="s">
        <v>70</v>
      </c>
      <c r="E192" s="22" t="s">
        <v>140</v>
      </c>
      <c r="F192" s="24">
        <v>754</v>
      </c>
      <c r="G192" s="24">
        <v>197</v>
      </c>
      <c r="H192" s="24">
        <v>257</v>
      </c>
      <c r="I192" s="24">
        <v>6786</v>
      </c>
      <c r="J192" s="24">
        <v>6221</v>
      </c>
      <c r="K192" s="24">
        <v>212</v>
      </c>
      <c r="L192" s="22" t="s">
        <v>27</v>
      </c>
      <c r="M192" s="21"/>
      <c r="N192" s="21"/>
      <c r="O192" s="21" t="s">
        <v>28</v>
      </c>
    </row>
    <row r="193" spans="1:15" ht="29.4" customHeight="1" x14ac:dyDescent="0.3">
      <c r="A193" s="21" t="s">
        <v>409</v>
      </c>
      <c r="B193" s="22" t="s">
        <v>30</v>
      </c>
      <c r="C193" s="23" t="s">
        <v>326</v>
      </c>
      <c r="D193" s="22" t="s">
        <v>41</v>
      </c>
      <c r="E193" s="22" t="s">
        <v>84</v>
      </c>
      <c r="F193" s="24">
        <v>2234</v>
      </c>
      <c r="G193" s="24">
        <v>653</v>
      </c>
      <c r="H193" s="24">
        <v>432</v>
      </c>
      <c r="I193" s="24">
        <v>11170</v>
      </c>
      <c r="J193" s="24">
        <v>10569</v>
      </c>
      <c r="K193" s="24">
        <v>198</v>
      </c>
      <c r="L193" s="22" t="s">
        <v>58</v>
      </c>
      <c r="M193" s="21"/>
      <c r="N193" s="21"/>
      <c r="O193" s="21" t="s">
        <v>28</v>
      </c>
    </row>
    <row r="194" spans="1:15" ht="29.4" customHeight="1" x14ac:dyDescent="0.3">
      <c r="A194" s="21" t="s">
        <v>511</v>
      </c>
      <c r="B194" s="22" t="s">
        <v>13</v>
      </c>
      <c r="C194" s="23" t="s">
        <v>326</v>
      </c>
      <c r="D194" s="22" t="s">
        <v>41</v>
      </c>
      <c r="E194" s="22" t="s">
        <v>45</v>
      </c>
      <c r="F194" s="24">
        <v>3535</v>
      </c>
      <c r="G194" s="24">
        <v>494</v>
      </c>
      <c r="H194" s="24">
        <v>152</v>
      </c>
      <c r="I194" s="24">
        <v>53025</v>
      </c>
      <c r="J194" s="24">
        <v>52791</v>
      </c>
      <c r="K194" s="24">
        <v>44</v>
      </c>
      <c r="L194" s="22" t="s">
        <v>27</v>
      </c>
      <c r="M194" s="21"/>
      <c r="N194" s="21"/>
      <c r="O194" s="21" t="s">
        <v>35</v>
      </c>
    </row>
    <row r="195" spans="1:15" ht="29.4" customHeight="1" x14ac:dyDescent="0.3">
      <c r="A195" s="21" t="s">
        <v>152</v>
      </c>
      <c r="B195" s="22" t="s">
        <v>39</v>
      </c>
      <c r="C195" s="23" t="s">
        <v>153</v>
      </c>
      <c r="D195" s="22" t="s">
        <v>48</v>
      </c>
      <c r="E195" s="22" t="s">
        <v>55</v>
      </c>
      <c r="F195" s="24">
        <v>947</v>
      </c>
      <c r="G195" s="24">
        <v>338</v>
      </c>
      <c r="H195" s="24">
        <v>350</v>
      </c>
      <c r="I195" s="24">
        <v>10417</v>
      </c>
      <c r="J195" s="24">
        <v>9730</v>
      </c>
      <c r="K195" s="24">
        <v>34</v>
      </c>
      <c r="L195" s="22" t="s">
        <v>27</v>
      </c>
      <c r="M195" s="21"/>
      <c r="N195" s="21"/>
      <c r="O195" s="21" t="s">
        <v>35</v>
      </c>
    </row>
    <row r="196" spans="1:15" ht="29.4" customHeight="1" x14ac:dyDescent="0.3">
      <c r="A196" s="21" t="s">
        <v>85</v>
      </c>
      <c r="B196" s="22" t="s">
        <v>30</v>
      </c>
      <c r="C196" s="23" t="s">
        <v>86</v>
      </c>
      <c r="D196" s="22" t="s">
        <v>15</v>
      </c>
      <c r="E196" s="22" t="s">
        <v>78</v>
      </c>
      <c r="F196" s="24">
        <v>4838</v>
      </c>
      <c r="G196" s="24">
        <v>640</v>
      </c>
      <c r="H196" s="24">
        <v>128</v>
      </c>
      <c r="I196" s="24">
        <v>72570</v>
      </c>
      <c r="J196" s="24">
        <v>72396</v>
      </c>
      <c r="K196" s="24">
        <v>83</v>
      </c>
      <c r="L196" s="22" t="s">
        <v>58</v>
      </c>
      <c r="M196" s="21"/>
      <c r="N196" s="21"/>
      <c r="O196" s="21" t="s">
        <v>35</v>
      </c>
    </row>
    <row r="197" spans="1:15" ht="29.4" customHeight="1" x14ac:dyDescent="0.3">
      <c r="A197" s="21" t="s">
        <v>119</v>
      </c>
      <c r="B197" s="22" t="s">
        <v>39</v>
      </c>
      <c r="C197" s="23" t="s">
        <v>120</v>
      </c>
      <c r="D197" s="22" t="s">
        <v>41</v>
      </c>
      <c r="E197" s="22" t="s">
        <v>42</v>
      </c>
      <c r="F197" s="24">
        <v>3024</v>
      </c>
      <c r="G197" s="24">
        <v>925</v>
      </c>
      <c r="H197" s="24">
        <v>350</v>
      </c>
      <c r="I197" s="24">
        <v>24192</v>
      </c>
      <c r="J197" s="24">
        <v>23518</v>
      </c>
      <c r="K197" s="24">
        <v>36</v>
      </c>
      <c r="L197" s="22" t="s">
        <v>34</v>
      </c>
      <c r="M197" s="21"/>
      <c r="N197" s="21"/>
      <c r="O197" s="21" t="s">
        <v>22</v>
      </c>
    </row>
    <row r="198" spans="1:15" ht="29.4" customHeight="1" x14ac:dyDescent="0.3">
      <c r="A198" s="21" t="s">
        <v>221</v>
      </c>
      <c r="B198" s="22" t="s">
        <v>13</v>
      </c>
      <c r="C198" s="23" t="s">
        <v>222</v>
      </c>
      <c r="D198" s="22" t="s">
        <v>48</v>
      </c>
      <c r="E198" s="22" t="s">
        <v>127</v>
      </c>
      <c r="F198" s="24">
        <v>2214</v>
      </c>
      <c r="G198" s="24">
        <v>249</v>
      </c>
      <c r="H198" s="24">
        <v>152</v>
      </c>
      <c r="I198" s="24">
        <v>15498</v>
      </c>
      <c r="J198" s="24">
        <v>14800</v>
      </c>
      <c r="K198" s="24">
        <v>180</v>
      </c>
      <c r="L198" s="22" t="s">
        <v>34</v>
      </c>
      <c r="M198" s="21"/>
      <c r="N198" s="21"/>
      <c r="O198" s="8"/>
    </row>
    <row r="199" spans="1:15" ht="29.4" customHeight="1" x14ac:dyDescent="0.3">
      <c r="A199" s="21" t="s">
        <v>288</v>
      </c>
      <c r="B199" s="22" t="s">
        <v>13</v>
      </c>
      <c r="C199" s="23" t="s">
        <v>222</v>
      </c>
      <c r="D199" s="22" t="s">
        <v>48</v>
      </c>
      <c r="E199" s="22" t="s">
        <v>127</v>
      </c>
      <c r="F199" s="24">
        <v>3092</v>
      </c>
      <c r="G199" s="24">
        <v>106</v>
      </c>
      <c r="H199" s="24">
        <v>291</v>
      </c>
      <c r="I199" s="24">
        <v>27828</v>
      </c>
      <c r="J199" s="24">
        <v>27217</v>
      </c>
      <c r="K199" s="24">
        <v>102</v>
      </c>
      <c r="L199" s="22" t="s">
        <v>58</v>
      </c>
      <c r="M199" s="21"/>
      <c r="N199" s="21"/>
      <c r="O199" s="8"/>
    </row>
    <row r="200" spans="1:15" ht="29.4" customHeight="1" x14ac:dyDescent="0.3">
      <c r="A200" s="21" t="s">
        <v>378</v>
      </c>
      <c r="B200" s="22" t="s">
        <v>30</v>
      </c>
      <c r="C200" s="23" t="s">
        <v>379</v>
      </c>
      <c r="D200" s="22" t="s">
        <v>41</v>
      </c>
      <c r="E200" s="22" t="s">
        <v>84</v>
      </c>
      <c r="F200" s="24">
        <v>4523</v>
      </c>
      <c r="G200" s="24">
        <v>61</v>
      </c>
      <c r="H200" s="24">
        <v>157</v>
      </c>
      <c r="I200" s="24">
        <v>49753</v>
      </c>
      <c r="J200" s="24">
        <v>49329</v>
      </c>
      <c r="K200" s="24">
        <v>71</v>
      </c>
      <c r="L200" s="22" t="s">
        <v>34</v>
      </c>
      <c r="M200" s="21"/>
      <c r="N200" s="21"/>
      <c r="O200" s="8"/>
    </row>
    <row r="201" spans="1:15" ht="29.4" customHeight="1" x14ac:dyDescent="0.3">
      <c r="A201" s="21" t="s">
        <v>466</v>
      </c>
      <c r="B201" s="22" t="s">
        <v>39</v>
      </c>
      <c r="C201" s="23" t="s">
        <v>467</v>
      </c>
      <c r="D201" s="22" t="s">
        <v>15</v>
      </c>
      <c r="E201" s="22" t="s">
        <v>61</v>
      </c>
      <c r="F201" s="24">
        <v>4134</v>
      </c>
      <c r="G201" s="24">
        <v>824</v>
      </c>
      <c r="H201" s="24">
        <v>99</v>
      </c>
      <c r="I201" s="24">
        <v>41340</v>
      </c>
      <c r="J201" s="24">
        <v>41050</v>
      </c>
      <c r="K201" s="24">
        <v>177</v>
      </c>
      <c r="L201" s="22" t="s">
        <v>34</v>
      </c>
      <c r="M201" s="21"/>
      <c r="N201" s="21"/>
      <c r="O201" s="21" t="s">
        <v>17</v>
      </c>
    </row>
    <row r="202" spans="1:15" ht="29.4" customHeight="1" x14ac:dyDescent="0.3">
      <c r="A202" s="21" t="s">
        <v>480</v>
      </c>
      <c r="B202" s="22" t="s">
        <v>13</v>
      </c>
      <c r="C202" s="23" t="s">
        <v>481</v>
      </c>
      <c r="D202" s="22" t="s">
        <v>48</v>
      </c>
      <c r="E202" s="22" t="s">
        <v>127</v>
      </c>
      <c r="F202" s="24">
        <v>2692</v>
      </c>
      <c r="G202" s="24">
        <v>115</v>
      </c>
      <c r="H202" s="24">
        <v>64</v>
      </c>
      <c r="I202" s="24">
        <v>21536</v>
      </c>
      <c r="J202" s="24">
        <v>21120</v>
      </c>
      <c r="K202" s="24">
        <v>224</v>
      </c>
      <c r="L202" s="22" t="s">
        <v>58</v>
      </c>
      <c r="M202" s="21"/>
      <c r="N202" s="21"/>
      <c r="O202" s="21" t="s">
        <v>22</v>
      </c>
    </row>
    <row r="203" spans="1:15" ht="29.4" customHeight="1" x14ac:dyDescent="0.3">
      <c r="A203" s="21" t="s">
        <v>403</v>
      </c>
      <c r="B203" s="22" t="s">
        <v>13</v>
      </c>
      <c r="C203" s="23" t="s">
        <v>404</v>
      </c>
      <c r="D203" s="22" t="s">
        <v>15</v>
      </c>
      <c r="E203" s="22" t="s">
        <v>16</v>
      </c>
      <c r="F203" s="24">
        <v>802</v>
      </c>
      <c r="G203" s="24">
        <v>262</v>
      </c>
      <c r="H203" s="24">
        <v>244</v>
      </c>
      <c r="I203" s="24">
        <v>14436</v>
      </c>
      <c r="J203" s="24">
        <v>14280</v>
      </c>
      <c r="K203" s="24">
        <v>49</v>
      </c>
      <c r="L203" s="22" t="s">
        <v>34</v>
      </c>
      <c r="M203" s="21"/>
      <c r="N203" s="21"/>
      <c r="O203" s="21" t="s">
        <v>17</v>
      </c>
    </row>
    <row r="204" spans="1:15" ht="29.4" customHeight="1" x14ac:dyDescent="0.3">
      <c r="A204" s="21" t="s">
        <v>505</v>
      </c>
      <c r="B204" s="22" t="s">
        <v>24</v>
      </c>
      <c r="C204" s="23" t="s">
        <v>404</v>
      </c>
      <c r="D204" s="22" t="s">
        <v>15</v>
      </c>
      <c r="E204" s="22" t="s">
        <v>26</v>
      </c>
      <c r="F204" s="24">
        <v>3774</v>
      </c>
      <c r="G204" s="24">
        <v>239</v>
      </c>
      <c r="H204" s="24">
        <v>39</v>
      </c>
      <c r="I204" s="24">
        <v>60384</v>
      </c>
      <c r="J204" s="24">
        <v>59490</v>
      </c>
      <c r="K204" s="24">
        <v>241</v>
      </c>
      <c r="L204" s="22" t="s">
        <v>27</v>
      </c>
      <c r="M204" s="21"/>
      <c r="N204" s="21"/>
      <c r="O204" s="21" t="s">
        <v>28</v>
      </c>
    </row>
    <row r="205" spans="1:15" ht="29.4" customHeight="1" x14ac:dyDescent="0.3">
      <c r="A205" s="21" t="s">
        <v>362</v>
      </c>
      <c r="B205" s="22" t="s">
        <v>30</v>
      </c>
      <c r="C205" s="23" t="s">
        <v>363</v>
      </c>
      <c r="D205" s="22" t="s">
        <v>15</v>
      </c>
      <c r="E205" s="22" t="s">
        <v>78</v>
      </c>
      <c r="F205" s="24">
        <v>142</v>
      </c>
      <c r="G205" s="24">
        <v>784</v>
      </c>
      <c r="H205" s="24">
        <v>183</v>
      </c>
      <c r="I205" s="24">
        <v>1704</v>
      </c>
      <c r="J205" s="24">
        <v>995</v>
      </c>
      <c r="K205" s="24">
        <v>154</v>
      </c>
      <c r="L205" s="22" t="s">
        <v>58</v>
      </c>
      <c r="M205" s="21"/>
      <c r="N205" s="21"/>
      <c r="O205" s="21" t="s">
        <v>35</v>
      </c>
    </row>
    <row r="206" spans="1:15" ht="29.4" customHeight="1" x14ac:dyDescent="0.3">
      <c r="A206" s="21" t="s">
        <v>459</v>
      </c>
      <c r="B206" s="22" t="s">
        <v>39</v>
      </c>
      <c r="C206" s="23" t="s">
        <v>460</v>
      </c>
      <c r="D206" s="22" t="s">
        <v>32</v>
      </c>
      <c r="E206" s="22" t="s">
        <v>67</v>
      </c>
      <c r="F206" s="24">
        <v>4321</v>
      </c>
      <c r="G206" s="24">
        <v>874</v>
      </c>
      <c r="H206" s="24">
        <v>172</v>
      </c>
      <c r="I206" s="24">
        <v>30247</v>
      </c>
      <c r="J206" s="24">
        <v>29254</v>
      </c>
      <c r="K206" s="24">
        <v>122</v>
      </c>
      <c r="L206" s="22" t="s">
        <v>27</v>
      </c>
      <c r="M206" s="21"/>
      <c r="N206" s="21"/>
      <c r="O206" s="21" t="s">
        <v>35</v>
      </c>
    </row>
    <row r="207" spans="1:15" ht="29.4" customHeight="1" x14ac:dyDescent="0.3">
      <c r="A207" s="21" t="s">
        <v>492</v>
      </c>
      <c r="B207" s="22" t="s">
        <v>24</v>
      </c>
      <c r="C207" s="23" t="s">
        <v>460</v>
      </c>
      <c r="D207" s="22" t="s">
        <v>48</v>
      </c>
      <c r="E207" s="22" t="s">
        <v>49</v>
      </c>
      <c r="F207" s="24">
        <v>1206</v>
      </c>
      <c r="G207" s="24">
        <v>238</v>
      </c>
      <c r="H207" s="24">
        <v>36</v>
      </c>
      <c r="I207" s="24">
        <v>9648</v>
      </c>
      <c r="J207" s="24">
        <v>9417</v>
      </c>
      <c r="K207" s="24">
        <v>237</v>
      </c>
      <c r="L207" s="22" t="s">
        <v>27</v>
      </c>
      <c r="M207" s="21"/>
      <c r="N207" s="21"/>
      <c r="O207" s="8"/>
    </row>
    <row r="208" spans="1:15" ht="29.4" customHeight="1" x14ac:dyDescent="0.3">
      <c r="A208" s="21" t="s">
        <v>91</v>
      </c>
      <c r="B208" s="22" t="s">
        <v>39</v>
      </c>
      <c r="C208" s="23" t="s">
        <v>92</v>
      </c>
      <c r="D208" s="22" t="s">
        <v>70</v>
      </c>
      <c r="E208" s="22" t="s">
        <v>71</v>
      </c>
      <c r="F208" s="24">
        <v>3961</v>
      </c>
      <c r="G208" s="24">
        <v>761</v>
      </c>
      <c r="H208" s="24">
        <v>131</v>
      </c>
      <c r="I208" s="24">
        <v>67337</v>
      </c>
      <c r="J208" s="24">
        <v>66615</v>
      </c>
      <c r="K208" s="24">
        <v>161</v>
      </c>
      <c r="L208" s="22" t="s">
        <v>58</v>
      </c>
      <c r="M208" s="21"/>
      <c r="N208" s="21"/>
      <c r="O208" s="21" t="s">
        <v>28</v>
      </c>
    </row>
    <row r="209" spans="1:15" ht="29.4" customHeight="1" x14ac:dyDescent="0.3">
      <c r="A209" s="21" t="s">
        <v>215</v>
      </c>
      <c r="B209" s="22" t="s">
        <v>24</v>
      </c>
      <c r="C209" s="23" t="s">
        <v>216</v>
      </c>
      <c r="D209" s="22" t="s">
        <v>20</v>
      </c>
      <c r="E209" s="22" t="s">
        <v>99</v>
      </c>
      <c r="F209" s="24">
        <v>3428</v>
      </c>
      <c r="G209" s="24">
        <v>305</v>
      </c>
      <c r="H209" s="24">
        <v>85</v>
      </c>
      <c r="I209" s="24">
        <v>58276</v>
      </c>
      <c r="J209" s="24">
        <v>58052</v>
      </c>
      <c r="K209" s="24">
        <v>242</v>
      </c>
      <c r="L209" s="22" t="s">
        <v>34</v>
      </c>
      <c r="M209" s="21" t="s">
        <v>553</v>
      </c>
      <c r="N209" s="21"/>
      <c r="O209" s="21" t="s">
        <v>35</v>
      </c>
    </row>
    <row r="210" spans="1:15" ht="29.4" customHeight="1" x14ac:dyDescent="0.3">
      <c r="A210" s="21" t="s">
        <v>287</v>
      </c>
      <c r="B210" s="22" t="s">
        <v>39</v>
      </c>
      <c r="C210" s="23" t="s">
        <v>216</v>
      </c>
      <c r="D210" s="22" t="s">
        <v>15</v>
      </c>
      <c r="E210" s="22" t="s">
        <v>61</v>
      </c>
      <c r="F210" s="24">
        <v>3452</v>
      </c>
      <c r="G210" s="24">
        <v>652</v>
      </c>
      <c r="H210" s="24">
        <v>442</v>
      </c>
      <c r="I210" s="24">
        <v>65588</v>
      </c>
      <c r="J210" s="24">
        <v>65049</v>
      </c>
      <c r="K210" s="24">
        <v>158</v>
      </c>
      <c r="L210" s="22" t="s">
        <v>58</v>
      </c>
      <c r="M210" s="21"/>
      <c r="N210" s="21"/>
      <c r="O210" s="21" t="s">
        <v>28</v>
      </c>
    </row>
    <row r="211" spans="1:15" ht="29.4" customHeight="1" x14ac:dyDescent="0.3">
      <c r="A211" s="21" t="s">
        <v>167</v>
      </c>
      <c r="B211" s="22" t="s">
        <v>30</v>
      </c>
      <c r="C211" s="23" t="s">
        <v>168</v>
      </c>
      <c r="D211" s="22" t="s">
        <v>70</v>
      </c>
      <c r="E211" s="22" t="s">
        <v>81</v>
      </c>
      <c r="F211" s="24">
        <v>904</v>
      </c>
      <c r="G211" s="24">
        <v>973</v>
      </c>
      <c r="H211" s="24">
        <v>63</v>
      </c>
      <c r="I211" s="24">
        <v>11752</v>
      </c>
      <c r="J211" s="24">
        <v>11580</v>
      </c>
      <c r="K211" s="24">
        <v>84</v>
      </c>
      <c r="L211" s="22" t="s">
        <v>34</v>
      </c>
      <c r="M211" s="21" t="s">
        <v>27</v>
      </c>
      <c r="N211" s="21" t="s">
        <v>551</v>
      </c>
      <c r="O211" s="21" t="s">
        <v>28</v>
      </c>
    </row>
    <row r="212" spans="1:15" ht="29.4" customHeight="1" x14ac:dyDescent="0.3">
      <c r="A212" s="21" t="s">
        <v>429</v>
      </c>
      <c r="B212" s="22" t="s">
        <v>13</v>
      </c>
      <c r="C212" s="23" t="s">
        <v>168</v>
      </c>
      <c r="D212" s="22" t="s">
        <v>15</v>
      </c>
      <c r="E212" s="22" t="s">
        <v>16</v>
      </c>
      <c r="F212" s="24">
        <v>1188</v>
      </c>
      <c r="G212" s="24">
        <v>470</v>
      </c>
      <c r="H212" s="24">
        <v>174</v>
      </c>
      <c r="I212" s="24">
        <v>7128</v>
      </c>
      <c r="J212" s="24">
        <v>6145</v>
      </c>
      <c r="K212" s="24">
        <v>270</v>
      </c>
      <c r="L212" s="22" t="s">
        <v>27</v>
      </c>
      <c r="M212" s="21"/>
      <c r="N212" s="21"/>
      <c r="O212" s="21" t="s">
        <v>35</v>
      </c>
    </row>
    <row r="213" spans="1:15" ht="29.4" customHeight="1" x14ac:dyDescent="0.3">
      <c r="A213" s="21" t="s">
        <v>495</v>
      </c>
      <c r="B213" s="22" t="s">
        <v>13</v>
      </c>
      <c r="C213" s="23" t="s">
        <v>496</v>
      </c>
      <c r="D213" s="22" t="s">
        <v>48</v>
      </c>
      <c r="E213" s="22" t="s">
        <v>127</v>
      </c>
      <c r="F213" s="24">
        <v>59</v>
      </c>
      <c r="G213" s="24">
        <v>163</v>
      </c>
      <c r="H213" s="24">
        <v>93</v>
      </c>
      <c r="I213" s="24">
        <v>590</v>
      </c>
      <c r="J213" s="24">
        <v>475</v>
      </c>
      <c r="K213" s="24">
        <v>293</v>
      </c>
      <c r="L213" s="22" t="s">
        <v>27</v>
      </c>
      <c r="M213" s="21"/>
      <c r="N213" s="21"/>
      <c r="O213" s="21" t="s">
        <v>22</v>
      </c>
    </row>
    <row r="214" spans="1:15" ht="29.4" customHeight="1" x14ac:dyDescent="0.3">
      <c r="A214" s="21" t="s">
        <v>102</v>
      </c>
      <c r="B214" s="22" t="s">
        <v>30</v>
      </c>
      <c r="C214" s="23" t="s">
        <v>103</v>
      </c>
      <c r="D214" s="22" t="s">
        <v>41</v>
      </c>
      <c r="E214" s="22" t="s">
        <v>84</v>
      </c>
      <c r="F214" s="24">
        <v>2566</v>
      </c>
      <c r="G214" s="24">
        <v>118</v>
      </c>
      <c r="H214" s="24">
        <v>37</v>
      </c>
      <c r="I214" s="24">
        <v>12830</v>
      </c>
      <c r="J214" s="24">
        <v>12264</v>
      </c>
      <c r="K214" s="24">
        <v>221</v>
      </c>
      <c r="L214" s="22" t="s">
        <v>58</v>
      </c>
      <c r="M214" s="21"/>
      <c r="N214" s="21"/>
      <c r="O214" s="21" t="s">
        <v>28</v>
      </c>
    </row>
    <row r="215" spans="1:15" ht="29.4" customHeight="1" x14ac:dyDescent="0.3">
      <c r="A215" s="21" t="s">
        <v>56</v>
      </c>
      <c r="B215" s="22" t="s">
        <v>30</v>
      </c>
      <c r="C215" s="23" t="s">
        <v>57</v>
      </c>
      <c r="D215" s="22" t="s">
        <v>32</v>
      </c>
      <c r="E215" s="22" t="s">
        <v>33</v>
      </c>
      <c r="F215" s="24">
        <v>1792</v>
      </c>
      <c r="G215" s="24">
        <v>614</v>
      </c>
      <c r="H215" s="24">
        <v>497</v>
      </c>
      <c r="I215" s="24">
        <v>25088</v>
      </c>
      <c r="J215" s="24">
        <v>24675</v>
      </c>
      <c r="K215" s="24">
        <v>65</v>
      </c>
      <c r="L215" s="22" t="s">
        <v>58</v>
      </c>
      <c r="M215" s="21"/>
      <c r="N215" s="21"/>
      <c r="O215" s="21" t="s">
        <v>35</v>
      </c>
    </row>
    <row r="216" spans="1:15" ht="29.4" customHeight="1" x14ac:dyDescent="0.3">
      <c r="A216" s="21" t="s">
        <v>472</v>
      </c>
      <c r="B216" s="22" t="s">
        <v>39</v>
      </c>
      <c r="C216" s="23" t="s">
        <v>57</v>
      </c>
      <c r="D216" s="22" t="s">
        <v>32</v>
      </c>
      <c r="E216" s="22" t="s">
        <v>67</v>
      </c>
      <c r="F216" s="24">
        <v>886</v>
      </c>
      <c r="G216" s="24">
        <v>126</v>
      </c>
      <c r="H216" s="24">
        <v>153</v>
      </c>
      <c r="I216" s="24">
        <v>4430</v>
      </c>
      <c r="J216" s="24">
        <v>4037</v>
      </c>
      <c r="K216" s="24">
        <v>212</v>
      </c>
      <c r="L216" s="22" t="s">
        <v>34</v>
      </c>
      <c r="M216" s="21"/>
      <c r="N216" s="21"/>
      <c r="O216" s="8"/>
    </row>
    <row r="217" spans="1:15" ht="29.4" customHeight="1" x14ac:dyDescent="0.3">
      <c r="A217" s="21" t="s">
        <v>251</v>
      </c>
      <c r="B217" s="22" t="s">
        <v>30</v>
      </c>
      <c r="C217" s="23" t="s">
        <v>252</v>
      </c>
      <c r="D217" s="22" t="s">
        <v>48</v>
      </c>
      <c r="E217" s="22" t="s">
        <v>208</v>
      </c>
      <c r="F217" s="24">
        <v>4619</v>
      </c>
      <c r="G217" s="24">
        <v>821</v>
      </c>
      <c r="H217" s="24">
        <v>499</v>
      </c>
      <c r="I217" s="24">
        <v>69285</v>
      </c>
      <c r="J217" s="24">
        <v>69141</v>
      </c>
      <c r="K217" s="24">
        <v>298</v>
      </c>
      <c r="L217" s="22" t="s">
        <v>27</v>
      </c>
      <c r="M217" s="21"/>
      <c r="N217" s="21"/>
      <c r="O217" s="21" t="s">
        <v>35</v>
      </c>
    </row>
    <row r="218" spans="1:15" ht="29.4" customHeight="1" x14ac:dyDescent="0.3">
      <c r="A218" s="21" t="s">
        <v>294</v>
      </c>
      <c r="B218" s="22" t="s">
        <v>39</v>
      </c>
      <c r="C218" s="23" t="s">
        <v>295</v>
      </c>
      <c r="D218" s="22" t="s">
        <v>48</v>
      </c>
      <c r="E218" s="22" t="s">
        <v>55</v>
      </c>
      <c r="F218" s="24">
        <v>2072</v>
      </c>
      <c r="G218" s="24">
        <v>532</v>
      </c>
      <c r="H218" s="24">
        <v>71</v>
      </c>
      <c r="I218" s="24">
        <v>37296</v>
      </c>
      <c r="J218" s="24">
        <v>36467</v>
      </c>
      <c r="K218" s="24">
        <v>25</v>
      </c>
      <c r="L218" s="22" t="s">
        <v>27</v>
      </c>
      <c r="M218" s="21"/>
      <c r="N218" s="21"/>
      <c r="O218" s="21" t="s">
        <v>35</v>
      </c>
    </row>
    <row r="219" spans="1:15" ht="29.4" customHeight="1" x14ac:dyDescent="0.3">
      <c r="A219" s="21" t="s">
        <v>276</v>
      </c>
      <c r="B219" s="22" t="s">
        <v>30</v>
      </c>
      <c r="C219" s="23" t="s">
        <v>277</v>
      </c>
      <c r="D219" s="22" t="s">
        <v>15</v>
      </c>
      <c r="E219" s="22" t="s">
        <v>78</v>
      </c>
      <c r="F219" s="24">
        <v>1970</v>
      </c>
      <c r="G219" s="24">
        <v>675</v>
      </c>
      <c r="H219" s="24">
        <v>478</v>
      </c>
      <c r="I219" s="24">
        <v>9850</v>
      </c>
      <c r="J219" s="24">
        <v>8924</v>
      </c>
      <c r="K219" s="24">
        <v>117</v>
      </c>
      <c r="L219" s="22" t="s">
        <v>58</v>
      </c>
      <c r="M219" s="21"/>
      <c r="N219" s="21"/>
      <c r="O219" s="8"/>
    </row>
    <row r="220" spans="1:15" ht="29.4" customHeight="1" x14ac:dyDescent="0.3">
      <c r="A220" s="21" t="s">
        <v>240</v>
      </c>
      <c r="B220" s="22" t="s">
        <v>24</v>
      </c>
      <c r="C220" s="23" t="s">
        <v>241</v>
      </c>
      <c r="D220" s="22" t="s">
        <v>70</v>
      </c>
      <c r="E220" s="22" t="s">
        <v>211</v>
      </c>
      <c r="F220" s="24">
        <v>1766</v>
      </c>
      <c r="G220" s="24">
        <v>92</v>
      </c>
      <c r="H220" s="24">
        <v>424</v>
      </c>
      <c r="I220" s="24">
        <v>24724</v>
      </c>
      <c r="J220" s="24">
        <v>24333</v>
      </c>
      <c r="K220" s="24">
        <v>52</v>
      </c>
      <c r="L220" s="22" t="s">
        <v>34</v>
      </c>
      <c r="M220" s="21"/>
      <c r="N220" s="21"/>
      <c r="O220" s="8"/>
    </row>
    <row r="221" spans="1:15" ht="29.4" customHeight="1" x14ac:dyDescent="0.3">
      <c r="A221" s="21" t="s">
        <v>487</v>
      </c>
      <c r="B221" s="22" t="s">
        <v>39</v>
      </c>
      <c r="C221" s="23" t="s">
        <v>241</v>
      </c>
      <c r="D221" s="22" t="s">
        <v>20</v>
      </c>
      <c r="E221" s="22" t="s">
        <v>52</v>
      </c>
      <c r="F221" s="24">
        <v>562</v>
      </c>
      <c r="G221" s="24">
        <v>158</v>
      </c>
      <c r="H221" s="24">
        <v>149</v>
      </c>
      <c r="I221" s="24">
        <v>3372</v>
      </c>
      <c r="J221" s="24">
        <v>2940</v>
      </c>
      <c r="K221" s="24">
        <v>93</v>
      </c>
      <c r="L221" s="22" t="s">
        <v>27</v>
      </c>
      <c r="M221" s="21"/>
      <c r="N221" s="21"/>
      <c r="O221" s="21" t="s">
        <v>17</v>
      </c>
    </row>
    <row r="222" spans="1:15" ht="29.4" customHeight="1" x14ac:dyDescent="0.3">
      <c r="A222" s="21" t="s">
        <v>544</v>
      </c>
      <c r="B222" s="22" t="s">
        <v>13</v>
      </c>
      <c r="C222" s="23" t="s">
        <v>545</v>
      </c>
      <c r="D222" s="22" t="s">
        <v>70</v>
      </c>
      <c r="E222" s="22" t="s">
        <v>140</v>
      </c>
      <c r="F222" s="24">
        <v>3440</v>
      </c>
      <c r="G222" s="24">
        <v>13</v>
      </c>
      <c r="H222" s="24">
        <v>20</v>
      </c>
      <c r="I222" s="24">
        <v>58480</v>
      </c>
      <c r="J222" s="24">
        <v>58146</v>
      </c>
      <c r="K222" s="24">
        <v>210</v>
      </c>
      <c r="L222" s="22" t="s">
        <v>27</v>
      </c>
      <c r="M222" s="21" t="s">
        <v>552</v>
      </c>
      <c r="N222" s="21"/>
      <c r="O222" s="21" t="s">
        <v>35</v>
      </c>
    </row>
    <row r="223" spans="1:15" ht="29.4" customHeight="1" x14ac:dyDescent="0.3">
      <c r="A223" s="21" t="s">
        <v>488</v>
      </c>
      <c r="B223" s="22" t="s">
        <v>30</v>
      </c>
      <c r="C223" s="23" t="s">
        <v>489</v>
      </c>
      <c r="D223" s="22" t="s">
        <v>32</v>
      </c>
      <c r="E223" s="22" t="s">
        <v>33</v>
      </c>
      <c r="F223" s="24">
        <v>4332</v>
      </c>
      <c r="G223" s="24">
        <v>771</v>
      </c>
      <c r="H223" s="24">
        <v>219</v>
      </c>
      <c r="I223" s="24">
        <v>60648</v>
      </c>
      <c r="J223" s="24">
        <v>60397</v>
      </c>
      <c r="K223" s="24">
        <v>10</v>
      </c>
      <c r="L223" s="22" t="s">
        <v>27</v>
      </c>
      <c r="M223" s="21" t="s">
        <v>34</v>
      </c>
      <c r="N223" s="21" t="s">
        <v>553</v>
      </c>
      <c r="O223" s="21" t="s">
        <v>28</v>
      </c>
    </row>
    <row r="224" spans="1:15" ht="29.4" customHeight="1" x14ac:dyDescent="0.3">
      <c r="A224" s="21" t="s">
        <v>65</v>
      </c>
      <c r="B224" s="22" t="s">
        <v>39</v>
      </c>
      <c r="C224" s="23" t="s">
        <v>66</v>
      </c>
      <c r="D224" s="22" t="s">
        <v>32</v>
      </c>
      <c r="E224" s="22" t="s">
        <v>67</v>
      </c>
      <c r="F224" s="24">
        <v>4242</v>
      </c>
      <c r="G224" s="24">
        <v>555</v>
      </c>
      <c r="H224" s="24">
        <v>131</v>
      </c>
      <c r="I224" s="24">
        <v>33936</v>
      </c>
      <c r="J224" s="24">
        <v>33802</v>
      </c>
      <c r="K224" s="24">
        <v>265</v>
      </c>
      <c r="L224" s="22" t="s">
        <v>58</v>
      </c>
      <c r="M224" s="21"/>
      <c r="N224" s="21"/>
      <c r="O224" s="8"/>
    </row>
    <row r="225" spans="1:15" ht="29.4" customHeight="1" x14ac:dyDescent="0.3">
      <c r="A225" s="21" t="s">
        <v>347</v>
      </c>
      <c r="B225" s="22" t="s">
        <v>13</v>
      </c>
      <c r="C225" s="23" t="s">
        <v>66</v>
      </c>
      <c r="D225" s="22" t="s">
        <v>15</v>
      </c>
      <c r="E225" s="22" t="s">
        <v>16</v>
      </c>
      <c r="F225" s="24">
        <v>1076</v>
      </c>
      <c r="G225" s="24">
        <v>313</v>
      </c>
      <c r="H225" s="24">
        <v>306</v>
      </c>
      <c r="I225" s="24">
        <v>11836</v>
      </c>
      <c r="J225" s="24">
        <v>11596</v>
      </c>
      <c r="K225" s="24">
        <v>104</v>
      </c>
      <c r="L225" s="22" t="s">
        <v>58</v>
      </c>
      <c r="M225" s="21"/>
      <c r="N225" s="21"/>
      <c r="O225" s="21" t="s">
        <v>17</v>
      </c>
    </row>
    <row r="226" spans="1:15" ht="29.4" customHeight="1" x14ac:dyDescent="0.3">
      <c r="A226" s="21" t="s">
        <v>121</v>
      </c>
      <c r="B226" s="22" t="s">
        <v>24</v>
      </c>
      <c r="C226" s="23" t="s">
        <v>122</v>
      </c>
      <c r="D226" s="22" t="s">
        <v>15</v>
      </c>
      <c r="E226" s="22" t="s">
        <v>26</v>
      </c>
      <c r="F226" s="24">
        <v>3138</v>
      </c>
      <c r="G226" s="24">
        <v>123</v>
      </c>
      <c r="H226" s="24">
        <v>291</v>
      </c>
      <c r="I226" s="24">
        <v>28242</v>
      </c>
      <c r="J226" s="24">
        <v>27550</v>
      </c>
      <c r="K226" s="24">
        <v>87</v>
      </c>
      <c r="L226" s="22" t="s">
        <v>27</v>
      </c>
      <c r="M226" s="21"/>
      <c r="N226" s="21"/>
      <c r="O226" s="21" t="s">
        <v>35</v>
      </c>
    </row>
    <row r="227" spans="1:15" ht="29.4" customHeight="1" x14ac:dyDescent="0.3">
      <c r="A227" s="21" t="s">
        <v>339</v>
      </c>
      <c r="B227" s="22" t="s">
        <v>13</v>
      </c>
      <c r="C227" s="23" t="s">
        <v>340</v>
      </c>
      <c r="D227" s="22" t="s">
        <v>20</v>
      </c>
      <c r="E227" s="22" t="s">
        <v>21</v>
      </c>
      <c r="F227" s="24">
        <v>4671</v>
      </c>
      <c r="G227" s="24">
        <v>876</v>
      </c>
      <c r="H227" s="24">
        <v>366</v>
      </c>
      <c r="I227" s="24">
        <v>51381</v>
      </c>
      <c r="J227" s="24">
        <v>50565</v>
      </c>
      <c r="K227" s="24">
        <v>245</v>
      </c>
      <c r="L227" s="22" t="s">
        <v>27</v>
      </c>
      <c r="M227" s="21"/>
      <c r="N227" s="21"/>
      <c r="O227" s="21" t="s">
        <v>35</v>
      </c>
    </row>
    <row r="228" spans="1:15" ht="29.4" customHeight="1" x14ac:dyDescent="0.3">
      <c r="A228" s="21" t="s">
        <v>417</v>
      </c>
      <c r="B228" s="22" t="s">
        <v>24</v>
      </c>
      <c r="C228" s="23" t="s">
        <v>340</v>
      </c>
      <c r="D228" s="22" t="s">
        <v>48</v>
      </c>
      <c r="E228" s="22" t="s">
        <v>49</v>
      </c>
      <c r="F228" s="24">
        <v>257</v>
      </c>
      <c r="G228" s="24">
        <v>966</v>
      </c>
      <c r="H228" s="24">
        <v>398</v>
      </c>
      <c r="I228" s="24">
        <v>3341</v>
      </c>
      <c r="J228" s="24">
        <v>2753</v>
      </c>
      <c r="K228" s="24">
        <v>287</v>
      </c>
      <c r="L228" s="22" t="s">
        <v>58</v>
      </c>
      <c r="M228" s="21"/>
      <c r="N228" s="21"/>
      <c r="O228" s="21" t="s">
        <v>17</v>
      </c>
    </row>
    <row r="229" spans="1:15" ht="29.4" customHeight="1" x14ac:dyDescent="0.3">
      <c r="A229" s="21" t="s">
        <v>497</v>
      </c>
      <c r="B229" s="22" t="s">
        <v>13</v>
      </c>
      <c r="C229" s="23" t="s">
        <v>498</v>
      </c>
      <c r="D229" s="22" t="s">
        <v>41</v>
      </c>
      <c r="E229" s="22" t="s">
        <v>45</v>
      </c>
      <c r="F229" s="24">
        <v>1877</v>
      </c>
      <c r="G229" s="24">
        <v>745</v>
      </c>
      <c r="H229" s="24">
        <v>225</v>
      </c>
      <c r="I229" s="24">
        <v>11262</v>
      </c>
      <c r="J229" s="24">
        <v>10967</v>
      </c>
      <c r="K229" s="24">
        <v>41</v>
      </c>
      <c r="L229" s="22" t="s">
        <v>34</v>
      </c>
      <c r="M229" s="21"/>
      <c r="N229" s="21"/>
      <c r="O229" s="21" t="s">
        <v>35</v>
      </c>
    </row>
    <row r="230" spans="1:15" ht="29.4" customHeight="1" x14ac:dyDescent="0.3">
      <c r="A230" s="21" t="s">
        <v>141</v>
      </c>
      <c r="B230" s="22" t="s">
        <v>13</v>
      </c>
      <c r="C230" s="23" t="s">
        <v>142</v>
      </c>
      <c r="D230" s="22" t="s">
        <v>41</v>
      </c>
      <c r="E230" s="22" t="s">
        <v>45</v>
      </c>
      <c r="F230" s="24">
        <v>2704</v>
      </c>
      <c r="G230" s="24">
        <v>752</v>
      </c>
      <c r="H230" s="24">
        <v>153</v>
      </c>
      <c r="I230" s="24">
        <v>21632</v>
      </c>
      <c r="J230" s="24">
        <v>20792</v>
      </c>
      <c r="K230" s="24">
        <v>127</v>
      </c>
      <c r="L230" s="22" t="s">
        <v>58</v>
      </c>
      <c r="M230" s="21"/>
      <c r="N230" s="21"/>
      <c r="O230" s="8"/>
    </row>
    <row r="231" spans="1:15" ht="29.4" customHeight="1" x14ac:dyDescent="0.3">
      <c r="A231" s="21" t="s">
        <v>154</v>
      </c>
      <c r="B231" s="22" t="s">
        <v>24</v>
      </c>
      <c r="C231" s="23" t="s">
        <v>142</v>
      </c>
      <c r="D231" s="22" t="s">
        <v>41</v>
      </c>
      <c r="E231" s="22" t="s">
        <v>64</v>
      </c>
      <c r="F231" s="24">
        <v>804</v>
      </c>
      <c r="G231" s="24">
        <v>639</v>
      </c>
      <c r="H231" s="24">
        <v>43</v>
      </c>
      <c r="I231" s="24">
        <v>4020</v>
      </c>
      <c r="J231" s="24">
        <v>3144</v>
      </c>
      <c r="K231" s="24">
        <v>11</v>
      </c>
      <c r="L231" s="22" t="s">
        <v>34</v>
      </c>
      <c r="M231" s="21" t="s">
        <v>553</v>
      </c>
      <c r="N231" s="21"/>
      <c r="O231" s="8"/>
    </row>
    <row r="232" spans="1:15" ht="29.4" customHeight="1" x14ac:dyDescent="0.3">
      <c r="A232" s="21" t="s">
        <v>457</v>
      </c>
      <c r="B232" s="22" t="s">
        <v>24</v>
      </c>
      <c r="C232" s="23" t="s">
        <v>142</v>
      </c>
      <c r="D232" s="22" t="s">
        <v>20</v>
      </c>
      <c r="E232" s="22" t="s">
        <v>99</v>
      </c>
      <c r="F232" s="24">
        <v>4188</v>
      </c>
      <c r="G232" s="24">
        <v>942</v>
      </c>
      <c r="H232" s="24">
        <v>118</v>
      </c>
      <c r="I232" s="24">
        <v>20940</v>
      </c>
      <c r="J232" s="24">
        <v>20471</v>
      </c>
      <c r="K232" s="24">
        <v>102</v>
      </c>
      <c r="L232" s="22" t="s">
        <v>58</v>
      </c>
      <c r="M232" s="21"/>
      <c r="N232" s="21"/>
      <c r="O232" s="8"/>
    </row>
    <row r="233" spans="1:15" ht="29.4" customHeight="1" x14ac:dyDescent="0.3">
      <c r="A233" s="21" t="s">
        <v>104</v>
      </c>
      <c r="B233" s="22" t="s">
        <v>30</v>
      </c>
      <c r="C233" s="23" t="s">
        <v>105</v>
      </c>
      <c r="D233" s="22" t="s">
        <v>70</v>
      </c>
      <c r="E233" s="22" t="s">
        <v>81</v>
      </c>
      <c r="F233" s="24">
        <v>3095</v>
      </c>
      <c r="G233" s="24">
        <v>39</v>
      </c>
      <c r="H233" s="24">
        <v>78</v>
      </c>
      <c r="I233" s="24">
        <v>55710</v>
      </c>
      <c r="J233" s="24">
        <v>54808</v>
      </c>
      <c r="K233" s="24">
        <v>93</v>
      </c>
      <c r="L233" s="22" t="s">
        <v>34</v>
      </c>
      <c r="M233" s="21"/>
      <c r="N233" s="21"/>
      <c r="O233" s="8"/>
    </row>
    <row r="234" spans="1:15" ht="29.4" customHeight="1" x14ac:dyDescent="0.3">
      <c r="A234" s="21" t="s">
        <v>87</v>
      </c>
      <c r="B234" s="22" t="s">
        <v>39</v>
      </c>
      <c r="C234" s="23" t="s">
        <v>88</v>
      </c>
      <c r="D234" s="22" t="s">
        <v>20</v>
      </c>
      <c r="E234" s="22" t="s">
        <v>52</v>
      </c>
      <c r="F234" s="24">
        <v>1570</v>
      </c>
      <c r="G234" s="24">
        <v>187</v>
      </c>
      <c r="H234" s="24">
        <v>260</v>
      </c>
      <c r="I234" s="24">
        <v>25120</v>
      </c>
      <c r="J234" s="24">
        <v>24613</v>
      </c>
      <c r="K234" s="24">
        <v>133</v>
      </c>
      <c r="L234" s="22" t="s">
        <v>27</v>
      </c>
      <c r="M234" s="21"/>
      <c r="N234" s="21"/>
      <c r="O234" s="21" t="s">
        <v>35</v>
      </c>
    </row>
    <row r="235" spans="1:15" ht="29.4" customHeight="1" x14ac:dyDescent="0.3">
      <c r="A235" s="21" t="s">
        <v>345</v>
      </c>
      <c r="B235" s="22" t="s">
        <v>24</v>
      </c>
      <c r="C235" s="23" t="s">
        <v>88</v>
      </c>
      <c r="D235" s="22" t="s">
        <v>20</v>
      </c>
      <c r="E235" s="22" t="s">
        <v>99</v>
      </c>
      <c r="F235" s="24">
        <v>4934</v>
      </c>
      <c r="G235" s="24">
        <v>971</v>
      </c>
      <c r="H235" s="24">
        <v>156</v>
      </c>
      <c r="I235" s="24">
        <v>39472</v>
      </c>
      <c r="J235" s="24">
        <v>39025</v>
      </c>
      <c r="K235" s="24">
        <v>169</v>
      </c>
      <c r="L235" s="22" t="s">
        <v>27</v>
      </c>
      <c r="M235" s="21" t="s">
        <v>551</v>
      </c>
      <c r="N235" s="21"/>
      <c r="O235" s="21" t="s">
        <v>35</v>
      </c>
    </row>
    <row r="236" spans="1:15" ht="29.4" customHeight="1" x14ac:dyDescent="0.3">
      <c r="A236" s="21" t="s">
        <v>134</v>
      </c>
      <c r="B236" s="22" t="s">
        <v>13</v>
      </c>
      <c r="C236" s="23" t="s">
        <v>135</v>
      </c>
      <c r="D236" s="22" t="s">
        <v>48</v>
      </c>
      <c r="E236" s="22" t="s">
        <v>127</v>
      </c>
      <c r="F236" s="24">
        <v>2358</v>
      </c>
      <c r="G236" s="24">
        <v>784</v>
      </c>
      <c r="H236" s="24">
        <v>344</v>
      </c>
      <c r="I236" s="24">
        <v>35370</v>
      </c>
      <c r="J236" s="24">
        <v>34475</v>
      </c>
      <c r="K236" s="24">
        <v>216</v>
      </c>
      <c r="L236" s="22" t="s">
        <v>27</v>
      </c>
      <c r="M236" s="21"/>
      <c r="N236" s="21"/>
      <c r="O236" s="8"/>
    </row>
    <row r="237" spans="1:15" ht="29.4" customHeight="1" x14ac:dyDescent="0.3">
      <c r="A237" s="21" t="s">
        <v>189</v>
      </c>
      <c r="B237" s="22" t="s">
        <v>24</v>
      </c>
      <c r="C237" s="23" t="s">
        <v>190</v>
      </c>
      <c r="D237" s="22" t="s">
        <v>15</v>
      </c>
      <c r="E237" s="22" t="s">
        <v>26</v>
      </c>
      <c r="F237" s="24">
        <v>296</v>
      </c>
      <c r="G237" s="24">
        <v>60</v>
      </c>
      <c r="H237" s="24">
        <v>141</v>
      </c>
      <c r="I237" s="24">
        <v>5624</v>
      </c>
      <c r="J237" s="24">
        <v>5239</v>
      </c>
      <c r="K237" s="24">
        <v>88</v>
      </c>
      <c r="L237" s="22" t="s">
        <v>34</v>
      </c>
      <c r="M237" s="21"/>
      <c r="N237" s="21"/>
      <c r="O237" s="21" t="s">
        <v>22</v>
      </c>
    </row>
    <row r="238" spans="1:15" ht="29.4" customHeight="1" x14ac:dyDescent="0.3">
      <c r="A238" s="21" t="s">
        <v>420</v>
      </c>
      <c r="B238" s="22" t="s">
        <v>24</v>
      </c>
      <c r="C238" s="23" t="s">
        <v>190</v>
      </c>
      <c r="D238" s="22" t="s">
        <v>70</v>
      </c>
      <c r="E238" s="22" t="s">
        <v>211</v>
      </c>
      <c r="F238" s="24">
        <v>3874</v>
      </c>
      <c r="G238" s="24">
        <v>884</v>
      </c>
      <c r="H238" s="24">
        <v>19</v>
      </c>
      <c r="I238" s="24">
        <v>38740</v>
      </c>
      <c r="J238" s="24">
        <v>38552</v>
      </c>
      <c r="K238" s="24">
        <v>219</v>
      </c>
      <c r="L238" s="22" t="s">
        <v>27</v>
      </c>
      <c r="M238" s="21"/>
      <c r="N238" s="21"/>
      <c r="O238" s="21" t="s">
        <v>22</v>
      </c>
    </row>
    <row r="239" spans="1:15" ht="29.4" customHeight="1" x14ac:dyDescent="0.3">
      <c r="A239" s="21" t="s">
        <v>100</v>
      </c>
      <c r="B239" s="22" t="s">
        <v>30</v>
      </c>
      <c r="C239" s="23" t="s">
        <v>101</v>
      </c>
      <c r="D239" s="22" t="s">
        <v>70</v>
      </c>
      <c r="E239" s="22" t="s">
        <v>81</v>
      </c>
      <c r="F239" s="24">
        <v>432</v>
      </c>
      <c r="G239" s="24">
        <v>624</v>
      </c>
      <c r="H239" s="24">
        <v>123</v>
      </c>
      <c r="I239" s="24">
        <v>6912</v>
      </c>
      <c r="J239" s="24">
        <v>6259</v>
      </c>
      <c r="K239" s="24">
        <v>79</v>
      </c>
      <c r="L239" s="22" t="s">
        <v>58</v>
      </c>
      <c r="M239" s="21"/>
      <c r="N239" s="21"/>
      <c r="O239" s="21" t="s">
        <v>35</v>
      </c>
    </row>
    <row r="240" spans="1:15" ht="29.4" customHeight="1" x14ac:dyDescent="0.3">
      <c r="A240" s="21" t="s">
        <v>199</v>
      </c>
      <c r="B240" s="22" t="s">
        <v>39</v>
      </c>
      <c r="C240" s="23" t="s">
        <v>101</v>
      </c>
      <c r="D240" s="22" t="s">
        <v>32</v>
      </c>
      <c r="E240" s="22" t="s">
        <v>67</v>
      </c>
      <c r="F240" s="24">
        <v>1249</v>
      </c>
      <c r="G240" s="24">
        <v>116</v>
      </c>
      <c r="H240" s="24">
        <v>420</v>
      </c>
      <c r="I240" s="24">
        <v>8743</v>
      </c>
      <c r="J240" s="24">
        <v>8538</v>
      </c>
      <c r="K240" s="24">
        <v>63</v>
      </c>
      <c r="L240" s="22" t="s">
        <v>27</v>
      </c>
      <c r="M240" s="21"/>
      <c r="N240" s="21"/>
      <c r="O240" s="8"/>
    </row>
    <row r="241" spans="1:15" ht="29.4" customHeight="1" x14ac:dyDescent="0.3">
      <c r="A241" s="21" t="s">
        <v>293</v>
      </c>
      <c r="B241" s="22" t="s">
        <v>30</v>
      </c>
      <c r="C241" s="23" t="s">
        <v>101</v>
      </c>
      <c r="D241" s="22" t="s">
        <v>32</v>
      </c>
      <c r="E241" s="22" t="s">
        <v>33</v>
      </c>
      <c r="F241" s="24">
        <v>1947</v>
      </c>
      <c r="G241" s="24">
        <v>842</v>
      </c>
      <c r="H241" s="24">
        <v>101</v>
      </c>
      <c r="I241" s="24">
        <v>21417</v>
      </c>
      <c r="J241" s="24">
        <v>20967</v>
      </c>
      <c r="K241" s="24">
        <v>186</v>
      </c>
      <c r="L241" s="22" t="s">
        <v>58</v>
      </c>
      <c r="M241" s="21"/>
      <c r="N241" s="21"/>
      <c r="O241" s="21" t="s">
        <v>22</v>
      </c>
    </row>
    <row r="242" spans="1:15" ht="29.4" customHeight="1" x14ac:dyDescent="0.3">
      <c r="A242" s="21" t="s">
        <v>130</v>
      </c>
      <c r="B242" s="22" t="s">
        <v>24</v>
      </c>
      <c r="C242" s="23" t="s">
        <v>131</v>
      </c>
      <c r="D242" s="22" t="s">
        <v>15</v>
      </c>
      <c r="E242" s="22" t="s">
        <v>26</v>
      </c>
      <c r="F242" s="24">
        <v>1543</v>
      </c>
      <c r="G242" s="24">
        <v>820</v>
      </c>
      <c r="H242" s="24">
        <v>333</v>
      </c>
      <c r="I242" s="24">
        <v>12344</v>
      </c>
      <c r="J242" s="24">
        <v>11496</v>
      </c>
      <c r="K242" s="24">
        <v>241</v>
      </c>
      <c r="L242" s="22" t="s">
        <v>34</v>
      </c>
      <c r="M242" s="21"/>
      <c r="N242" s="21"/>
      <c r="O242" s="8"/>
    </row>
    <row r="243" spans="1:15" ht="29.4" customHeight="1" x14ac:dyDescent="0.3">
      <c r="A243" s="21" t="s">
        <v>462</v>
      </c>
      <c r="B243" s="22" t="s">
        <v>13</v>
      </c>
      <c r="C243" s="23" t="s">
        <v>463</v>
      </c>
      <c r="D243" s="22" t="s">
        <v>48</v>
      </c>
      <c r="E243" s="22" t="s">
        <v>127</v>
      </c>
      <c r="F243" s="24">
        <v>3592</v>
      </c>
      <c r="G243" s="24">
        <v>911</v>
      </c>
      <c r="H243" s="24">
        <v>375</v>
      </c>
      <c r="I243" s="24">
        <v>50288</v>
      </c>
      <c r="J243" s="24">
        <v>49490</v>
      </c>
      <c r="K243" s="24">
        <v>32</v>
      </c>
      <c r="L243" s="22" t="s">
        <v>58</v>
      </c>
      <c r="M243" s="21"/>
      <c r="N243" s="21"/>
      <c r="O243" s="21" t="s">
        <v>35</v>
      </c>
    </row>
    <row r="244" spans="1:15" ht="29.4" customHeight="1" x14ac:dyDescent="0.3">
      <c r="A244" s="21" t="s">
        <v>125</v>
      </c>
      <c r="B244" s="22" t="s">
        <v>13</v>
      </c>
      <c r="C244" s="23" t="s">
        <v>126</v>
      </c>
      <c r="D244" s="22" t="s">
        <v>48</v>
      </c>
      <c r="E244" s="22" t="s">
        <v>127</v>
      </c>
      <c r="F244" s="24">
        <v>4750</v>
      </c>
      <c r="G244" s="24">
        <v>151</v>
      </c>
      <c r="H244" s="24">
        <v>415</v>
      </c>
      <c r="I244" s="24">
        <v>38000</v>
      </c>
      <c r="J244" s="24">
        <v>37792</v>
      </c>
      <c r="K244" s="24">
        <v>299</v>
      </c>
      <c r="L244" s="22" t="s">
        <v>34</v>
      </c>
      <c r="M244" s="21"/>
      <c r="N244" s="21"/>
      <c r="O244" s="21" t="s">
        <v>35</v>
      </c>
    </row>
    <row r="245" spans="1:15" ht="29.4" customHeight="1" x14ac:dyDescent="0.3">
      <c r="A245" s="21" t="s">
        <v>128</v>
      </c>
      <c r="B245" s="22" t="s">
        <v>30</v>
      </c>
      <c r="C245" s="23" t="s">
        <v>129</v>
      </c>
      <c r="D245" s="22" t="s">
        <v>15</v>
      </c>
      <c r="E245" s="22" t="s">
        <v>78</v>
      </c>
      <c r="F245" s="24">
        <v>456</v>
      </c>
      <c r="G245" s="24">
        <v>629</v>
      </c>
      <c r="H245" s="24">
        <v>428</v>
      </c>
      <c r="I245" s="24">
        <v>8208</v>
      </c>
      <c r="J245" s="24">
        <v>7377</v>
      </c>
      <c r="K245" s="24">
        <v>205</v>
      </c>
      <c r="L245" s="22" t="s">
        <v>58</v>
      </c>
      <c r="M245" s="21"/>
      <c r="N245" s="21"/>
      <c r="O245" s="21" t="s">
        <v>35</v>
      </c>
    </row>
    <row r="246" spans="1:15" ht="29.4" customHeight="1" x14ac:dyDescent="0.3">
      <c r="A246" s="21" t="s">
        <v>184</v>
      </c>
      <c r="B246" s="22" t="s">
        <v>13</v>
      </c>
      <c r="C246" s="23" t="s">
        <v>129</v>
      </c>
      <c r="D246" s="22" t="s">
        <v>20</v>
      </c>
      <c r="E246" s="22" t="s">
        <v>21</v>
      </c>
      <c r="F246" s="24">
        <v>1292</v>
      </c>
      <c r="G246" s="24">
        <v>626</v>
      </c>
      <c r="H246" s="24">
        <v>496</v>
      </c>
      <c r="I246" s="24">
        <v>25840</v>
      </c>
      <c r="J246" s="24">
        <v>24916</v>
      </c>
      <c r="K246" s="24">
        <v>149</v>
      </c>
      <c r="L246" s="22" t="s">
        <v>58</v>
      </c>
      <c r="M246" s="21"/>
      <c r="N246" s="21"/>
      <c r="O246" s="21" t="s">
        <v>28</v>
      </c>
    </row>
    <row r="247" spans="1:15" ht="29.4" customHeight="1" x14ac:dyDescent="0.3">
      <c r="A247" s="21" t="s">
        <v>449</v>
      </c>
      <c r="B247" s="22" t="s">
        <v>39</v>
      </c>
      <c r="C247" s="23" t="s">
        <v>129</v>
      </c>
      <c r="D247" s="22" t="s">
        <v>48</v>
      </c>
      <c r="E247" s="22" t="s">
        <v>55</v>
      </c>
      <c r="F247" s="24">
        <v>2382</v>
      </c>
      <c r="G247" s="24">
        <v>265</v>
      </c>
      <c r="H247" s="24">
        <v>134</v>
      </c>
      <c r="I247" s="24">
        <v>38112</v>
      </c>
      <c r="J247" s="24">
        <v>37437</v>
      </c>
      <c r="K247" s="24">
        <v>249</v>
      </c>
      <c r="L247" s="22" t="s">
        <v>58</v>
      </c>
      <c r="M247" s="21"/>
      <c r="N247" s="21"/>
      <c r="O247" s="21" t="s">
        <v>35</v>
      </c>
    </row>
    <row r="248" spans="1:15" ht="29.4" customHeight="1" x14ac:dyDescent="0.3">
      <c r="A248" s="21" t="s">
        <v>53</v>
      </c>
      <c r="B248" s="22" t="s">
        <v>39</v>
      </c>
      <c r="C248" s="23" t="s">
        <v>54</v>
      </c>
      <c r="D248" s="22" t="s">
        <v>48</v>
      </c>
      <c r="E248" s="22" t="s">
        <v>55</v>
      </c>
      <c r="F248" s="24">
        <v>4241</v>
      </c>
      <c r="G248" s="24">
        <v>902</v>
      </c>
      <c r="H248" s="24">
        <v>47</v>
      </c>
      <c r="I248" s="24">
        <v>72097</v>
      </c>
      <c r="J248" s="24">
        <v>71598</v>
      </c>
      <c r="K248" s="24">
        <v>167</v>
      </c>
      <c r="L248" s="22" t="s">
        <v>27</v>
      </c>
      <c r="M248" s="21"/>
      <c r="N248" s="21"/>
      <c r="O248" s="21" t="s">
        <v>22</v>
      </c>
    </row>
    <row r="249" spans="1:15" ht="29.4" customHeight="1" x14ac:dyDescent="0.3">
      <c r="A249" s="21" t="s">
        <v>143</v>
      </c>
      <c r="B249" s="22" t="s">
        <v>13</v>
      </c>
      <c r="C249" s="23" t="s">
        <v>54</v>
      </c>
      <c r="D249" s="22" t="s">
        <v>32</v>
      </c>
      <c r="E249" s="22" t="s">
        <v>144</v>
      </c>
      <c r="F249" s="24">
        <v>1950</v>
      </c>
      <c r="G249" s="24">
        <v>295</v>
      </c>
      <c r="H249" s="24">
        <v>478</v>
      </c>
      <c r="I249" s="24">
        <v>37050</v>
      </c>
      <c r="J249" s="24">
        <v>36272</v>
      </c>
      <c r="K249" s="24">
        <v>119</v>
      </c>
      <c r="L249" s="22" t="s">
        <v>27</v>
      </c>
      <c r="M249" s="21"/>
      <c r="N249" s="21"/>
      <c r="O249" s="8"/>
    </row>
    <row r="250" spans="1:15" ht="29.4" customHeight="1" x14ac:dyDescent="0.3">
      <c r="A250" s="21" t="s">
        <v>155</v>
      </c>
      <c r="B250" s="22" t="s">
        <v>24</v>
      </c>
      <c r="C250" s="23" t="s">
        <v>156</v>
      </c>
      <c r="D250" s="22" t="s">
        <v>41</v>
      </c>
      <c r="E250" s="22" t="s">
        <v>64</v>
      </c>
      <c r="F250" s="24">
        <v>1686</v>
      </c>
      <c r="G250" s="24">
        <v>904</v>
      </c>
      <c r="H250" s="24">
        <v>472</v>
      </c>
      <c r="I250" s="24">
        <v>18546</v>
      </c>
      <c r="J250" s="24">
        <v>18171</v>
      </c>
      <c r="K250" s="24">
        <v>52</v>
      </c>
      <c r="L250" s="22" t="s">
        <v>58</v>
      </c>
      <c r="M250" s="21"/>
      <c r="N250" s="21"/>
      <c r="O250" s="21" t="s">
        <v>22</v>
      </c>
    </row>
    <row r="251" spans="1:15" ht="29.4" customHeight="1" x14ac:dyDescent="0.3">
      <c r="A251" s="21" t="s">
        <v>271</v>
      </c>
      <c r="B251" s="22" t="s">
        <v>24</v>
      </c>
      <c r="C251" s="23" t="s">
        <v>272</v>
      </c>
      <c r="D251" s="22" t="s">
        <v>15</v>
      </c>
      <c r="E251" s="22" t="s">
        <v>26</v>
      </c>
      <c r="F251" s="24">
        <v>3704</v>
      </c>
      <c r="G251" s="24">
        <v>186</v>
      </c>
      <c r="H251" s="24">
        <v>458</v>
      </c>
      <c r="I251" s="24">
        <v>25928</v>
      </c>
      <c r="J251" s="24">
        <v>25081</v>
      </c>
      <c r="K251" s="24">
        <v>131</v>
      </c>
      <c r="L251" s="22" t="s">
        <v>27</v>
      </c>
      <c r="M251" s="21"/>
      <c r="N251" s="21"/>
      <c r="O251" s="8"/>
    </row>
    <row r="252" spans="1:15" ht="29.4" customHeight="1" x14ac:dyDescent="0.3">
      <c r="A252" s="21" t="s">
        <v>415</v>
      </c>
      <c r="B252" s="22" t="s">
        <v>13</v>
      </c>
      <c r="C252" s="23" t="s">
        <v>416</v>
      </c>
      <c r="D252" s="22" t="s">
        <v>70</v>
      </c>
      <c r="E252" s="22" t="s">
        <v>140</v>
      </c>
      <c r="F252" s="24">
        <v>3160</v>
      </c>
      <c r="G252" s="24">
        <v>204</v>
      </c>
      <c r="H252" s="24">
        <v>297</v>
      </c>
      <c r="I252" s="24">
        <v>44240</v>
      </c>
      <c r="J252" s="24">
        <v>43666</v>
      </c>
      <c r="K252" s="24">
        <v>49</v>
      </c>
      <c r="L252" s="22" t="s">
        <v>58</v>
      </c>
      <c r="M252" s="21" t="s">
        <v>551</v>
      </c>
      <c r="N252" s="21"/>
      <c r="O252" s="21" t="s">
        <v>35</v>
      </c>
    </row>
    <row r="253" spans="1:15" ht="29.4" customHeight="1" x14ac:dyDescent="0.3">
      <c r="A253" s="21" t="s">
        <v>371</v>
      </c>
      <c r="B253" s="22" t="s">
        <v>24</v>
      </c>
      <c r="C253" s="23" t="s">
        <v>372</v>
      </c>
      <c r="D253" s="22" t="s">
        <v>48</v>
      </c>
      <c r="E253" s="22" t="s">
        <v>49</v>
      </c>
      <c r="F253" s="24">
        <v>606</v>
      </c>
      <c r="G253" s="24">
        <v>789</v>
      </c>
      <c r="H253" s="24">
        <v>470</v>
      </c>
      <c r="I253" s="24">
        <v>7878</v>
      </c>
      <c r="J253" s="24">
        <v>7389</v>
      </c>
      <c r="K253" s="24">
        <v>239</v>
      </c>
      <c r="L253" s="22" t="s">
        <v>34</v>
      </c>
      <c r="M253" s="21"/>
      <c r="N253" s="21"/>
      <c r="O253" s="21" t="s">
        <v>28</v>
      </c>
    </row>
    <row r="254" spans="1:15" ht="29.4" customHeight="1" x14ac:dyDescent="0.3">
      <c r="A254" s="21" t="s">
        <v>520</v>
      </c>
      <c r="B254" s="22" t="s">
        <v>24</v>
      </c>
      <c r="C254" s="23" t="s">
        <v>521</v>
      </c>
      <c r="D254" s="22" t="s">
        <v>48</v>
      </c>
      <c r="E254" s="22" t="s">
        <v>49</v>
      </c>
      <c r="F254" s="24">
        <v>3166</v>
      </c>
      <c r="G254" s="24">
        <v>90</v>
      </c>
      <c r="H254" s="24">
        <v>341</v>
      </c>
      <c r="I254" s="24">
        <v>56988</v>
      </c>
      <c r="J254" s="24">
        <v>56125</v>
      </c>
      <c r="K254" s="24">
        <v>135</v>
      </c>
      <c r="L254" s="22" t="s">
        <v>34</v>
      </c>
      <c r="M254" s="21"/>
      <c r="N254" s="21"/>
      <c r="O254" s="21" t="s">
        <v>22</v>
      </c>
    </row>
    <row r="255" spans="1:15" ht="29.4" customHeight="1" x14ac:dyDescent="0.3">
      <c r="A255" s="21" t="s">
        <v>247</v>
      </c>
      <c r="B255" s="22" t="s">
        <v>24</v>
      </c>
      <c r="C255" s="23" t="s">
        <v>248</v>
      </c>
      <c r="D255" s="22" t="s">
        <v>32</v>
      </c>
      <c r="E255" s="22" t="s">
        <v>149</v>
      </c>
      <c r="F255" s="24">
        <v>3655</v>
      </c>
      <c r="G255" s="24">
        <v>568</v>
      </c>
      <c r="H255" s="24">
        <v>286</v>
      </c>
      <c r="I255" s="24">
        <v>32895</v>
      </c>
      <c r="J255" s="24">
        <v>32015</v>
      </c>
      <c r="K255" s="24">
        <v>199</v>
      </c>
      <c r="L255" s="22" t="s">
        <v>27</v>
      </c>
      <c r="M255" s="21"/>
      <c r="N255" s="21"/>
      <c r="O255" s="21" t="s">
        <v>28</v>
      </c>
    </row>
    <row r="256" spans="1:15" ht="29.4" customHeight="1" x14ac:dyDescent="0.3">
      <c r="A256" s="21" t="s">
        <v>431</v>
      </c>
      <c r="B256" s="22" t="s">
        <v>39</v>
      </c>
      <c r="C256" s="23" t="s">
        <v>248</v>
      </c>
      <c r="D256" s="22" t="s">
        <v>70</v>
      </c>
      <c r="E256" s="22" t="s">
        <v>71</v>
      </c>
      <c r="F256" s="24">
        <v>4453</v>
      </c>
      <c r="G256" s="24">
        <v>111</v>
      </c>
      <c r="H256" s="24">
        <v>420</v>
      </c>
      <c r="I256" s="24">
        <v>31171</v>
      </c>
      <c r="J256" s="24">
        <v>30565</v>
      </c>
      <c r="K256" s="24">
        <v>23</v>
      </c>
      <c r="L256" s="22" t="s">
        <v>27</v>
      </c>
      <c r="M256" s="21"/>
      <c r="N256" s="21"/>
      <c r="O256" s="8"/>
    </row>
    <row r="257" spans="1:15" ht="29.4" customHeight="1" x14ac:dyDescent="0.3">
      <c r="A257" s="21" t="s">
        <v>225</v>
      </c>
      <c r="B257" s="22" t="s">
        <v>39</v>
      </c>
      <c r="C257" s="23" t="s">
        <v>226</v>
      </c>
      <c r="D257" s="22" t="s">
        <v>48</v>
      </c>
      <c r="E257" s="22" t="s">
        <v>55</v>
      </c>
      <c r="F257" s="24">
        <v>1263</v>
      </c>
      <c r="G257" s="24">
        <v>397</v>
      </c>
      <c r="H257" s="24">
        <v>357</v>
      </c>
      <c r="I257" s="24">
        <v>25260</v>
      </c>
      <c r="J257" s="24">
        <v>24615</v>
      </c>
      <c r="K257" s="24">
        <v>137</v>
      </c>
      <c r="L257" s="22" t="s">
        <v>34</v>
      </c>
      <c r="M257" s="21"/>
      <c r="N257" s="21"/>
      <c r="O257" s="21" t="s">
        <v>35</v>
      </c>
    </row>
    <row r="258" spans="1:15" ht="29.4" customHeight="1" x14ac:dyDescent="0.3">
      <c r="A258" s="21" t="s">
        <v>384</v>
      </c>
      <c r="B258" s="22" t="s">
        <v>39</v>
      </c>
      <c r="C258" s="23" t="s">
        <v>226</v>
      </c>
      <c r="D258" s="22" t="s">
        <v>15</v>
      </c>
      <c r="E258" s="22" t="s">
        <v>61</v>
      </c>
      <c r="F258" s="24">
        <v>3360</v>
      </c>
      <c r="G258" s="24">
        <v>525</v>
      </c>
      <c r="H258" s="24">
        <v>500</v>
      </c>
      <c r="I258" s="24">
        <v>60480</v>
      </c>
      <c r="J258" s="24">
        <v>59610</v>
      </c>
      <c r="K258" s="24">
        <v>192</v>
      </c>
      <c r="L258" s="22" t="s">
        <v>27</v>
      </c>
      <c r="M258" s="21"/>
      <c r="N258" s="21"/>
      <c r="O258" s="21" t="s">
        <v>17</v>
      </c>
    </row>
    <row r="259" spans="1:15" ht="29.4" customHeight="1" x14ac:dyDescent="0.3">
      <c r="A259" s="21" t="s">
        <v>255</v>
      </c>
      <c r="B259" s="22" t="s">
        <v>13</v>
      </c>
      <c r="C259" s="23" t="s">
        <v>256</v>
      </c>
      <c r="D259" s="22" t="s">
        <v>70</v>
      </c>
      <c r="E259" s="22" t="s">
        <v>140</v>
      </c>
      <c r="F259" s="24">
        <v>4050</v>
      </c>
      <c r="G259" s="24">
        <v>871</v>
      </c>
      <c r="H259" s="24">
        <v>347</v>
      </c>
      <c r="I259" s="24">
        <v>52650</v>
      </c>
      <c r="J259" s="24">
        <v>51755</v>
      </c>
      <c r="K259" s="24">
        <v>209</v>
      </c>
      <c r="L259" s="22" t="s">
        <v>27</v>
      </c>
      <c r="M259" s="21"/>
      <c r="N259" s="21"/>
      <c r="O259" s="21" t="s">
        <v>22</v>
      </c>
    </row>
    <row r="260" spans="1:15" ht="29.4" customHeight="1" x14ac:dyDescent="0.3">
      <c r="A260" s="21" t="s">
        <v>310</v>
      </c>
      <c r="B260" s="22" t="s">
        <v>24</v>
      </c>
      <c r="C260" s="23" t="s">
        <v>256</v>
      </c>
      <c r="D260" s="22" t="s">
        <v>32</v>
      </c>
      <c r="E260" s="22" t="s">
        <v>149</v>
      </c>
      <c r="F260" s="24">
        <v>2070</v>
      </c>
      <c r="G260" s="24">
        <v>275</v>
      </c>
      <c r="H260" s="24">
        <v>386</v>
      </c>
      <c r="I260" s="24">
        <v>39330</v>
      </c>
      <c r="J260" s="24">
        <v>38627</v>
      </c>
      <c r="K260" s="24">
        <v>114</v>
      </c>
      <c r="L260" s="22" t="s">
        <v>58</v>
      </c>
      <c r="M260" s="21"/>
      <c r="N260" s="21"/>
      <c r="O260" s="21" t="s">
        <v>35</v>
      </c>
    </row>
    <row r="261" spans="1:15" ht="29.4" customHeight="1" x14ac:dyDescent="0.3">
      <c r="A261" s="21" t="s">
        <v>113</v>
      </c>
      <c r="B261" s="22" t="s">
        <v>39</v>
      </c>
      <c r="C261" s="23" t="s">
        <v>114</v>
      </c>
      <c r="D261" s="22" t="s">
        <v>20</v>
      </c>
      <c r="E261" s="22" t="s">
        <v>52</v>
      </c>
      <c r="F261" s="24">
        <v>1652</v>
      </c>
      <c r="G261" s="24">
        <v>89</v>
      </c>
      <c r="H261" s="24">
        <v>357</v>
      </c>
      <c r="I261" s="24">
        <v>29736</v>
      </c>
      <c r="J261" s="24">
        <v>28771</v>
      </c>
      <c r="K261" s="24">
        <v>215</v>
      </c>
      <c r="L261" s="22" t="s">
        <v>27</v>
      </c>
      <c r="M261" s="21"/>
      <c r="N261" s="21"/>
      <c r="O261" s="21" t="s">
        <v>28</v>
      </c>
    </row>
    <row r="262" spans="1:15" ht="29.4" customHeight="1" x14ac:dyDescent="0.3">
      <c r="A262" s="21" t="s">
        <v>475</v>
      </c>
      <c r="B262" s="22" t="s">
        <v>30</v>
      </c>
      <c r="C262" s="23" t="s">
        <v>476</v>
      </c>
      <c r="D262" s="22" t="s">
        <v>41</v>
      </c>
      <c r="E262" s="22" t="s">
        <v>84</v>
      </c>
      <c r="F262" s="24">
        <v>1377</v>
      </c>
      <c r="G262" s="24">
        <v>796</v>
      </c>
      <c r="H262" s="24">
        <v>387</v>
      </c>
      <c r="I262" s="24">
        <v>22032</v>
      </c>
      <c r="J262" s="24">
        <v>21869</v>
      </c>
      <c r="K262" s="24">
        <v>189</v>
      </c>
      <c r="L262" s="22" t="s">
        <v>58</v>
      </c>
      <c r="M262" s="21"/>
      <c r="N262" s="21"/>
      <c r="O262" s="8"/>
    </row>
    <row r="263" spans="1:15" ht="29.4" customHeight="1" x14ac:dyDescent="0.3">
      <c r="A263" s="21" t="s">
        <v>508</v>
      </c>
      <c r="B263" s="22" t="s">
        <v>30</v>
      </c>
      <c r="C263" s="23" t="s">
        <v>476</v>
      </c>
      <c r="D263" s="22" t="s">
        <v>20</v>
      </c>
      <c r="E263" s="22" t="s">
        <v>108</v>
      </c>
      <c r="F263" s="24">
        <v>4941</v>
      </c>
      <c r="G263" s="24">
        <v>414</v>
      </c>
      <c r="H263" s="24">
        <v>266</v>
      </c>
      <c r="I263" s="24">
        <v>39528</v>
      </c>
      <c r="J263" s="24">
        <v>39154</v>
      </c>
      <c r="K263" s="24">
        <v>217</v>
      </c>
      <c r="L263" s="22" t="s">
        <v>27</v>
      </c>
      <c r="M263" s="21"/>
      <c r="N263" s="21"/>
      <c r="O263" s="21" t="s">
        <v>28</v>
      </c>
    </row>
    <row r="264" spans="1:15" ht="29.4" customHeight="1" x14ac:dyDescent="0.3">
      <c r="A264" s="21" t="s">
        <v>176</v>
      </c>
      <c r="B264" s="22" t="s">
        <v>30</v>
      </c>
      <c r="C264" s="23" t="s">
        <v>177</v>
      </c>
      <c r="D264" s="22" t="s">
        <v>32</v>
      </c>
      <c r="E264" s="22" t="s">
        <v>33</v>
      </c>
      <c r="F264" s="24">
        <v>1881</v>
      </c>
      <c r="G264" s="24">
        <v>501</v>
      </c>
      <c r="H264" s="24">
        <v>99</v>
      </c>
      <c r="I264" s="24">
        <v>20691</v>
      </c>
      <c r="J264" s="24">
        <v>19987</v>
      </c>
      <c r="K264" s="24">
        <v>289</v>
      </c>
      <c r="L264" s="22" t="s">
        <v>34</v>
      </c>
      <c r="M264" s="21"/>
      <c r="N264" s="21"/>
      <c r="O264" s="8"/>
    </row>
    <row r="265" spans="1:15" ht="29.4" customHeight="1" x14ac:dyDescent="0.3">
      <c r="A265" s="21" t="s">
        <v>286</v>
      </c>
      <c r="B265" s="22" t="s">
        <v>30</v>
      </c>
      <c r="C265" s="23" t="s">
        <v>177</v>
      </c>
      <c r="D265" s="22" t="s">
        <v>41</v>
      </c>
      <c r="E265" s="22" t="s">
        <v>84</v>
      </c>
      <c r="F265" s="24">
        <v>4158</v>
      </c>
      <c r="G265" s="24">
        <v>167</v>
      </c>
      <c r="H265" s="24">
        <v>241</v>
      </c>
      <c r="I265" s="24">
        <v>45738</v>
      </c>
      <c r="J265" s="24">
        <v>45183</v>
      </c>
      <c r="K265" s="24">
        <v>142</v>
      </c>
      <c r="L265" s="22" t="s">
        <v>58</v>
      </c>
      <c r="M265" s="21"/>
      <c r="N265" s="21"/>
      <c r="O265" s="8"/>
    </row>
    <row r="266" spans="1:15" ht="29.4" customHeight="1" x14ac:dyDescent="0.3">
      <c r="A266" s="21" t="s">
        <v>180</v>
      </c>
      <c r="B266" s="22" t="s">
        <v>39</v>
      </c>
      <c r="C266" s="23" t="s">
        <v>181</v>
      </c>
      <c r="D266" s="22" t="s">
        <v>41</v>
      </c>
      <c r="E266" s="22" t="s">
        <v>42</v>
      </c>
      <c r="F266" s="24">
        <v>4712</v>
      </c>
      <c r="G266" s="24">
        <v>568</v>
      </c>
      <c r="H266" s="24">
        <v>127</v>
      </c>
      <c r="I266" s="24">
        <v>84816</v>
      </c>
      <c r="J266" s="24">
        <v>84691</v>
      </c>
      <c r="K266" s="24">
        <v>100</v>
      </c>
      <c r="L266" s="22" t="s">
        <v>34</v>
      </c>
      <c r="M266" s="21"/>
      <c r="N266" s="21"/>
      <c r="O266" s="21" t="s">
        <v>28</v>
      </c>
    </row>
    <row r="267" spans="1:15" ht="29.4" customHeight="1" x14ac:dyDescent="0.3">
      <c r="A267" s="21" t="s">
        <v>303</v>
      </c>
      <c r="B267" s="22" t="s">
        <v>13</v>
      </c>
      <c r="C267" s="23" t="s">
        <v>181</v>
      </c>
      <c r="D267" s="22" t="s">
        <v>48</v>
      </c>
      <c r="E267" s="22" t="s">
        <v>127</v>
      </c>
      <c r="F267" s="24">
        <v>305</v>
      </c>
      <c r="G267" s="24">
        <v>187</v>
      </c>
      <c r="H267" s="24">
        <v>243</v>
      </c>
      <c r="I267" s="24">
        <v>4575</v>
      </c>
      <c r="J267" s="24">
        <v>3704</v>
      </c>
      <c r="K267" s="24">
        <v>234</v>
      </c>
      <c r="L267" s="22" t="s">
        <v>58</v>
      </c>
      <c r="M267" s="21"/>
      <c r="N267" s="21"/>
      <c r="O267" s="21" t="s">
        <v>28</v>
      </c>
    </row>
    <row r="268" spans="1:15" ht="29.4" customHeight="1" x14ac:dyDescent="0.3">
      <c r="A268" s="21" t="s">
        <v>341</v>
      </c>
      <c r="B268" s="22" t="s">
        <v>39</v>
      </c>
      <c r="C268" s="23" t="s">
        <v>342</v>
      </c>
      <c r="D268" s="22" t="s">
        <v>32</v>
      </c>
      <c r="E268" s="22" t="s">
        <v>67</v>
      </c>
      <c r="F268" s="24">
        <v>3430</v>
      </c>
      <c r="G268" s="24">
        <v>566</v>
      </c>
      <c r="H268" s="24">
        <v>164</v>
      </c>
      <c r="I268" s="24">
        <v>48020</v>
      </c>
      <c r="J268" s="24">
        <v>47305</v>
      </c>
      <c r="K268" s="24">
        <v>120</v>
      </c>
      <c r="L268" s="22" t="s">
        <v>58</v>
      </c>
      <c r="M268" s="21"/>
      <c r="N268" s="21"/>
      <c r="O268" s="8"/>
    </row>
    <row r="269" spans="1:15" ht="29.4" customHeight="1" x14ac:dyDescent="0.3">
      <c r="A269" s="21" t="s">
        <v>185</v>
      </c>
      <c r="B269" s="22" t="s">
        <v>39</v>
      </c>
      <c r="C269" s="23" t="s">
        <v>186</v>
      </c>
      <c r="D269" s="22" t="s">
        <v>70</v>
      </c>
      <c r="E269" s="22" t="s">
        <v>71</v>
      </c>
      <c r="F269" s="24">
        <v>199</v>
      </c>
      <c r="G269" s="24">
        <v>772</v>
      </c>
      <c r="H269" s="24">
        <v>400</v>
      </c>
      <c r="I269" s="24">
        <v>3582</v>
      </c>
      <c r="J269" s="24">
        <v>2988</v>
      </c>
      <c r="K269" s="24">
        <v>43</v>
      </c>
      <c r="L269" s="22" t="s">
        <v>27</v>
      </c>
      <c r="M269" s="21"/>
      <c r="N269" s="21"/>
      <c r="O269" s="8"/>
    </row>
    <row r="270" spans="1:15" ht="29.4" customHeight="1" x14ac:dyDescent="0.3">
      <c r="A270" s="21" t="s">
        <v>18</v>
      </c>
      <c r="B270" s="22" t="s">
        <v>13</v>
      </c>
      <c r="C270" s="23" t="s">
        <v>19</v>
      </c>
      <c r="D270" s="22" t="s">
        <v>20</v>
      </c>
      <c r="E270" s="22" t="s">
        <v>21</v>
      </c>
      <c r="F270" s="24">
        <v>4054</v>
      </c>
      <c r="G270" s="24">
        <v>389</v>
      </c>
      <c r="H270" s="24">
        <v>493</v>
      </c>
      <c r="I270" s="24">
        <v>64864</v>
      </c>
      <c r="J270" s="24">
        <v>64383</v>
      </c>
      <c r="K270" s="24">
        <v>117</v>
      </c>
      <c r="L270" s="22" t="s">
        <v>27</v>
      </c>
      <c r="M270" s="21" t="s">
        <v>553</v>
      </c>
      <c r="N270" s="21"/>
      <c r="O270" s="21" t="s">
        <v>22</v>
      </c>
    </row>
    <row r="271" spans="1:15" ht="29.4" customHeight="1" x14ac:dyDescent="0.3">
      <c r="A271" s="21" t="s">
        <v>482</v>
      </c>
      <c r="B271" s="22" t="s">
        <v>39</v>
      </c>
      <c r="C271" s="23" t="s">
        <v>19</v>
      </c>
      <c r="D271" s="22" t="s">
        <v>32</v>
      </c>
      <c r="E271" s="22" t="s">
        <v>67</v>
      </c>
      <c r="F271" s="24">
        <v>3767</v>
      </c>
      <c r="G271" s="24">
        <v>514</v>
      </c>
      <c r="H271" s="24">
        <v>238</v>
      </c>
      <c r="I271" s="24">
        <v>37670</v>
      </c>
      <c r="J271" s="24">
        <v>36807</v>
      </c>
      <c r="K271" s="24">
        <v>226</v>
      </c>
      <c r="L271" s="22" t="s">
        <v>58</v>
      </c>
      <c r="M271" s="21"/>
      <c r="N271" s="21"/>
      <c r="O271" s="21" t="s">
        <v>35</v>
      </c>
    </row>
    <row r="272" spans="1:15" ht="29.4" customHeight="1" x14ac:dyDescent="0.3">
      <c r="A272" s="21" t="s">
        <v>95</v>
      </c>
      <c r="B272" s="22" t="s">
        <v>24</v>
      </c>
      <c r="C272" s="23" t="s">
        <v>96</v>
      </c>
      <c r="D272" s="22" t="s">
        <v>15</v>
      </c>
      <c r="E272" s="22" t="s">
        <v>26</v>
      </c>
      <c r="F272" s="24">
        <v>3009</v>
      </c>
      <c r="G272" s="24">
        <v>413</v>
      </c>
      <c r="H272" s="24">
        <v>358</v>
      </c>
      <c r="I272" s="24">
        <v>42126</v>
      </c>
      <c r="J272" s="24">
        <v>41309</v>
      </c>
      <c r="K272" s="24">
        <v>211</v>
      </c>
      <c r="L272" s="22" t="s">
        <v>58</v>
      </c>
      <c r="M272" s="21"/>
      <c r="N272" s="21"/>
      <c r="O272" s="21" t="s">
        <v>22</v>
      </c>
    </row>
    <row r="273" spans="1:15" ht="29.4" customHeight="1" x14ac:dyDescent="0.3">
      <c r="A273" s="21" t="s">
        <v>282</v>
      </c>
      <c r="B273" s="22" t="s">
        <v>24</v>
      </c>
      <c r="C273" s="23" t="s">
        <v>283</v>
      </c>
      <c r="D273" s="22" t="s">
        <v>41</v>
      </c>
      <c r="E273" s="22" t="s">
        <v>64</v>
      </c>
      <c r="F273" s="24">
        <v>736</v>
      </c>
      <c r="G273" s="24">
        <v>771</v>
      </c>
      <c r="H273" s="24">
        <v>225</v>
      </c>
      <c r="I273" s="24">
        <v>5152</v>
      </c>
      <c r="J273" s="24">
        <v>4706</v>
      </c>
      <c r="K273" s="24">
        <v>19</v>
      </c>
      <c r="L273" s="22" t="s">
        <v>34</v>
      </c>
      <c r="M273" s="21"/>
      <c r="N273" s="21"/>
      <c r="O273" s="21" t="s">
        <v>17</v>
      </c>
    </row>
    <row r="274" spans="1:15" ht="29.4" customHeight="1" x14ac:dyDescent="0.3">
      <c r="A274" s="21" t="s">
        <v>484</v>
      </c>
      <c r="B274" s="22" t="s">
        <v>39</v>
      </c>
      <c r="C274" s="23" t="s">
        <v>283</v>
      </c>
      <c r="D274" s="22" t="s">
        <v>48</v>
      </c>
      <c r="E274" s="22" t="s">
        <v>55</v>
      </c>
      <c r="F274" s="24">
        <v>3090</v>
      </c>
      <c r="G274" s="24">
        <v>697</v>
      </c>
      <c r="H274" s="24">
        <v>164</v>
      </c>
      <c r="I274" s="24">
        <v>49440</v>
      </c>
      <c r="J274" s="24">
        <v>48524</v>
      </c>
      <c r="K274" s="24">
        <v>25</v>
      </c>
      <c r="L274" s="22" t="s">
        <v>34</v>
      </c>
      <c r="M274" s="21" t="s">
        <v>34</v>
      </c>
      <c r="N274" s="21" t="s">
        <v>553</v>
      </c>
      <c r="O274" s="21" t="s">
        <v>22</v>
      </c>
    </row>
    <row r="275" spans="1:15" ht="29.4" customHeight="1" x14ac:dyDescent="0.3">
      <c r="A275" s="21" t="s">
        <v>515</v>
      </c>
      <c r="B275" s="22" t="s">
        <v>39</v>
      </c>
      <c r="C275" s="23" t="s">
        <v>283</v>
      </c>
      <c r="D275" s="22" t="s">
        <v>48</v>
      </c>
      <c r="E275" s="22" t="s">
        <v>55</v>
      </c>
      <c r="F275" s="24">
        <v>4236</v>
      </c>
      <c r="G275" s="24">
        <v>711</v>
      </c>
      <c r="H275" s="24">
        <v>298</v>
      </c>
      <c r="I275" s="24">
        <v>21180</v>
      </c>
      <c r="J275" s="24">
        <v>20516</v>
      </c>
      <c r="K275" s="24">
        <v>238</v>
      </c>
      <c r="L275" s="22" t="s">
        <v>58</v>
      </c>
      <c r="M275" s="21"/>
      <c r="N275" s="21"/>
      <c r="O275" s="21" t="s">
        <v>17</v>
      </c>
    </row>
    <row r="276" spans="1:15" ht="29.4" customHeight="1" x14ac:dyDescent="0.3">
      <c r="A276" s="21" t="s">
        <v>401</v>
      </c>
      <c r="B276" s="22" t="s">
        <v>39</v>
      </c>
      <c r="C276" s="23" t="s">
        <v>402</v>
      </c>
      <c r="D276" s="22" t="s">
        <v>15</v>
      </c>
      <c r="E276" s="22" t="s">
        <v>61</v>
      </c>
      <c r="F276" s="24">
        <v>3718</v>
      </c>
      <c r="G276" s="24">
        <v>385</v>
      </c>
      <c r="H276" s="24">
        <v>310</v>
      </c>
      <c r="I276" s="24">
        <v>70642</v>
      </c>
      <c r="J276" s="24">
        <v>69749</v>
      </c>
      <c r="K276" s="24">
        <v>233</v>
      </c>
      <c r="L276" s="22" t="s">
        <v>27</v>
      </c>
      <c r="M276" s="21"/>
      <c r="N276" s="21"/>
      <c r="O276" s="21" t="s">
        <v>22</v>
      </c>
    </row>
    <row r="277" spans="1:15" ht="29.4" customHeight="1" x14ac:dyDescent="0.3">
      <c r="A277" s="21" t="s">
        <v>343</v>
      </c>
      <c r="B277" s="22" t="s">
        <v>30</v>
      </c>
      <c r="C277" s="23" t="s">
        <v>344</v>
      </c>
      <c r="D277" s="22" t="s">
        <v>48</v>
      </c>
      <c r="E277" s="22" t="s">
        <v>208</v>
      </c>
      <c r="F277" s="24">
        <v>4501</v>
      </c>
      <c r="G277" s="24">
        <v>375</v>
      </c>
      <c r="H277" s="24">
        <v>323</v>
      </c>
      <c r="I277" s="24">
        <v>22505</v>
      </c>
      <c r="J277" s="24">
        <v>21836</v>
      </c>
      <c r="K277" s="24">
        <v>132</v>
      </c>
      <c r="L277" s="22" t="s">
        <v>27</v>
      </c>
      <c r="M277" s="21"/>
      <c r="N277" s="21"/>
      <c r="O277" s="21" t="s">
        <v>22</v>
      </c>
    </row>
    <row r="278" spans="1:15" ht="29.4" customHeight="1" x14ac:dyDescent="0.3">
      <c r="A278" s="21" t="s">
        <v>93</v>
      </c>
      <c r="B278" s="22" t="s">
        <v>13</v>
      </c>
      <c r="C278" s="23" t="s">
        <v>94</v>
      </c>
      <c r="D278" s="22" t="s">
        <v>41</v>
      </c>
      <c r="E278" s="22" t="s">
        <v>45</v>
      </c>
      <c r="F278" s="24">
        <v>3128</v>
      </c>
      <c r="G278" s="24">
        <v>211</v>
      </c>
      <c r="H278" s="24">
        <v>197</v>
      </c>
      <c r="I278" s="24">
        <v>59432</v>
      </c>
      <c r="J278" s="24">
        <v>59182</v>
      </c>
      <c r="K278" s="24">
        <v>238</v>
      </c>
      <c r="L278" s="22" t="s">
        <v>34</v>
      </c>
      <c r="M278" s="21"/>
      <c r="N278" s="21"/>
      <c r="O278" s="8"/>
    </row>
    <row r="279" spans="1:15" ht="29.4" customHeight="1" x14ac:dyDescent="0.3">
      <c r="A279" s="21" t="s">
        <v>501</v>
      </c>
      <c r="B279" s="22" t="s">
        <v>30</v>
      </c>
      <c r="C279" s="23" t="s">
        <v>502</v>
      </c>
      <c r="D279" s="22" t="s">
        <v>15</v>
      </c>
      <c r="E279" s="22" t="s">
        <v>78</v>
      </c>
      <c r="F279" s="24">
        <v>4579</v>
      </c>
      <c r="G279" s="24">
        <v>125</v>
      </c>
      <c r="H279" s="24">
        <v>300</v>
      </c>
      <c r="I279" s="24">
        <v>59527</v>
      </c>
      <c r="J279" s="24">
        <v>59400</v>
      </c>
      <c r="K279" s="24">
        <v>269</v>
      </c>
      <c r="L279" s="22" t="s">
        <v>34</v>
      </c>
      <c r="M279" s="21"/>
      <c r="N279" s="21"/>
      <c r="O279" s="21" t="s">
        <v>17</v>
      </c>
    </row>
    <row r="280" spans="1:15" ht="29.4" customHeight="1" x14ac:dyDescent="0.3">
      <c r="A280" s="21" t="s">
        <v>163</v>
      </c>
      <c r="B280" s="22" t="s">
        <v>30</v>
      </c>
      <c r="C280" s="23" t="s">
        <v>164</v>
      </c>
      <c r="D280" s="22" t="s">
        <v>15</v>
      </c>
      <c r="E280" s="22" t="s">
        <v>78</v>
      </c>
      <c r="F280" s="24">
        <v>103</v>
      </c>
      <c r="G280" s="24">
        <v>770</v>
      </c>
      <c r="H280" s="24">
        <v>19</v>
      </c>
      <c r="I280" s="24">
        <v>1030</v>
      </c>
      <c r="J280" s="24">
        <v>410</v>
      </c>
      <c r="K280" s="24">
        <v>262</v>
      </c>
      <c r="L280" s="22" t="s">
        <v>27</v>
      </c>
      <c r="M280" s="21"/>
      <c r="N280" s="21"/>
      <c r="O280" s="21" t="s">
        <v>35</v>
      </c>
    </row>
    <row r="281" spans="1:15" ht="29.4" customHeight="1" x14ac:dyDescent="0.3">
      <c r="A281" s="21" t="s">
        <v>317</v>
      </c>
      <c r="B281" s="22" t="s">
        <v>30</v>
      </c>
      <c r="C281" s="23" t="s">
        <v>164</v>
      </c>
      <c r="D281" s="22" t="s">
        <v>70</v>
      </c>
      <c r="E281" s="22" t="s">
        <v>81</v>
      </c>
      <c r="F281" s="24">
        <v>4133</v>
      </c>
      <c r="G281" s="24">
        <v>466</v>
      </c>
      <c r="H281" s="24">
        <v>327</v>
      </c>
      <c r="I281" s="24">
        <v>24798</v>
      </c>
      <c r="J281" s="24">
        <v>24620</v>
      </c>
      <c r="K281" s="24">
        <v>176</v>
      </c>
      <c r="L281" s="22" t="s">
        <v>34</v>
      </c>
      <c r="M281" s="21"/>
      <c r="N281" s="21"/>
      <c r="O281" s="21" t="s">
        <v>35</v>
      </c>
    </row>
    <row r="282" spans="1:15" ht="29.4" customHeight="1" x14ac:dyDescent="0.3">
      <c r="A282" s="21" t="s">
        <v>531</v>
      </c>
      <c r="B282" s="22" t="s">
        <v>24</v>
      </c>
      <c r="C282" s="23" t="s">
        <v>532</v>
      </c>
      <c r="D282" s="22" t="s">
        <v>41</v>
      </c>
      <c r="E282" s="22" t="s">
        <v>64</v>
      </c>
      <c r="F282" s="24">
        <v>4780</v>
      </c>
      <c r="G282" s="24">
        <v>691</v>
      </c>
      <c r="H282" s="24">
        <v>380</v>
      </c>
      <c r="I282" s="24">
        <v>86040</v>
      </c>
      <c r="J282" s="24">
        <v>85743</v>
      </c>
      <c r="K282" s="24">
        <v>262</v>
      </c>
      <c r="L282" s="22" t="s">
        <v>58</v>
      </c>
      <c r="M282" s="21"/>
      <c r="N282" s="21"/>
      <c r="O282" s="21" t="s">
        <v>28</v>
      </c>
    </row>
    <row r="283" spans="1:15" ht="29.4" customHeight="1" x14ac:dyDescent="0.3">
      <c r="A283" s="21" t="s">
        <v>117</v>
      </c>
      <c r="B283" s="22" t="s">
        <v>30</v>
      </c>
      <c r="C283" s="23" t="s">
        <v>118</v>
      </c>
      <c r="D283" s="22" t="s">
        <v>32</v>
      </c>
      <c r="E283" s="22" t="s">
        <v>33</v>
      </c>
      <c r="F283" s="24">
        <v>4518</v>
      </c>
      <c r="G283" s="24">
        <v>285</v>
      </c>
      <c r="H283" s="24">
        <v>383</v>
      </c>
      <c r="I283" s="24">
        <v>67770</v>
      </c>
      <c r="J283" s="24">
        <v>67621</v>
      </c>
      <c r="K283" s="24">
        <v>31</v>
      </c>
      <c r="L283" s="22" t="s">
        <v>34</v>
      </c>
      <c r="M283" s="21"/>
      <c r="N283" s="21"/>
      <c r="O283" s="21" t="s">
        <v>22</v>
      </c>
    </row>
    <row r="284" spans="1:15" ht="29.4" customHeight="1" x14ac:dyDescent="0.3">
      <c r="A284" s="21" t="s">
        <v>214</v>
      </c>
      <c r="B284" s="22" t="s">
        <v>30</v>
      </c>
      <c r="C284" s="23" t="s">
        <v>118</v>
      </c>
      <c r="D284" s="22" t="s">
        <v>48</v>
      </c>
      <c r="E284" s="22" t="s">
        <v>208</v>
      </c>
      <c r="F284" s="24">
        <v>4177</v>
      </c>
      <c r="G284" s="24">
        <v>569</v>
      </c>
      <c r="H284" s="24">
        <v>55</v>
      </c>
      <c r="I284" s="24">
        <v>25062</v>
      </c>
      <c r="J284" s="24">
        <v>24847</v>
      </c>
      <c r="K284" s="24">
        <v>230</v>
      </c>
      <c r="L284" s="22" t="s">
        <v>58</v>
      </c>
      <c r="M284" s="21"/>
      <c r="N284" s="21"/>
      <c r="O284" s="21" t="s">
        <v>17</v>
      </c>
    </row>
    <row r="285" spans="1:15" ht="29.4" customHeight="1" x14ac:dyDescent="0.3">
      <c r="A285" s="21" t="s">
        <v>323</v>
      </c>
      <c r="B285" s="22" t="s">
        <v>39</v>
      </c>
      <c r="C285" s="23" t="s">
        <v>324</v>
      </c>
      <c r="D285" s="22" t="s">
        <v>48</v>
      </c>
      <c r="E285" s="22" t="s">
        <v>55</v>
      </c>
      <c r="F285" s="24">
        <v>4804</v>
      </c>
      <c r="G285" s="24">
        <v>550</v>
      </c>
      <c r="H285" s="24">
        <v>270</v>
      </c>
      <c r="I285" s="24">
        <v>28824</v>
      </c>
      <c r="J285" s="24">
        <v>28370</v>
      </c>
      <c r="K285" s="24">
        <v>47</v>
      </c>
      <c r="L285" s="22" t="s">
        <v>34</v>
      </c>
      <c r="M285" s="21"/>
      <c r="N285" s="21"/>
      <c r="O285" s="21" t="s">
        <v>35</v>
      </c>
    </row>
    <row r="286" spans="1:15" ht="29.4" customHeight="1" x14ac:dyDescent="0.3">
      <c r="A286" s="21" t="s">
        <v>296</v>
      </c>
      <c r="B286" s="22" t="s">
        <v>13</v>
      </c>
      <c r="C286" s="23" t="s">
        <v>297</v>
      </c>
      <c r="D286" s="22" t="s">
        <v>15</v>
      </c>
      <c r="E286" s="22" t="s">
        <v>16</v>
      </c>
      <c r="F286" s="24">
        <v>3731</v>
      </c>
      <c r="G286" s="24">
        <v>115</v>
      </c>
      <c r="H286" s="24">
        <v>135</v>
      </c>
      <c r="I286" s="24">
        <v>55965</v>
      </c>
      <c r="J286" s="24">
        <v>55436</v>
      </c>
      <c r="K286" s="24">
        <v>103</v>
      </c>
      <c r="L286" s="22" t="s">
        <v>27</v>
      </c>
      <c r="M286" s="21"/>
      <c r="N286" s="21"/>
      <c r="O286" s="21" t="s">
        <v>17</v>
      </c>
    </row>
    <row r="287" spans="1:15" ht="29.4" customHeight="1" x14ac:dyDescent="0.3">
      <c r="A287" s="21" t="s">
        <v>410</v>
      </c>
      <c r="B287" s="22" t="s">
        <v>13</v>
      </c>
      <c r="C287" s="23" t="s">
        <v>297</v>
      </c>
      <c r="D287" s="22" t="s">
        <v>70</v>
      </c>
      <c r="E287" s="22" t="s">
        <v>140</v>
      </c>
      <c r="F287" s="24">
        <v>3820</v>
      </c>
      <c r="G287" s="24">
        <v>697</v>
      </c>
      <c r="H287" s="24">
        <v>268</v>
      </c>
      <c r="I287" s="24">
        <v>45840</v>
      </c>
      <c r="J287" s="24">
        <v>45631</v>
      </c>
      <c r="K287" s="24">
        <v>171</v>
      </c>
      <c r="L287" s="22" t="s">
        <v>27</v>
      </c>
      <c r="M287" s="21" t="s">
        <v>552</v>
      </c>
      <c r="N287" s="21"/>
      <c r="O287" s="21" t="s">
        <v>35</v>
      </c>
    </row>
    <row r="288" spans="1:15" ht="29.4" customHeight="1" x14ac:dyDescent="0.3">
      <c r="A288" s="21" t="s">
        <v>353</v>
      </c>
      <c r="B288" s="22" t="s">
        <v>13</v>
      </c>
      <c r="C288" s="23" t="s">
        <v>354</v>
      </c>
      <c r="D288" s="22" t="s">
        <v>20</v>
      </c>
      <c r="E288" s="22" t="s">
        <v>21</v>
      </c>
      <c r="F288" s="24">
        <v>3577</v>
      </c>
      <c r="G288" s="24">
        <v>596</v>
      </c>
      <c r="H288" s="24">
        <v>493</v>
      </c>
      <c r="I288" s="24">
        <v>67963</v>
      </c>
      <c r="J288" s="24">
        <v>67839</v>
      </c>
      <c r="K288" s="24">
        <v>53</v>
      </c>
      <c r="L288" s="22" t="s">
        <v>27</v>
      </c>
      <c r="M288" s="21"/>
      <c r="N288" s="21"/>
      <c r="O288" s="21" t="s">
        <v>28</v>
      </c>
    </row>
    <row r="289" spans="1:15" ht="29.4" customHeight="1" x14ac:dyDescent="0.3">
      <c r="A289" s="21" t="s">
        <v>477</v>
      </c>
      <c r="B289" s="22" t="s">
        <v>39</v>
      </c>
      <c r="C289" s="23" t="s">
        <v>354</v>
      </c>
      <c r="D289" s="22" t="s">
        <v>41</v>
      </c>
      <c r="E289" s="22" t="s">
        <v>42</v>
      </c>
      <c r="F289" s="24">
        <v>2089</v>
      </c>
      <c r="G289" s="24">
        <v>476</v>
      </c>
      <c r="H289" s="24">
        <v>69</v>
      </c>
      <c r="I289" s="24">
        <v>16712</v>
      </c>
      <c r="J289" s="24">
        <v>16309</v>
      </c>
      <c r="K289" s="24">
        <v>64</v>
      </c>
      <c r="L289" s="22" t="s">
        <v>58</v>
      </c>
      <c r="M289" s="21"/>
      <c r="N289" s="21"/>
      <c r="O289" s="21" t="s">
        <v>28</v>
      </c>
    </row>
    <row r="290" spans="1:15" ht="29.4" customHeight="1" x14ac:dyDescent="0.3">
      <c r="A290" s="21" t="s">
        <v>447</v>
      </c>
      <c r="B290" s="22" t="s">
        <v>13</v>
      </c>
      <c r="C290" s="23" t="s">
        <v>448</v>
      </c>
      <c r="D290" s="22" t="s">
        <v>32</v>
      </c>
      <c r="E290" s="22" t="s">
        <v>144</v>
      </c>
      <c r="F290" s="24">
        <v>249</v>
      </c>
      <c r="G290" s="24">
        <v>592</v>
      </c>
      <c r="H290" s="24">
        <v>230</v>
      </c>
      <c r="I290" s="24">
        <v>1494</v>
      </c>
      <c r="J290" s="24">
        <v>1044</v>
      </c>
      <c r="K290" s="24">
        <v>201</v>
      </c>
      <c r="L290" s="22" t="s">
        <v>34</v>
      </c>
      <c r="M290" s="21"/>
      <c r="N290" s="21"/>
      <c r="O290" s="21" t="s">
        <v>35</v>
      </c>
    </row>
    <row r="291" spans="1:15" ht="29.4" customHeight="1" x14ac:dyDescent="0.3">
      <c r="A291" s="21" t="s">
        <v>421</v>
      </c>
      <c r="B291" s="22" t="s">
        <v>39</v>
      </c>
      <c r="C291" s="23" t="s">
        <v>422</v>
      </c>
      <c r="D291" s="22" t="s">
        <v>41</v>
      </c>
      <c r="E291" s="22" t="s">
        <v>42</v>
      </c>
      <c r="F291" s="24">
        <v>2696</v>
      </c>
      <c r="G291" s="24">
        <v>628</v>
      </c>
      <c r="H291" s="24">
        <v>443</v>
      </c>
      <c r="I291" s="24">
        <v>45832</v>
      </c>
      <c r="J291" s="24">
        <v>45632</v>
      </c>
      <c r="K291" s="24">
        <v>248</v>
      </c>
      <c r="L291" s="22" t="s">
        <v>34</v>
      </c>
      <c r="M291" s="21"/>
      <c r="N291" s="21"/>
      <c r="O291" s="21" t="s">
        <v>35</v>
      </c>
    </row>
    <row r="292" spans="1:15" ht="29.4" customHeight="1" x14ac:dyDescent="0.3">
      <c r="A292" s="21" t="s">
        <v>446</v>
      </c>
      <c r="B292" s="22" t="s">
        <v>30</v>
      </c>
      <c r="C292" s="23" t="s">
        <v>422</v>
      </c>
      <c r="D292" s="22" t="s">
        <v>20</v>
      </c>
      <c r="E292" s="22" t="s">
        <v>108</v>
      </c>
      <c r="F292" s="24">
        <v>1430</v>
      </c>
      <c r="G292" s="24">
        <v>376</v>
      </c>
      <c r="H292" s="24">
        <v>33</v>
      </c>
      <c r="I292" s="24">
        <v>21450</v>
      </c>
      <c r="J292" s="24">
        <v>20509</v>
      </c>
      <c r="K292" s="24">
        <v>251</v>
      </c>
      <c r="L292" s="22" t="s">
        <v>58</v>
      </c>
      <c r="M292" s="21"/>
      <c r="N292" s="21"/>
      <c r="O292" s="21" t="s">
        <v>17</v>
      </c>
    </row>
    <row r="293" spans="1:15" ht="29.4" customHeight="1" x14ac:dyDescent="0.3">
      <c r="A293" s="21" t="s">
        <v>138</v>
      </c>
      <c r="B293" s="22" t="s">
        <v>13</v>
      </c>
      <c r="C293" s="23" t="s">
        <v>139</v>
      </c>
      <c r="D293" s="22" t="s">
        <v>70</v>
      </c>
      <c r="E293" s="22" t="s">
        <v>140</v>
      </c>
      <c r="F293" s="24">
        <v>1108</v>
      </c>
      <c r="G293" s="24">
        <v>177</v>
      </c>
      <c r="H293" s="24">
        <v>212</v>
      </c>
      <c r="I293" s="24">
        <v>8864</v>
      </c>
      <c r="J293" s="24">
        <v>8710</v>
      </c>
      <c r="K293" s="24">
        <v>97</v>
      </c>
      <c r="L293" s="22" t="s">
        <v>27</v>
      </c>
      <c r="M293" s="21"/>
      <c r="N293" s="21"/>
      <c r="O293" s="21" t="s">
        <v>35</v>
      </c>
    </row>
    <row r="294" spans="1:15" ht="29.4" customHeight="1" x14ac:dyDescent="0.3">
      <c r="A294" s="21" t="s">
        <v>74</v>
      </c>
      <c r="B294" s="22" t="s">
        <v>39</v>
      </c>
      <c r="C294" s="23" t="s">
        <v>75</v>
      </c>
      <c r="D294" s="22" t="s">
        <v>20</v>
      </c>
      <c r="E294" s="22" t="s">
        <v>52</v>
      </c>
      <c r="F294" s="24">
        <v>4441</v>
      </c>
      <c r="G294" s="24">
        <v>511</v>
      </c>
      <c r="H294" s="24">
        <v>70</v>
      </c>
      <c r="I294" s="24">
        <v>53292</v>
      </c>
      <c r="J294" s="24">
        <v>53082</v>
      </c>
      <c r="K294" s="24">
        <v>159</v>
      </c>
      <c r="L294" s="22" t="s">
        <v>34</v>
      </c>
      <c r="M294" s="21"/>
      <c r="N294" s="21"/>
      <c r="O294" s="21" t="s">
        <v>35</v>
      </c>
    </row>
    <row r="295" spans="1:15" ht="29.4" customHeight="1" x14ac:dyDescent="0.3">
      <c r="A295" s="21" t="s">
        <v>424</v>
      </c>
      <c r="B295" s="22" t="s">
        <v>39</v>
      </c>
      <c r="C295" s="23" t="s">
        <v>425</v>
      </c>
      <c r="D295" s="22" t="s">
        <v>48</v>
      </c>
      <c r="E295" s="22" t="s">
        <v>55</v>
      </c>
      <c r="F295" s="24">
        <v>4872</v>
      </c>
      <c r="G295" s="24">
        <v>925</v>
      </c>
      <c r="H295" s="24">
        <v>176</v>
      </c>
      <c r="I295" s="24">
        <v>82824</v>
      </c>
      <c r="J295" s="24">
        <v>82543</v>
      </c>
      <c r="K295" s="24">
        <v>89</v>
      </c>
      <c r="L295" s="22" t="s">
        <v>34</v>
      </c>
      <c r="M295" s="21"/>
      <c r="N295" s="21"/>
      <c r="O295" s="21" t="s">
        <v>22</v>
      </c>
    </row>
    <row r="296" spans="1:15" ht="29.4" customHeight="1" x14ac:dyDescent="0.3">
      <c r="A296" s="21" t="s">
        <v>543</v>
      </c>
      <c r="B296" s="22" t="s">
        <v>13</v>
      </c>
      <c r="C296" s="23" t="s">
        <v>425</v>
      </c>
      <c r="D296" s="22" t="s">
        <v>48</v>
      </c>
      <c r="E296" s="22" t="s">
        <v>127</v>
      </c>
      <c r="F296" s="24">
        <v>1952</v>
      </c>
      <c r="G296" s="24">
        <v>344</v>
      </c>
      <c r="H296" s="24">
        <v>287</v>
      </c>
      <c r="I296" s="24">
        <v>15616</v>
      </c>
      <c r="J296" s="24">
        <v>15403</v>
      </c>
      <c r="K296" s="24">
        <v>235</v>
      </c>
      <c r="L296" s="22" t="s">
        <v>58</v>
      </c>
      <c r="M296" s="21" t="s">
        <v>27</v>
      </c>
      <c r="N296" s="21" t="s">
        <v>551</v>
      </c>
      <c r="O296" s="21" t="s">
        <v>22</v>
      </c>
    </row>
    <row r="297" spans="1:15" ht="29.4" customHeight="1" x14ac:dyDescent="0.3">
      <c r="A297" s="21" t="s">
        <v>524</v>
      </c>
      <c r="B297" s="22" t="s">
        <v>13</v>
      </c>
      <c r="C297" s="23" t="s">
        <v>525</v>
      </c>
      <c r="D297" s="22" t="s">
        <v>15</v>
      </c>
      <c r="E297" s="22" t="s">
        <v>16</v>
      </c>
      <c r="F297" s="24">
        <v>3367</v>
      </c>
      <c r="G297" s="24">
        <v>302</v>
      </c>
      <c r="H297" s="24">
        <v>57</v>
      </c>
      <c r="I297" s="24">
        <v>63973</v>
      </c>
      <c r="J297" s="24">
        <v>63789</v>
      </c>
      <c r="K297" s="24">
        <v>157</v>
      </c>
      <c r="L297" s="22" t="s">
        <v>58</v>
      </c>
      <c r="M297" s="21"/>
      <c r="N297" s="21"/>
      <c r="O297" s="21" t="s">
        <v>22</v>
      </c>
    </row>
    <row r="298" spans="1:15" ht="29.4" customHeight="1" x14ac:dyDescent="0.3">
      <c r="A298" s="21" t="s">
        <v>269</v>
      </c>
      <c r="B298" s="22" t="s">
        <v>13</v>
      </c>
      <c r="C298" s="23" t="s">
        <v>270</v>
      </c>
      <c r="D298" s="22" t="s">
        <v>48</v>
      </c>
      <c r="E298" s="22" t="s">
        <v>127</v>
      </c>
      <c r="F298" s="24">
        <v>2493</v>
      </c>
      <c r="G298" s="24">
        <v>97</v>
      </c>
      <c r="H298" s="24">
        <v>44</v>
      </c>
      <c r="I298" s="24">
        <v>42381</v>
      </c>
      <c r="J298" s="24">
        <v>41991</v>
      </c>
      <c r="K298" s="24">
        <v>242</v>
      </c>
      <c r="L298" s="22" t="s">
        <v>27</v>
      </c>
      <c r="M298" s="21" t="s">
        <v>551</v>
      </c>
      <c r="N298" s="21"/>
      <c r="O298" s="21" t="s">
        <v>35</v>
      </c>
    </row>
    <row r="299" spans="1:15" ht="29.4" customHeight="1" x14ac:dyDescent="0.3">
      <c r="A299" s="21" t="s">
        <v>23</v>
      </c>
      <c r="B299" s="22" t="s">
        <v>24</v>
      </c>
      <c r="C299" s="23" t="s">
        <v>25</v>
      </c>
      <c r="D299" s="22" t="s">
        <v>15</v>
      </c>
      <c r="E299" s="22" t="s">
        <v>26</v>
      </c>
      <c r="F299" s="24">
        <v>2795</v>
      </c>
      <c r="G299" s="24">
        <v>105</v>
      </c>
      <c r="H299" s="24">
        <v>49</v>
      </c>
      <c r="I299" s="24">
        <v>53105</v>
      </c>
      <c r="J299" s="24">
        <v>52307</v>
      </c>
      <c r="K299" s="24">
        <v>204</v>
      </c>
      <c r="L299" s="22" t="s">
        <v>27</v>
      </c>
      <c r="M299" s="21"/>
      <c r="N299" s="21"/>
      <c r="O299" s="21" t="s">
        <v>28</v>
      </c>
    </row>
    <row r="300" spans="1:15" ht="29.4" customHeight="1" x14ac:dyDescent="0.3">
      <c r="A300" s="21" t="s">
        <v>435</v>
      </c>
      <c r="B300" s="22" t="s">
        <v>39</v>
      </c>
      <c r="C300" s="23" t="s">
        <v>436</v>
      </c>
      <c r="D300" s="22" t="s">
        <v>48</v>
      </c>
      <c r="E300" s="22" t="s">
        <v>55</v>
      </c>
      <c r="F300" s="24">
        <v>602</v>
      </c>
      <c r="G300" s="24">
        <v>594</v>
      </c>
      <c r="H300" s="24">
        <v>156</v>
      </c>
      <c r="I300" s="24">
        <v>4214</v>
      </c>
      <c r="J300" s="24">
        <v>3363</v>
      </c>
      <c r="K300" s="24">
        <v>164</v>
      </c>
      <c r="L300" s="22" t="s">
        <v>27</v>
      </c>
      <c r="M300" s="21"/>
      <c r="N300" s="21"/>
      <c r="O300" s="21" t="s">
        <v>28</v>
      </c>
    </row>
    <row r="301" spans="1:15" ht="29.4" customHeight="1" x14ac:dyDescent="0.3">
      <c r="A301" s="21" t="s">
        <v>539</v>
      </c>
      <c r="B301" s="22" t="s">
        <v>39</v>
      </c>
      <c r="C301" s="23" t="s">
        <v>540</v>
      </c>
      <c r="D301" s="22" t="s">
        <v>20</v>
      </c>
      <c r="E301" s="22" t="s">
        <v>52</v>
      </c>
      <c r="F301" s="24">
        <v>2634</v>
      </c>
      <c r="G301" s="24">
        <v>726</v>
      </c>
      <c r="H301" s="24">
        <v>241</v>
      </c>
      <c r="I301" s="24">
        <v>28974</v>
      </c>
      <c r="J301" s="24">
        <v>28102</v>
      </c>
      <c r="K301" s="24">
        <v>277</v>
      </c>
      <c r="L301" s="22" t="s">
        <v>34</v>
      </c>
      <c r="M301" s="21"/>
      <c r="N301" s="21"/>
      <c r="O301" s="21" t="s">
        <v>17</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D6D1-FF52-4187-8E91-6EC23365106F}">
  <sheetPr>
    <tabColor theme="7" tint="0.59999389629810485"/>
  </sheetPr>
  <dimension ref="C3:D8"/>
  <sheetViews>
    <sheetView topLeftCell="B1" workbookViewId="0">
      <selection activeCell="C6" sqref="C6"/>
    </sheetView>
  </sheetViews>
  <sheetFormatPr defaultRowHeight="14.4" x14ac:dyDescent="0.3"/>
  <cols>
    <col min="3" max="3" width="59.109375" bestFit="1" customWidth="1"/>
    <col min="4" max="4" width="229" bestFit="1" customWidth="1"/>
  </cols>
  <sheetData>
    <row r="3" spans="3:4" ht="18" x14ac:dyDescent="0.3">
      <c r="C3" s="48" t="s">
        <v>575</v>
      </c>
      <c r="D3" s="48"/>
    </row>
    <row r="4" spans="3:4" ht="18" x14ac:dyDescent="0.3">
      <c r="C4" s="44" t="s">
        <v>560</v>
      </c>
      <c r="D4" s="45" t="s">
        <v>566</v>
      </c>
    </row>
    <row r="5" spans="3:4" ht="54" x14ac:dyDescent="0.3">
      <c r="C5" s="46" t="s">
        <v>657</v>
      </c>
      <c r="D5" s="47" t="s">
        <v>658</v>
      </c>
    </row>
    <row r="6" spans="3:4" ht="18" x14ac:dyDescent="0.3">
      <c r="C6" s="47" t="s">
        <v>659</v>
      </c>
      <c r="D6" s="47" t="s">
        <v>661</v>
      </c>
    </row>
    <row r="7" spans="3:4" ht="72" x14ac:dyDescent="0.3">
      <c r="C7" s="46" t="s">
        <v>576</v>
      </c>
      <c r="D7" s="47" t="s">
        <v>662</v>
      </c>
    </row>
    <row r="8" spans="3:4" ht="36" x14ac:dyDescent="0.3">
      <c r="C8" s="46" t="s">
        <v>660</v>
      </c>
      <c r="D8" s="47" t="s">
        <v>663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8C259-630D-436E-A1AA-DAA5F3E81A2D}">
  <sheetPr codeName="Sheet2">
    <tabColor theme="7" tint="0.59999389629810485"/>
  </sheetPr>
  <dimension ref="A1:U304"/>
  <sheetViews>
    <sheetView topLeftCell="H1" zoomScale="92" zoomScaleNormal="92" workbookViewId="0">
      <selection activeCell="E315" sqref="E315"/>
    </sheetView>
  </sheetViews>
  <sheetFormatPr defaultRowHeight="14.4" x14ac:dyDescent="0.3"/>
  <cols>
    <col min="1" max="1" width="12.6640625" bestFit="1" customWidth="1"/>
    <col min="2" max="2" width="14.21875" bestFit="1" customWidth="1"/>
    <col min="3" max="3" width="10.6640625" bestFit="1" customWidth="1"/>
    <col min="4" max="4" width="18.21875" bestFit="1" customWidth="1"/>
    <col min="5" max="5" width="39.33203125" bestFit="1" customWidth="1"/>
    <col min="6" max="6" width="10.88671875" bestFit="1" customWidth="1"/>
    <col min="7" max="7" width="12.33203125" bestFit="1" customWidth="1"/>
    <col min="8" max="8" width="16" bestFit="1" customWidth="1"/>
    <col min="9" max="9" width="17.109375" bestFit="1" customWidth="1"/>
    <col min="10" max="10" width="11.77734375" bestFit="1" customWidth="1"/>
    <col min="11" max="11" width="11.5546875" bestFit="1" customWidth="1"/>
    <col min="12" max="12" width="22.33203125" bestFit="1" customWidth="1"/>
    <col min="13" max="13" width="21.88671875" bestFit="1" customWidth="1"/>
    <col min="14" max="14" width="18.44140625" bestFit="1" customWidth="1"/>
    <col min="15" max="15" width="21.6640625" bestFit="1" customWidth="1"/>
    <col min="16" max="16" width="19.88671875" bestFit="1" customWidth="1"/>
    <col min="17" max="17" width="21.44140625" bestFit="1" customWidth="1"/>
    <col min="19" max="19" width="28.33203125" customWidth="1"/>
    <col min="20" max="20" width="96.109375" bestFit="1" customWidth="1"/>
    <col min="21" max="21" width="244.5546875" bestFit="1" customWidth="1"/>
  </cols>
  <sheetData>
    <row r="1" spans="1:17" x14ac:dyDescent="0.3">
      <c r="A1" s="3" t="s">
        <v>0</v>
      </c>
      <c r="B1" s="3" t="s">
        <v>1</v>
      </c>
      <c r="C1" s="3" t="s">
        <v>2</v>
      </c>
      <c r="D1" s="3" t="s">
        <v>3</v>
      </c>
      <c r="E1" s="3" t="s">
        <v>4</v>
      </c>
      <c r="F1" s="4" t="s">
        <v>5</v>
      </c>
      <c r="G1" s="3" t="s">
        <v>6</v>
      </c>
      <c r="H1" s="3" t="s">
        <v>7</v>
      </c>
      <c r="I1" s="3" t="s">
        <v>8</v>
      </c>
      <c r="J1" s="3" t="s">
        <v>9</v>
      </c>
      <c r="K1" s="3" t="s">
        <v>10</v>
      </c>
      <c r="L1" s="7" t="s">
        <v>572</v>
      </c>
      <c r="M1" s="7" t="s">
        <v>573</v>
      </c>
      <c r="N1" s="7" t="s">
        <v>569</v>
      </c>
      <c r="O1" s="7" t="s">
        <v>570</v>
      </c>
      <c r="P1" s="7" t="s">
        <v>571</v>
      </c>
      <c r="Q1" s="7" t="s">
        <v>11</v>
      </c>
    </row>
    <row r="2" spans="1:17" ht="18" hidden="1" customHeight="1" x14ac:dyDescent="0.3">
      <c r="A2" s="1" t="s">
        <v>450</v>
      </c>
      <c r="B2" s="9" t="s">
        <v>39</v>
      </c>
      <c r="C2" s="5" t="s">
        <v>451</v>
      </c>
      <c r="D2" s="9" t="s">
        <v>20</v>
      </c>
      <c r="E2" s="9" t="s">
        <v>52</v>
      </c>
      <c r="F2" s="2">
        <v>1272</v>
      </c>
      <c r="G2" s="2">
        <v>465</v>
      </c>
      <c r="H2" s="2">
        <v>99</v>
      </c>
      <c r="I2" s="2">
        <v>24168</v>
      </c>
      <c r="J2" s="2">
        <v>23719</v>
      </c>
      <c r="K2" s="6">
        <v>42</v>
      </c>
      <c r="L2" s="2">
        <f>Table14[[#This Row],[Likes]]+Table14[[#This Row],[Shares]]+Table14[[#This Row],[Comments]]+Table14[[#This Row],[Clicks]]</f>
        <v>1878</v>
      </c>
      <c r="M2" s="11">
        <f>(Table14[[#This Row],[Likes]]+Table14[[#This Row],[Shares]]+Table14[[#This Row],[Comments]])/Table14[[#This Row],[Impressions]]</f>
        <v>7.5968222442899705E-2</v>
      </c>
      <c r="N2" s="9" t="s">
        <v>27</v>
      </c>
      <c r="O2" s="1"/>
      <c r="P2" s="1"/>
    </row>
    <row r="3" spans="1:17" ht="20.399999999999999" hidden="1" customHeight="1" x14ac:dyDescent="0.3">
      <c r="A3" s="1" t="s">
        <v>405</v>
      </c>
      <c r="B3" s="9" t="s">
        <v>39</v>
      </c>
      <c r="C3" s="5" t="s">
        <v>406</v>
      </c>
      <c r="D3" s="9" t="s">
        <v>48</v>
      </c>
      <c r="E3" s="9" t="s">
        <v>55</v>
      </c>
      <c r="F3" s="2">
        <v>1871</v>
      </c>
      <c r="G3" s="2">
        <v>252</v>
      </c>
      <c r="H3" s="2">
        <v>335</v>
      </c>
      <c r="I3" s="2">
        <v>29936</v>
      </c>
      <c r="J3" s="2">
        <v>29576</v>
      </c>
      <c r="K3" s="6">
        <v>288</v>
      </c>
      <c r="L3" s="2">
        <f>Table14[[#This Row],[Likes]]+Table14[[#This Row],[Shares]]+Table14[[#This Row],[Comments]]+Table14[[#This Row],[Clicks]]</f>
        <v>2746</v>
      </c>
      <c r="M3" s="11">
        <f>(Table14[[#This Row],[Likes]]+Table14[[#This Row],[Shares]]+Table14[[#This Row],[Comments]])/Table14[[#This Row],[Impressions]]</f>
        <v>8.2108498129342594E-2</v>
      </c>
      <c r="N3" s="9" t="s">
        <v>34</v>
      </c>
      <c r="O3" s="1"/>
      <c r="P3" s="1"/>
      <c r="Q3" s="1" t="s">
        <v>28</v>
      </c>
    </row>
    <row r="4" spans="1:17" ht="14.4" customHeight="1" x14ac:dyDescent="0.3">
      <c r="A4" s="1" t="s">
        <v>430</v>
      </c>
      <c r="B4" s="9" t="s">
        <v>30</v>
      </c>
      <c r="C4" s="5" t="s">
        <v>406</v>
      </c>
      <c r="D4" s="9" t="s">
        <v>32</v>
      </c>
      <c r="E4" s="9" t="s">
        <v>33</v>
      </c>
      <c r="F4" s="2">
        <v>84</v>
      </c>
      <c r="G4" s="2">
        <v>897</v>
      </c>
      <c r="H4" s="2">
        <v>85</v>
      </c>
      <c r="I4" s="2">
        <v>588</v>
      </c>
      <c r="J4" s="2">
        <v>8</v>
      </c>
      <c r="K4" s="6">
        <v>12</v>
      </c>
      <c r="L4" s="2">
        <f>Table14[[#This Row],[Likes]]+Table14[[#This Row],[Shares]]+Table14[[#This Row],[Comments]]+Table14[[#This Row],[Clicks]]</f>
        <v>1078</v>
      </c>
      <c r="M4" s="40">
        <f>(Table14[[#This Row],[Likes]]+Table14[[#This Row],[Shares]]+Table14[[#This Row],[Comments]])/Table14[[#This Row],[Impressions]]</f>
        <v>1.8129251700680271</v>
      </c>
      <c r="N4" s="9" t="s">
        <v>34</v>
      </c>
      <c r="O4" s="1"/>
      <c r="P4" s="1"/>
    </row>
    <row r="5" spans="1:17" ht="14.4" hidden="1" customHeight="1" x14ac:dyDescent="0.3">
      <c r="A5" s="1" t="s">
        <v>223</v>
      </c>
      <c r="B5" s="9" t="s">
        <v>30</v>
      </c>
      <c r="C5" s="5" t="s">
        <v>224</v>
      </c>
      <c r="D5" s="9" t="s">
        <v>48</v>
      </c>
      <c r="E5" s="9" t="s">
        <v>208</v>
      </c>
      <c r="F5" s="2">
        <v>3861</v>
      </c>
      <c r="G5" s="2">
        <v>960</v>
      </c>
      <c r="H5" s="2">
        <v>101</v>
      </c>
      <c r="I5" s="2">
        <v>69498</v>
      </c>
      <c r="J5" s="2">
        <v>68817</v>
      </c>
      <c r="K5" s="6">
        <v>297</v>
      </c>
      <c r="L5" s="2">
        <f>Table14[[#This Row],[Likes]]+Table14[[#This Row],[Shares]]+Table14[[#This Row],[Comments]]+Table14[[#This Row],[Clicks]]</f>
        <v>5219</v>
      </c>
      <c r="M5" s="11">
        <f>(Table14[[#This Row],[Likes]]+Table14[[#This Row],[Shares]]+Table14[[#This Row],[Comments]])/Table14[[#This Row],[Impressions]]</f>
        <v>7.0822181933293038E-2</v>
      </c>
      <c r="N5" s="9" t="s">
        <v>27</v>
      </c>
      <c r="O5" s="1"/>
      <c r="P5" s="1"/>
      <c r="Q5" s="1" t="s">
        <v>35</v>
      </c>
    </row>
    <row r="6" spans="1:17" ht="14.4" hidden="1" customHeight="1" x14ac:dyDescent="0.3">
      <c r="A6" s="1" t="s">
        <v>314</v>
      </c>
      <c r="B6" s="9" t="s">
        <v>24</v>
      </c>
      <c r="C6" s="5" t="s">
        <v>315</v>
      </c>
      <c r="D6" s="9" t="s">
        <v>15</v>
      </c>
      <c r="E6" s="9" t="s">
        <v>26</v>
      </c>
      <c r="F6" s="2">
        <v>3065</v>
      </c>
      <c r="G6" s="2">
        <v>772</v>
      </c>
      <c r="H6" s="2">
        <v>142</v>
      </c>
      <c r="I6" s="2">
        <v>18390</v>
      </c>
      <c r="J6" s="2">
        <v>17875</v>
      </c>
      <c r="K6" s="6">
        <v>200</v>
      </c>
      <c r="L6" s="2">
        <f>Table14[[#This Row],[Likes]]+Table14[[#This Row],[Shares]]+Table14[[#This Row],[Comments]]+Table14[[#This Row],[Clicks]]</f>
        <v>4179</v>
      </c>
      <c r="M6" s="11">
        <f>(Table14[[#This Row],[Likes]]+Table14[[#This Row],[Shares]]+Table14[[#This Row],[Comments]])/Table14[[#This Row],[Impressions]]</f>
        <v>0.21636759108210984</v>
      </c>
      <c r="N6" s="9" t="s">
        <v>34</v>
      </c>
      <c r="O6" s="1" t="s">
        <v>551</v>
      </c>
      <c r="P6" s="1"/>
    </row>
    <row r="7" spans="1:17" ht="14.4" hidden="1" customHeight="1" x14ac:dyDescent="0.3">
      <c r="A7" s="1" t="s">
        <v>383</v>
      </c>
      <c r="B7" s="9" t="s">
        <v>24</v>
      </c>
      <c r="C7" s="5" t="s">
        <v>218</v>
      </c>
      <c r="D7" s="9" t="s">
        <v>15</v>
      </c>
      <c r="E7" s="9" t="s">
        <v>26</v>
      </c>
      <c r="F7" s="2">
        <v>2728</v>
      </c>
      <c r="G7" s="2">
        <v>533</v>
      </c>
      <c r="H7" s="2">
        <v>215</v>
      </c>
      <c r="I7" s="2">
        <v>40920</v>
      </c>
      <c r="J7" s="2">
        <v>40816</v>
      </c>
      <c r="K7" s="6">
        <v>137</v>
      </c>
      <c r="L7" s="2">
        <f>Table14[[#This Row],[Likes]]+Table14[[#This Row],[Shares]]+Table14[[#This Row],[Comments]]+Table14[[#This Row],[Clicks]]</f>
        <v>3613</v>
      </c>
      <c r="M7" s="11">
        <f>(Table14[[#This Row],[Likes]]+Table14[[#This Row],[Shares]]+Table14[[#This Row],[Comments]])/Table14[[#This Row],[Impressions]]</f>
        <v>8.4946236559139784E-2</v>
      </c>
      <c r="N7" s="9" t="s">
        <v>58</v>
      </c>
      <c r="O7" s="1"/>
      <c r="P7" s="1"/>
      <c r="Q7" s="1" t="s">
        <v>22</v>
      </c>
    </row>
    <row r="8" spans="1:17" ht="14.4" hidden="1" customHeight="1" x14ac:dyDescent="0.3">
      <c r="A8" s="1" t="s">
        <v>217</v>
      </c>
      <c r="B8" s="9" t="s">
        <v>13</v>
      </c>
      <c r="C8" s="5" t="s">
        <v>218</v>
      </c>
      <c r="D8" s="9" t="s">
        <v>70</v>
      </c>
      <c r="E8" s="9" t="s">
        <v>140</v>
      </c>
      <c r="F8" s="2">
        <v>1436</v>
      </c>
      <c r="G8" s="2">
        <v>765</v>
      </c>
      <c r="H8" s="2">
        <v>496</v>
      </c>
      <c r="I8" s="2">
        <v>12924</v>
      </c>
      <c r="J8" s="2">
        <v>12701</v>
      </c>
      <c r="K8" s="6">
        <v>197</v>
      </c>
      <c r="L8" s="2">
        <f>Table14[[#This Row],[Likes]]+Table14[[#This Row],[Shares]]+Table14[[#This Row],[Comments]]+Table14[[#This Row],[Clicks]]</f>
        <v>2894</v>
      </c>
      <c r="M8" s="11">
        <f>(Table14[[#This Row],[Likes]]+Table14[[#This Row],[Shares]]+Table14[[#This Row],[Comments]])/Table14[[#This Row],[Impressions]]</f>
        <v>0.20868152274837512</v>
      </c>
      <c r="N8" s="9" t="s">
        <v>58</v>
      </c>
      <c r="O8" s="1"/>
      <c r="P8" s="1"/>
      <c r="Q8" s="1" t="s">
        <v>28</v>
      </c>
    </row>
    <row r="9" spans="1:17" ht="14.4" hidden="1" customHeight="1" x14ac:dyDescent="0.3">
      <c r="A9" s="1" t="s">
        <v>513</v>
      </c>
      <c r="B9" s="9" t="s">
        <v>13</v>
      </c>
      <c r="C9" s="5" t="s">
        <v>514</v>
      </c>
      <c r="D9" s="9" t="s">
        <v>41</v>
      </c>
      <c r="E9" s="9" t="s">
        <v>45</v>
      </c>
      <c r="F9" s="2">
        <v>1556</v>
      </c>
      <c r="G9" s="2">
        <v>195</v>
      </c>
      <c r="H9" s="2">
        <v>131</v>
      </c>
      <c r="I9" s="2">
        <v>9336</v>
      </c>
      <c r="J9" s="2">
        <v>8875</v>
      </c>
      <c r="K9" s="6">
        <v>137</v>
      </c>
      <c r="L9" s="2">
        <f>Table14[[#This Row],[Likes]]+Table14[[#This Row],[Shares]]+Table14[[#This Row],[Comments]]+Table14[[#This Row],[Clicks]]</f>
        <v>2019</v>
      </c>
      <c r="M9" s="11">
        <f>(Table14[[#This Row],[Likes]]+Table14[[#This Row],[Shares]]+Table14[[#This Row],[Comments]])/Table14[[#This Row],[Impressions]]</f>
        <v>0.2015852613538989</v>
      </c>
      <c r="N9" s="9" t="s">
        <v>27</v>
      </c>
      <c r="O9" s="1"/>
      <c r="P9" s="1"/>
      <c r="Q9" s="1" t="s">
        <v>22</v>
      </c>
    </row>
    <row r="10" spans="1:17" ht="14.4" hidden="1" customHeight="1" x14ac:dyDescent="0.3">
      <c r="A10" s="1" t="s">
        <v>145</v>
      </c>
      <c r="B10" s="9" t="s">
        <v>13</v>
      </c>
      <c r="C10" s="5" t="s">
        <v>146</v>
      </c>
      <c r="D10" s="9" t="s">
        <v>32</v>
      </c>
      <c r="E10" s="9" t="s">
        <v>144</v>
      </c>
      <c r="F10" s="2">
        <v>2164</v>
      </c>
      <c r="G10" s="2">
        <v>549</v>
      </c>
      <c r="H10" s="2">
        <v>274</v>
      </c>
      <c r="I10" s="2">
        <v>28132</v>
      </c>
      <c r="J10" s="2">
        <v>27361</v>
      </c>
      <c r="K10" s="6">
        <v>177</v>
      </c>
      <c r="L10" s="2">
        <f>Table14[[#This Row],[Likes]]+Table14[[#This Row],[Shares]]+Table14[[#This Row],[Comments]]+Table14[[#This Row],[Clicks]]</f>
        <v>3164</v>
      </c>
      <c r="M10" s="11">
        <f>(Table14[[#This Row],[Likes]]+Table14[[#This Row],[Shares]]+Table14[[#This Row],[Comments]])/Table14[[#This Row],[Impressions]]</f>
        <v>0.10617801791554102</v>
      </c>
      <c r="N10" s="9" t="s">
        <v>27</v>
      </c>
      <c r="O10" s="1"/>
      <c r="P10" s="1"/>
      <c r="Q10" s="1" t="s">
        <v>35</v>
      </c>
    </row>
    <row r="11" spans="1:17" ht="14.4" hidden="1" customHeight="1" x14ac:dyDescent="0.3">
      <c r="A11" s="1" t="s">
        <v>237</v>
      </c>
      <c r="B11" s="9" t="s">
        <v>13</v>
      </c>
      <c r="C11" s="5" t="s">
        <v>146</v>
      </c>
      <c r="D11" s="9" t="s">
        <v>32</v>
      </c>
      <c r="E11" s="9" t="s">
        <v>144</v>
      </c>
      <c r="F11" s="2">
        <v>1575</v>
      </c>
      <c r="G11" s="2">
        <v>771</v>
      </c>
      <c r="H11" s="2">
        <v>486</v>
      </c>
      <c r="I11" s="2">
        <v>25200</v>
      </c>
      <c r="J11" s="2">
        <v>24826</v>
      </c>
      <c r="K11" s="6">
        <v>17</v>
      </c>
      <c r="L11" s="2">
        <f>Table14[[#This Row],[Likes]]+Table14[[#This Row],[Shares]]+Table14[[#This Row],[Comments]]+Table14[[#This Row],[Clicks]]</f>
        <v>2849</v>
      </c>
      <c r="M11" s="11">
        <f>(Table14[[#This Row],[Likes]]+Table14[[#This Row],[Shares]]+Table14[[#This Row],[Comments]])/Table14[[#This Row],[Impressions]]</f>
        <v>0.11238095238095239</v>
      </c>
      <c r="N11" s="9" t="s">
        <v>58</v>
      </c>
      <c r="O11" s="1"/>
      <c r="P11" s="1"/>
      <c r="Q11" s="1" t="s">
        <v>35</v>
      </c>
    </row>
    <row r="12" spans="1:17" hidden="1" x14ac:dyDescent="0.3">
      <c r="A12" s="1" t="s">
        <v>245</v>
      </c>
      <c r="B12" s="9" t="s">
        <v>39</v>
      </c>
      <c r="C12" s="5" t="s">
        <v>246</v>
      </c>
      <c r="D12" s="9" t="s">
        <v>48</v>
      </c>
      <c r="E12" s="9" t="s">
        <v>55</v>
      </c>
      <c r="F12" s="2">
        <v>3689</v>
      </c>
      <c r="G12" s="2">
        <v>48</v>
      </c>
      <c r="H12" s="2">
        <v>306</v>
      </c>
      <c r="I12" s="2">
        <v>40579</v>
      </c>
      <c r="J12" s="2">
        <v>39588</v>
      </c>
      <c r="K12" s="6">
        <v>212</v>
      </c>
      <c r="L12" s="2">
        <f>Table14[[#This Row],[Likes]]+Table14[[#This Row],[Shares]]+Table14[[#This Row],[Comments]]+Table14[[#This Row],[Clicks]]</f>
        <v>4255</v>
      </c>
      <c r="M12" s="11">
        <f>(Table14[[#This Row],[Likes]]+Table14[[#This Row],[Shares]]+Table14[[#This Row],[Comments]])/Table14[[#This Row],[Impressions]]</f>
        <v>9.9632815002833983E-2</v>
      </c>
      <c r="N12" s="9" t="s">
        <v>34</v>
      </c>
      <c r="O12" s="1"/>
      <c r="P12" s="1"/>
      <c r="Q12" s="1" t="s">
        <v>22</v>
      </c>
    </row>
    <row r="13" spans="1:17" hidden="1" x14ac:dyDescent="0.3">
      <c r="A13" s="1" t="s">
        <v>428</v>
      </c>
      <c r="B13" s="9" t="s">
        <v>39</v>
      </c>
      <c r="C13" s="5" t="s">
        <v>246</v>
      </c>
      <c r="D13" s="9" t="s">
        <v>41</v>
      </c>
      <c r="E13" s="9" t="s">
        <v>42</v>
      </c>
      <c r="F13" s="2">
        <v>1869</v>
      </c>
      <c r="G13" s="2">
        <v>453</v>
      </c>
      <c r="H13" s="2">
        <v>490</v>
      </c>
      <c r="I13" s="2">
        <v>14952</v>
      </c>
      <c r="J13" s="2">
        <v>14309</v>
      </c>
      <c r="K13" s="6">
        <v>275</v>
      </c>
      <c r="L13" s="2">
        <f>Table14[[#This Row],[Likes]]+Table14[[#This Row],[Shares]]+Table14[[#This Row],[Comments]]+Table14[[#This Row],[Clicks]]</f>
        <v>3087</v>
      </c>
      <c r="M13" s="11">
        <f>(Table14[[#This Row],[Likes]]+Table14[[#This Row],[Shares]]+Table14[[#This Row],[Comments]])/Table14[[#This Row],[Impressions]]</f>
        <v>0.18806848582129482</v>
      </c>
      <c r="N13" s="9" t="s">
        <v>27</v>
      </c>
      <c r="O13" s="1"/>
      <c r="P13" s="1"/>
      <c r="Q13" s="1" t="s">
        <v>35</v>
      </c>
    </row>
    <row r="14" spans="1:17" hidden="1" x14ac:dyDescent="0.3">
      <c r="A14" s="1" t="s">
        <v>440</v>
      </c>
      <c r="B14" s="9" t="s">
        <v>30</v>
      </c>
      <c r="C14" s="5" t="s">
        <v>441</v>
      </c>
      <c r="D14" s="9" t="s">
        <v>20</v>
      </c>
      <c r="E14" s="9" t="s">
        <v>108</v>
      </c>
      <c r="F14" s="2">
        <v>246</v>
      </c>
      <c r="G14" s="2">
        <v>149</v>
      </c>
      <c r="H14" s="2">
        <v>130</v>
      </c>
      <c r="I14" s="2">
        <v>4674</v>
      </c>
      <c r="J14" s="2">
        <v>4390</v>
      </c>
      <c r="K14" s="6">
        <v>217</v>
      </c>
      <c r="L14" s="2">
        <f>Table14[[#This Row],[Likes]]+Table14[[#This Row],[Shares]]+Table14[[#This Row],[Comments]]+Table14[[#This Row],[Clicks]]</f>
        <v>742</v>
      </c>
      <c r="M14" s="11">
        <f>(Table14[[#This Row],[Likes]]+Table14[[#This Row],[Shares]]+Table14[[#This Row],[Comments]])/Table14[[#This Row],[Impressions]]</f>
        <v>0.11232349165596919</v>
      </c>
      <c r="N14" s="9" t="s">
        <v>58</v>
      </c>
      <c r="O14" s="1"/>
      <c r="P14" s="1"/>
      <c r="Q14" s="1" t="s">
        <v>28</v>
      </c>
    </row>
    <row r="15" spans="1:17" hidden="1" x14ac:dyDescent="0.3">
      <c r="A15" s="1" t="s">
        <v>203</v>
      </c>
      <c r="B15" s="9" t="s">
        <v>30</v>
      </c>
      <c r="C15" s="5" t="s">
        <v>151</v>
      </c>
      <c r="D15" s="9" t="s">
        <v>32</v>
      </c>
      <c r="E15" s="9" t="s">
        <v>33</v>
      </c>
      <c r="F15" s="2">
        <v>2103</v>
      </c>
      <c r="G15" s="2">
        <v>892</v>
      </c>
      <c r="H15" s="2">
        <v>103</v>
      </c>
      <c r="I15" s="2">
        <v>39957</v>
      </c>
      <c r="J15" s="2">
        <v>39466</v>
      </c>
      <c r="K15" s="6">
        <v>28</v>
      </c>
      <c r="L15" s="2">
        <f>Table14[[#This Row],[Likes]]+Table14[[#This Row],[Shares]]+Table14[[#This Row],[Comments]]+Table14[[#This Row],[Clicks]]</f>
        <v>3126</v>
      </c>
      <c r="M15" s="11">
        <f>(Table14[[#This Row],[Likes]]+Table14[[#This Row],[Shares]]+Table14[[#This Row],[Comments]])/Table14[[#This Row],[Impressions]]</f>
        <v>7.7533348349475686E-2</v>
      </c>
      <c r="N15" s="9" t="s">
        <v>58</v>
      </c>
      <c r="O15" s="1"/>
      <c r="P15" s="1"/>
    </row>
    <row r="16" spans="1:17" hidden="1" x14ac:dyDescent="0.3">
      <c r="A16" s="1" t="s">
        <v>150</v>
      </c>
      <c r="B16" s="9" t="s">
        <v>39</v>
      </c>
      <c r="C16" s="5" t="s">
        <v>151</v>
      </c>
      <c r="D16" s="9" t="s">
        <v>41</v>
      </c>
      <c r="E16" s="9" t="s">
        <v>42</v>
      </c>
      <c r="F16" s="2">
        <v>2200</v>
      </c>
      <c r="G16" s="2">
        <v>504</v>
      </c>
      <c r="H16" s="2">
        <v>239</v>
      </c>
      <c r="I16" s="2">
        <v>37400</v>
      </c>
      <c r="J16" s="2">
        <v>36938</v>
      </c>
      <c r="K16" s="6">
        <v>225</v>
      </c>
      <c r="L16" s="2">
        <f>Table14[[#This Row],[Likes]]+Table14[[#This Row],[Shares]]+Table14[[#This Row],[Comments]]+Table14[[#This Row],[Clicks]]</f>
        <v>3168</v>
      </c>
      <c r="M16" s="11">
        <f>(Table14[[#This Row],[Likes]]+Table14[[#This Row],[Shares]]+Table14[[#This Row],[Comments]])/Table14[[#This Row],[Impressions]]</f>
        <v>7.8689839572192513E-2</v>
      </c>
      <c r="N16" s="9" t="s">
        <v>58</v>
      </c>
      <c r="O16" s="1"/>
      <c r="P16" s="1"/>
      <c r="Q16" s="1" t="s">
        <v>22</v>
      </c>
    </row>
    <row r="17" spans="1:17" hidden="1" x14ac:dyDescent="0.3">
      <c r="A17" s="1" t="s">
        <v>249</v>
      </c>
      <c r="B17" s="9" t="s">
        <v>30</v>
      </c>
      <c r="C17" s="5" t="s">
        <v>250</v>
      </c>
      <c r="D17" s="9" t="s">
        <v>41</v>
      </c>
      <c r="E17" s="9" t="s">
        <v>84</v>
      </c>
      <c r="F17" s="2">
        <v>498</v>
      </c>
      <c r="G17" s="2">
        <v>38</v>
      </c>
      <c r="H17" s="2">
        <v>42</v>
      </c>
      <c r="I17" s="2">
        <v>4482</v>
      </c>
      <c r="J17" s="2">
        <v>3647</v>
      </c>
      <c r="K17" s="6">
        <v>32</v>
      </c>
      <c r="L17" s="2">
        <f>Table14[[#This Row],[Likes]]+Table14[[#This Row],[Shares]]+Table14[[#This Row],[Comments]]+Table14[[#This Row],[Clicks]]</f>
        <v>610</v>
      </c>
      <c r="M17" s="11">
        <f>(Table14[[#This Row],[Likes]]+Table14[[#This Row],[Shares]]+Table14[[#This Row],[Comments]])/Table14[[#This Row],[Impressions]]</f>
        <v>0.12896028558679162</v>
      </c>
      <c r="N17" s="9" t="s">
        <v>58</v>
      </c>
      <c r="O17" s="1"/>
      <c r="P17" s="1"/>
      <c r="Q17" s="1" t="s">
        <v>17</v>
      </c>
    </row>
    <row r="18" spans="1:17" hidden="1" x14ac:dyDescent="0.3">
      <c r="A18" s="1" t="s">
        <v>281</v>
      </c>
      <c r="B18" s="9" t="s">
        <v>30</v>
      </c>
      <c r="C18" s="5" t="s">
        <v>250</v>
      </c>
      <c r="D18" s="9" t="s">
        <v>32</v>
      </c>
      <c r="E18" s="9" t="s">
        <v>33</v>
      </c>
      <c r="F18" s="2">
        <v>4363</v>
      </c>
      <c r="G18" s="2">
        <v>649</v>
      </c>
      <c r="H18" s="2">
        <v>140</v>
      </c>
      <c r="I18" s="2">
        <v>21815</v>
      </c>
      <c r="J18" s="2">
        <v>21481</v>
      </c>
      <c r="K18" s="6">
        <v>157</v>
      </c>
      <c r="L18" s="2">
        <f>Table14[[#This Row],[Likes]]+Table14[[#This Row],[Shares]]+Table14[[#This Row],[Comments]]+Table14[[#This Row],[Clicks]]</f>
        <v>5309</v>
      </c>
      <c r="M18" s="11">
        <f>(Table14[[#This Row],[Likes]]+Table14[[#This Row],[Shares]]+Table14[[#This Row],[Comments]])/Table14[[#This Row],[Impressions]]</f>
        <v>0.23616777446710979</v>
      </c>
      <c r="N18" s="9" t="s">
        <v>34</v>
      </c>
      <c r="O18" s="1"/>
      <c r="P18" s="1"/>
      <c r="Q18" s="1" t="s">
        <v>17</v>
      </c>
    </row>
    <row r="19" spans="1:17" hidden="1" x14ac:dyDescent="0.3">
      <c r="A19" s="1" t="s">
        <v>318</v>
      </c>
      <c r="B19" s="9" t="s">
        <v>13</v>
      </c>
      <c r="C19" s="5" t="s">
        <v>319</v>
      </c>
      <c r="D19" s="9" t="s">
        <v>70</v>
      </c>
      <c r="E19" s="9" t="s">
        <v>140</v>
      </c>
      <c r="F19" s="2">
        <v>1702</v>
      </c>
      <c r="G19" s="2">
        <v>750</v>
      </c>
      <c r="H19" s="2">
        <v>179</v>
      </c>
      <c r="I19" s="2">
        <v>34040</v>
      </c>
      <c r="J19" s="2">
        <v>33174</v>
      </c>
      <c r="K19" s="6">
        <v>76</v>
      </c>
      <c r="L19" s="2">
        <f>Table14[[#This Row],[Likes]]+Table14[[#This Row],[Shares]]+Table14[[#This Row],[Comments]]+Table14[[#This Row],[Clicks]]</f>
        <v>2707</v>
      </c>
      <c r="M19" s="11">
        <f>(Table14[[#This Row],[Likes]]+Table14[[#This Row],[Shares]]+Table14[[#This Row],[Comments]])/Table14[[#This Row],[Impressions]]</f>
        <v>7.7291421856639245E-2</v>
      </c>
      <c r="N19" s="9" t="s">
        <v>34</v>
      </c>
      <c r="O19" s="1"/>
      <c r="P19" s="1"/>
      <c r="Q19" s="1" t="s">
        <v>17</v>
      </c>
    </row>
    <row r="20" spans="1:17" hidden="1" x14ac:dyDescent="0.3">
      <c r="A20" s="1" t="s">
        <v>200</v>
      </c>
      <c r="B20" s="9" t="s">
        <v>13</v>
      </c>
      <c r="C20" s="5" t="s">
        <v>158</v>
      </c>
      <c r="D20" s="9" t="s">
        <v>48</v>
      </c>
      <c r="E20" s="9" t="s">
        <v>127</v>
      </c>
      <c r="F20" s="2">
        <v>954</v>
      </c>
      <c r="G20" s="2">
        <v>324</v>
      </c>
      <c r="H20" s="2">
        <v>288</v>
      </c>
      <c r="I20" s="2">
        <v>19080</v>
      </c>
      <c r="J20" s="2">
        <v>18859</v>
      </c>
      <c r="K20" s="6">
        <v>21</v>
      </c>
      <c r="L20" s="2">
        <f>Table14[[#This Row],[Likes]]+Table14[[#This Row],[Shares]]+Table14[[#This Row],[Comments]]+Table14[[#This Row],[Clicks]]</f>
        <v>1587</v>
      </c>
      <c r="M20" s="11">
        <f>(Table14[[#This Row],[Likes]]+Table14[[#This Row],[Shares]]+Table14[[#This Row],[Comments]])/Table14[[#This Row],[Impressions]]</f>
        <v>8.2075471698113203E-2</v>
      </c>
      <c r="N20" s="9" t="s">
        <v>58</v>
      </c>
      <c r="O20" s="1"/>
      <c r="P20" s="1"/>
      <c r="Q20" s="1" t="s">
        <v>35</v>
      </c>
    </row>
    <row r="21" spans="1:17" hidden="1" x14ac:dyDescent="0.3">
      <c r="A21" s="1" t="s">
        <v>157</v>
      </c>
      <c r="B21" s="9" t="s">
        <v>39</v>
      </c>
      <c r="C21" s="5" t="s">
        <v>158</v>
      </c>
      <c r="D21" s="9" t="s">
        <v>48</v>
      </c>
      <c r="E21" s="9" t="s">
        <v>55</v>
      </c>
      <c r="F21" s="2">
        <v>1226</v>
      </c>
      <c r="G21" s="2">
        <v>119</v>
      </c>
      <c r="H21" s="2">
        <v>7</v>
      </c>
      <c r="I21" s="2">
        <v>14712</v>
      </c>
      <c r="J21" s="2">
        <v>14049</v>
      </c>
      <c r="K21" s="6">
        <v>123</v>
      </c>
      <c r="L21" s="2">
        <f>Table14[[#This Row],[Likes]]+Table14[[#This Row],[Shares]]+Table14[[#This Row],[Comments]]+Table14[[#This Row],[Clicks]]</f>
        <v>1475</v>
      </c>
      <c r="M21" s="11">
        <f>(Table14[[#This Row],[Likes]]+Table14[[#This Row],[Shares]]+Table14[[#This Row],[Comments]])/Table14[[#This Row],[Impressions]]</f>
        <v>9.1897770527460579E-2</v>
      </c>
      <c r="N21" s="9" t="s">
        <v>34</v>
      </c>
      <c r="O21" s="1"/>
      <c r="P21" s="1"/>
      <c r="Q21" s="1" t="s">
        <v>35</v>
      </c>
    </row>
    <row r="22" spans="1:17" hidden="1" x14ac:dyDescent="0.3">
      <c r="A22" s="1" t="s">
        <v>541</v>
      </c>
      <c r="B22" s="9" t="s">
        <v>39</v>
      </c>
      <c r="C22" s="5" t="s">
        <v>542</v>
      </c>
      <c r="D22" s="9" t="s">
        <v>41</v>
      </c>
      <c r="E22" s="9" t="s">
        <v>42</v>
      </c>
      <c r="F22" s="2">
        <v>4731</v>
      </c>
      <c r="G22" s="2">
        <v>173</v>
      </c>
      <c r="H22" s="2">
        <v>276</v>
      </c>
      <c r="I22" s="2">
        <v>28386</v>
      </c>
      <c r="J22" s="2">
        <v>28185</v>
      </c>
      <c r="K22" s="6">
        <v>89</v>
      </c>
      <c r="L22" s="2">
        <f>Table14[[#This Row],[Likes]]+Table14[[#This Row],[Shares]]+Table14[[#This Row],[Comments]]+Table14[[#This Row],[Clicks]]</f>
        <v>5269</v>
      </c>
      <c r="M22" s="11">
        <f>(Table14[[#This Row],[Likes]]+Table14[[#This Row],[Shares]]+Table14[[#This Row],[Comments]])/Table14[[#This Row],[Impressions]]</f>
        <v>0.18248432325794406</v>
      </c>
      <c r="N22" s="9" t="s">
        <v>34</v>
      </c>
      <c r="O22" s="1"/>
      <c r="P22" s="1"/>
      <c r="Q22" s="1" t="s">
        <v>28</v>
      </c>
    </row>
    <row r="23" spans="1:17" hidden="1" x14ac:dyDescent="0.3">
      <c r="A23" s="1" t="s">
        <v>364</v>
      </c>
      <c r="B23" s="9" t="s">
        <v>39</v>
      </c>
      <c r="C23" s="5" t="s">
        <v>365</v>
      </c>
      <c r="D23" s="9" t="s">
        <v>70</v>
      </c>
      <c r="E23" s="9" t="s">
        <v>71</v>
      </c>
      <c r="F23" s="2">
        <v>3798</v>
      </c>
      <c r="G23" s="2">
        <v>31</v>
      </c>
      <c r="H23" s="2">
        <v>279</v>
      </c>
      <c r="I23" s="2">
        <v>75960</v>
      </c>
      <c r="J23" s="2">
        <v>75813</v>
      </c>
      <c r="K23" s="6">
        <v>266</v>
      </c>
      <c r="L23" s="2">
        <f>Table14[[#This Row],[Likes]]+Table14[[#This Row],[Shares]]+Table14[[#This Row],[Comments]]+Table14[[#This Row],[Clicks]]</f>
        <v>4374</v>
      </c>
      <c r="M23" s="11">
        <f>(Table14[[#This Row],[Likes]]+Table14[[#This Row],[Shares]]+Table14[[#This Row],[Comments]])/Table14[[#This Row],[Impressions]]</f>
        <v>5.4081095313322801E-2</v>
      </c>
      <c r="N23" s="9" t="s">
        <v>27</v>
      </c>
      <c r="O23" s="1"/>
      <c r="P23" s="1"/>
      <c r="Q23" s="1" t="s">
        <v>17</v>
      </c>
    </row>
    <row r="24" spans="1:17" hidden="1" x14ac:dyDescent="0.3">
      <c r="A24" s="1" t="s">
        <v>437</v>
      </c>
      <c r="B24" s="9" t="s">
        <v>13</v>
      </c>
      <c r="C24" s="5" t="s">
        <v>365</v>
      </c>
      <c r="D24" s="9" t="s">
        <v>41</v>
      </c>
      <c r="E24" s="9" t="s">
        <v>45</v>
      </c>
      <c r="F24" s="2">
        <v>4672</v>
      </c>
      <c r="G24" s="2">
        <v>325</v>
      </c>
      <c r="H24" s="2">
        <v>32</v>
      </c>
      <c r="I24" s="2">
        <v>88768</v>
      </c>
      <c r="J24" s="2">
        <v>87833</v>
      </c>
      <c r="K24" s="6">
        <v>118</v>
      </c>
      <c r="L24" s="2">
        <f>Table14[[#This Row],[Likes]]+Table14[[#This Row],[Shares]]+Table14[[#This Row],[Comments]]+Table14[[#This Row],[Clicks]]</f>
        <v>5147</v>
      </c>
      <c r="M24" s="11">
        <f>(Table14[[#This Row],[Likes]]+Table14[[#This Row],[Shares]]+Table14[[#This Row],[Comments]])/Table14[[#This Row],[Impressions]]</f>
        <v>5.6653298485940883E-2</v>
      </c>
      <c r="N24" s="9" t="s">
        <v>34</v>
      </c>
      <c r="O24" s="1"/>
      <c r="P24" s="1"/>
    </row>
    <row r="25" spans="1:17" hidden="1" x14ac:dyDescent="0.3">
      <c r="A25" s="1" t="s">
        <v>253</v>
      </c>
      <c r="B25" s="9" t="s">
        <v>24</v>
      </c>
      <c r="C25" s="5" t="s">
        <v>254</v>
      </c>
      <c r="D25" s="9" t="s">
        <v>48</v>
      </c>
      <c r="E25" s="9" t="s">
        <v>49</v>
      </c>
      <c r="F25" s="2">
        <v>4832</v>
      </c>
      <c r="G25" s="2">
        <v>893</v>
      </c>
      <c r="H25" s="2">
        <v>10</v>
      </c>
      <c r="I25" s="2">
        <v>91808</v>
      </c>
      <c r="J25" s="2">
        <v>91296</v>
      </c>
      <c r="K25" s="6">
        <v>182</v>
      </c>
      <c r="L25" s="2">
        <f>Table14[[#This Row],[Likes]]+Table14[[#This Row],[Shares]]+Table14[[#This Row],[Comments]]+Table14[[#This Row],[Clicks]]</f>
        <v>5917</v>
      </c>
      <c r="M25" s="11">
        <f>(Table14[[#This Row],[Likes]]+Table14[[#This Row],[Shares]]+Table14[[#This Row],[Comments]])/Table14[[#This Row],[Impressions]]</f>
        <v>6.2467323109097243E-2</v>
      </c>
      <c r="N25" s="9" t="s">
        <v>27</v>
      </c>
      <c r="O25" s="1"/>
      <c r="P25" s="1"/>
    </row>
    <row r="26" spans="1:17" hidden="1" x14ac:dyDescent="0.3">
      <c r="A26" s="1" t="s">
        <v>474</v>
      </c>
      <c r="B26" s="9" t="s">
        <v>39</v>
      </c>
      <c r="C26" s="5" t="s">
        <v>166</v>
      </c>
      <c r="D26" s="9" t="s">
        <v>15</v>
      </c>
      <c r="E26" s="9" t="s">
        <v>61</v>
      </c>
      <c r="F26" s="2">
        <v>3813</v>
      </c>
      <c r="G26" s="2">
        <v>935</v>
      </c>
      <c r="H26" s="2">
        <v>274</v>
      </c>
      <c r="I26" s="2">
        <v>68634</v>
      </c>
      <c r="J26" s="2">
        <v>68488</v>
      </c>
      <c r="K26" s="6">
        <v>251</v>
      </c>
      <c r="L26" s="2">
        <f>Table14[[#This Row],[Likes]]+Table14[[#This Row],[Shares]]+Table14[[#This Row],[Comments]]+Table14[[#This Row],[Clicks]]</f>
        <v>5273</v>
      </c>
      <c r="M26" s="11">
        <f>(Table14[[#This Row],[Likes]]+Table14[[#This Row],[Shares]]+Table14[[#This Row],[Comments]])/Table14[[#This Row],[Impressions]]</f>
        <v>7.3170731707317069E-2</v>
      </c>
      <c r="N26" s="9" t="s">
        <v>58</v>
      </c>
      <c r="O26" s="1"/>
      <c r="P26" s="1"/>
    </row>
    <row r="27" spans="1:17" hidden="1" x14ac:dyDescent="0.3">
      <c r="A27" s="1" t="s">
        <v>165</v>
      </c>
      <c r="B27" s="9" t="s">
        <v>30</v>
      </c>
      <c r="C27" s="5" t="s">
        <v>166</v>
      </c>
      <c r="D27" s="9" t="s">
        <v>20</v>
      </c>
      <c r="E27" s="9" t="s">
        <v>108</v>
      </c>
      <c r="F27" s="2">
        <v>2180</v>
      </c>
      <c r="G27" s="2">
        <v>263</v>
      </c>
      <c r="H27" s="2">
        <v>387</v>
      </c>
      <c r="I27" s="2">
        <v>30520</v>
      </c>
      <c r="J27" s="2">
        <v>30059</v>
      </c>
      <c r="K27" s="6">
        <v>174</v>
      </c>
      <c r="L27" s="2">
        <f>Table14[[#This Row],[Likes]]+Table14[[#This Row],[Shares]]+Table14[[#This Row],[Comments]]+Table14[[#This Row],[Clicks]]</f>
        <v>3004</v>
      </c>
      <c r="M27" s="11">
        <f>(Table14[[#This Row],[Likes]]+Table14[[#This Row],[Shares]]+Table14[[#This Row],[Comments]])/Table14[[#This Row],[Impressions]]</f>
        <v>9.2726081258191345E-2</v>
      </c>
      <c r="N27" s="9" t="s">
        <v>34</v>
      </c>
      <c r="O27" s="1"/>
      <c r="P27" s="1"/>
    </row>
    <row r="28" spans="1:17" hidden="1" x14ac:dyDescent="0.3">
      <c r="A28" s="1" t="s">
        <v>361</v>
      </c>
      <c r="B28" s="9" t="s">
        <v>39</v>
      </c>
      <c r="C28" s="5" t="s">
        <v>166</v>
      </c>
      <c r="D28" s="9" t="s">
        <v>20</v>
      </c>
      <c r="E28" s="9" t="s">
        <v>52</v>
      </c>
      <c r="F28" s="2">
        <v>3828</v>
      </c>
      <c r="G28" s="2">
        <v>148</v>
      </c>
      <c r="H28" s="2">
        <v>253</v>
      </c>
      <c r="I28" s="2">
        <v>30624</v>
      </c>
      <c r="J28" s="2">
        <v>30229</v>
      </c>
      <c r="K28" s="6">
        <v>235</v>
      </c>
      <c r="L28" s="2">
        <f>Table14[[#This Row],[Likes]]+Table14[[#This Row],[Shares]]+Table14[[#This Row],[Comments]]+Table14[[#This Row],[Clicks]]</f>
        <v>4464</v>
      </c>
      <c r="M28" s="11">
        <f>(Table14[[#This Row],[Likes]]+Table14[[#This Row],[Shares]]+Table14[[#This Row],[Comments]])/Table14[[#This Row],[Impressions]]</f>
        <v>0.13809430512016718</v>
      </c>
      <c r="N28" s="9" t="s">
        <v>34</v>
      </c>
      <c r="O28" s="1"/>
      <c r="P28" s="1"/>
    </row>
    <row r="29" spans="1:17" hidden="1" x14ac:dyDescent="0.3">
      <c r="A29" s="1" t="s">
        <v>79</v>
      </c>
      <c r="B29" s="9" t="s">
        <v>30</v>
      </c>
      <c r="C29" s="5" t="s">
        <v>80</v>
      </c>
      <c r="D29" s="9" t="s">
        <v>70</v>
      </c>
      <c r="E29" s="9" t="s">
        <v>81</v>
      </c>
      <c r="F29" s="2">
        <v>1071</v>
      </c>
      <c r="G29" s="2">
        <v>519</v>
      </c>
      <c r="H29" s="2">
        <v>22</v>
      </c>
      <c r="I29" s="2">
        <v>16065</v>
      </c>
      <c r="J29" s="2">
        <v>15865</v>
      </c>
      <c r="K29" s="6">
        <v>103</v>
      </c>
      <c r="L29" s="2">
        <f>Table14[[#This Row],[Likes]]+Table14[[#This Row],[Shares]]+Table14[[#This Row],[Comments]]+Table14[[#This Row],[Clicks]]</f>
        <v>1715</v>
      </c>
      <c r="M29" s="11">
        <f>(Table14[[#This Row],[Likes]]+Table14[[#This Row],[Shares]]+Table14[[#This Row],[Comments]])/Table14[[#This Row],[Impressions]]</f>
        <v>0.10034235916588857</v>
      </c>
      <c r="N29" s="9" t="s">
        <v>27</v>
      </c>
      <c r="O29" s="1"/>
      <c r="P29" s="1"/>
      <c r="Q29" s="1" t="s">
        <v>35</v>
      </c>
    </row>
    <row r="30" spans="1:17" hidden="1" x14ac:dyDescent="0.3">
      <c r="A30" s="1" t="s">
        <v>43</v>
      </c>
      <c r="B30" s="9" t="s">
        <v>13</v>
      </c>
      <c r="C30" s="5" t="s">
        <v>44</v>
      </c>
      <c r="D30" s="9" t="s">
        <v>41</v>
      </c>
      <c r="E30" s="9" t="s">
        <v>45</v>
      </c>
      <c r="F30" s="2">
        <v>3860</v>
      </c>
      <c r="G30" s="2">
        <v>201</v>
      </c>
      <c r="H30" s="2">
        <v>279</v>
      </c>
      <c r="I30" s="2">
        <v>61760</v>
      </c>
      <c r="J30" s="2">
        <v>61660</v>
      </c>
      <c r="K30" s="6">
        <v>235</v>
      </c>
      <c r="L30" s="2">
        <f>Table14[[#This Row],[Likes]]+Table14[[#This Row],[Shares]]+Table14[[#This Row],[Comments]]+Table14[[#This Row],[Clicks]]</f>
        <v>4575</v>
      </c>
      <c r="M30" s="11">
        <f>(Table14[[#This Row],[Likes]]+Table14[[#This Row],[Shares]]+Table14[[#This Row],[Comments]])/Table14[[#This Row],[Impressions]]</f>
        <v>7.0272020725388601E-2</v>
      </c>
      <c r="N30" s="9" t="s">
        <v>27</v>
      </c>
      <c r="O30" s="1"/>
      <c r="P30" s="1"/>
      <c r="Q30" s="1" t="s">
        <v>22</v>
      </c>
    </row>
    <row r="31" spans="1:17" hidden="1" x14ac:dyDescent="0.3">
      <c r="A31" s="1" t="s">
        <v>414</v>
      </c>
      <c r="B31" s="9" t="s">
        <v>24</v>
      </c>
      <c r="C31" s="5" t="s">
        <v>44</v>
      </c>
      <c r="D31" s="9" t="s">
        <v>70</v>
      </c>
      <c r="E31" s="9" t="s">
        <v>211</v>
      </c>
      <c r="F31" s="2">
        <v>2949</v>
      </c>
      <c r="G31" s="2">
        <v>476</v>
      </c>
      <c r="H31" s="2">
        <v>403</v>
      </c>
      <c r="I31" s="2">
        <v>44235</v>
      </c>
      <c r="J31" s="2">
        <v>43705</v>
      </c>
      <c r="K31" s="6">
        <v>135</v>
      </c>
      <c r="L31" s="2">
        <f>Table14[[#This Row],[Likes]]+Table14[[#This Row],[Shares]]+Table14[[#This Row],[Comments]]+Table14[[#This Row],[Clicks]]</f>
        <v>3963</v>
      </c>
      <c r="M31" s="11">
        <f>(Table14[[#This Row],[Likes]]+Table14[[#This Row],[Shares]]+Table14[[#This Row],[Comments]])/Table14[[#This Row],[Impressions]]</f>
        <v>8.6537809426924378E-2</v>
      </c>
      <c r="N31" s="9" t="s">
        <v>27</v>
      </c>
      <c r="O31" s="1"/>
      <c r="P31" s="1"/>
      <c r="Q31" s="1" t="s">
        <v>22</v>
      </c>
    </row>
    <row r="32" spans="1:17" hidden="1" x14ac:dyDescent="0.3">
      <c r="A32" s="1" t="s">
        <v>411</v>
      </c>
      <c r="B32" s="9" t="s">
        <v>13</v>
      </c>
      <c r="C32" s="5" t="s">
        <v>44</v>
      </c>
      <c r="D32" s="9" t="s">
        <v>20</v>
      </c>
      <c r="E32" s="9" t="s">
        <v>21</v>
      </c>
      <c r="F32" s="2">
        <v>941</v>
      </c>
      <c r="G32" s="2">
        <v>121</v>
      </c>
      <c r="H32" s="2">
        <v>458</v>
      </c>
      <c r="I32" s="2">
        <v>14115</v>
      </c>
      <c r="J32" s="2">
        <v>13838</v>
      </c>
      <c r="K32" s="6">
        <v>87</v>
      </c>
      <c r="L32" s="2">
        <f>Table14[[#This Row],[Likes]]+Table14[[#This Row],[Shares]]+Table14[[#This Row],[Comments]]+Table14[[#This Row],[Clicks]]</f>
        <v>1607</v>
      </c>
      <c r="M32" s="11">
        <f>(Table14[[#This Row],[Likes]]+Table14[[#This Row],[Shares]]+Table14[[#This Row],[Comments]])/Table14[[#This Row],[Impressions]]</f>
        <v>0.10768685795253277</v>
      </c>
      <c r="N32" s="9" t="s">
        <v>34</v>
      </c>
      <c r="O32" s="1"/>
      <c r="P32" s="1"/>
      <c r="Q32" s="1" t="s">
        <v>17</v>
      </c>
    </row>
    <row r="33" spans="1:17" hidden="1" x14ac:dyDescent="0.3">
      <c r="A33" s="1" t="s">
        <v>36</v>
      </c>
      <c r="B33" s="9" t="s">
        <v>24</v>
      </c>
      <c r="C33" s="5" t="s">
        <v>37</v>
      </c>
      <c r="D33" s="9" t="s">
        <v>15</v>
      </c>
      <c r="E33" s="9" t="s">
        <v>26</v>
      </c>
      <c r="F33" s="2">
        <v>3557</v>
      </c>
      <c r="G33" s="2">
        <v>687</v>
      </c>
      <c r="H33" s="2">
        <v>424</v>
      </c>
      <c r="I33" s="2">
        <v>71140</v>
      </c>
      <c r="J33" s="2">
        <v>70701</v>
      </c>
      <c r="K33" s="6">
        <v>224</v>
      </c>
      <c r="L33" s="2">
        <f>Table14[[#This Row],[Likes]]+Table14[[#This Row],[Shares]]+Table14[[#This Row],[Comments]]+Table14[[#This Row],[Clicks]]</f>
        <v>4892</v>
      </c>
      <c r="M33" s="11">
        <f>(Table14[[#This Row],[Likes]]+Table14[[#This Row],[Shares]]+Table14[[#This Row],[Comments]])/Table14[[#This Row],[Impressions]]</f>
        <v>6.5617093055946027E-2</v>
      </c>
      <c r="N33" s="9" t="s">
        <v>34</v>
      </c>
      <c r="O33" s="1" t="s">
        <v>27</v>
      </c>
      <c r="P33" s="1"/>
      <c r="Q33" s="1" t="s">
        <v>17</v>
      </c>
    </row>
    <row r="34" spans="1:17" hidden="1" x14ac:dyDescent="0.3">
      <c r="A34" s="1" t="s">
        <v>442</v>
      </c>
      <c r="B34" s="9" t="s">
        <v>30</v>
      </c>
      <c r="C34" s="5" t="s">
        <v>443</v>
      </c>
      <c r="D34" s="9" t="s">
        <v>32</v>
      </c>
      <c r="E34" s="9" t="s">
        <v>33</v>
      </c>
      <c r="F34" s="2">
        <v>4808</v>
      </c>
      <c r="G34" s="2">
        <v>772</v>
      </c>
      <c r="H34" s="2">
        <v>320</v>
      </c>
      <c r="I34" s="2">
        <v>72120</v>
      </c>
      <c r="J34" s="2">
        <v>71696</v>
      </c>
      <c r="K34" s="6">
        <v>195</v>
      </c>
      <c r="L34" s="2">
        <f>Table14[[#This Row],[Likes]]+Table14[[#This Row],[Shares]]+Table14[[#This Row],[Comments]]+Table14[[#This Row],[Clicks]]</f>
        <v>6095</v>
      </c>
      <c r="M34" s="11">
        <f>(Table14[[#This Row],[Likes]]+Table14[[#This Row],[Shares]]+Table14[[#This Row],[Comments]])/Table14[[#This Row],[Impressions]]</f>
        <v>8.1808097615085965E-2</v>
      </c>
      <c r="N34" s="9" t="s">
        <v>34</v>
      </c>
      <c r="O34" s="1"/>
      <c r="P34" s="1"/>
      <c r="Q34" s="1" t="s">
        <v>17</v>
      </c>
    </row>
    <row r="35" spans="1:17" hidden="1" x14ac:dyDescent="0.3">
      <c r="A35" s="1" t="s">
        <v>238</v>
      </c>
      <c r="B35" s="9" t="s">
        <v>24</v>
      </c>
      <c r="C35" s="5" t="s">
        <v>239</v>
      </c>
      <c r="D35" s="9" t="s">
        <v>41</v>
      </c>
      <c r="E35" s="9" t="s">
        <v>64</v>
      </c>
      <c r="F35" s="2">
        <v>4171</v>
      </c>
      <c r="G35" s="2">
        <v>548</v>
      </c>
      <c r="H35" s="2">
        <v>86</v>
      </c>
      <c r="I35" s="2">
        <v>66736</v>
      </c>
      <c r="J35" s="2">
        <v>66634</v>
      </c>
      <c r="K35" s="6">
        <v>173</v>
      </c>
      <c r="L35" s="2">
        <f>Table14[[#This Row],[Likes]]+Table14[[#This Row],[Shares]]+Table14[[#This Row],[Comments]]+Table14[[#This Row],[Clicks]]</f>
        <v>4978</v>
      </c>
      <c r="M35" s="11">
        <f>(Table14[[#This Row],[Likes]]+Table14[[#This Row],[Shares]]+Table14[[#This Row],[Comments]])/Table14[[#This Row],[Impressions]]</f>
        <v>7.2000119875329657E-2</v>
      </c>
      <c r="N35" s="9" t="s">
        <v>58</v>
      </c>
      <c r="O35" s="1"/>
      <c r="P35" s="1"/>
      <c r="Q35" s="1" t="s">
        <v>28</v>
      </c>
    </row>
    <row r="36" spans="1:17" hidden="1" x14ac:dyDescent="0.3">
      <c r="A36" s="1" t="s">
        <v>444</v>
      </c>
      <c r="B36" s="9" t="s">
        <v>30</v>
      </c>
      <c r="C36" s="5" t="s">
        <v>148</v>
      </c>
      <c r="D36" s="9" t="s">
        <v>41</v>
      </c>
      <c r="E36" s="9" t="s">
        <v>84</v>
      </c>
      <c r="F36" s="2">
        <v>4799</v>
      </c>
      <c r="G36" s="2">
        <v>694</v>
      </c>
      <c r="H36" s="2">
        <v>289</v>
      </c>
      <c r="I36" s="2">
        <v>43191</v>
      </c>
      <c r="J36" s="2">
        <v>42228</v>
      </c>
      <c r="K36" s="6">
        <v>118</v>
      </c>
      <c r="L36" s="2">
        <f>Table14[[#This Row],[Likes]]+Table14[[#This Row],[Shares]]+Table14[[#This Row],[Comments]]+Table14[[#This Row],[Clicks]]</f>
        <v>5900</v>
      </c>
      <c r="M36" s="11">
        <f>(Table14[[#This Row],[Likes]]+Table14[[#This Row],[Shares]]+Table14[[#This Row],[Comments]])/Table14[[#This Row],[Impressions]]</f>
        <v>0.13387048227640017</v>
      </c>
      <c r="N36" s="9" t="s">
        <v>27</v>
      </c>
      <c r="O36" s="1"/>
      <c r="P36" s="1"/>
    </row>
    <row r="37" spans="1:17" hidden="1" x14ac:dyDescent="0.3">
      <c r="A37" s="1" t="s">
        <v>147</v>
      </c>
      <c r="B37" s="9" t="s">
        <v>24</v>
      </c>
      <c r="C37" s="5" t="s">
        <v>148</v>
      </c>
      <c r="D37" s="9" t="s">
        <v>32</v>
      </c>
      <c r="E37" s="9" t="s">
        <v>149</v>
      </c>
      <c r="F37" s="2">
        <v>2754</v>
      </c>
      <c r="G37" s="2">
        <v>130</v>
      </c>
      <c r="H37" s="2">
        <v>90</v>
      </c>
      <c r="I37" s="2">
        <v>22032</v>
      </c>
      <c r="J37" s="2">
        <v>21288</v>
      </c>
      <c r="K37" s="6">
        <v>112</v>
      </c>
      <c r="L37" s="2">
        <f>Table14[[#This Row],[Likes]]+Table14[[#This Row],[Shares]]+Table14[[#This Row],[Comments]]+Table14[[#This Row],[Clicks]]</f>
        <v>3086</v>
      </c>
      <c r="M37" s="11">
        <f>(Table14[[#This Row],[Likes]]+Table14[[#This Row],[Shares]]+Table14[[#This Row],[Comments]])/Table14[[#This Row],[Impressions]]</f>
        <v>0.13498547567175018</v>
      </c>
      <c r="N37" s="9" t="s">
        <v>27</v>
      </c>
      <c r="O37" s="1"/>
      <c r="P37" s="1"/>
      <c r="Q37" s="1" t="s">
        <v>28</v>
      </c>
    </row>
    <row r="38" spans="1:17" hidden="1" x14ac:dyDescent="0.3">
      <c r="A38" s="1" t="s">
        <v>219</v>
      </c>
      <c r="B38" s="9" t="s">
        <v>39</v>
      </c>
      <c r="C38" s="5" t="s">
        <v>220</v>
      </c>
      <c r="D38" s="9" t="s">
        <v>32</v>
      </c>
      <c r="E38" s="9" t="s">
        <v>67</v>
      </c>
      <c r="F38" s="2">
        <v>302</v>
      </c>
      <c r="G38" s="2">
        <v>47</v>
      </c>
      <c r="H38" s="2">
        <v>430</v>
      </c>
      <c r="I38" s="2">
        <v>5738</v>
      </c>
      <c r="J38" s="2">
        <v>4890</v>
      </c>
      <c r="K38" s="6">
        <v>25</v>
      </c>
      <c r="L38" s="2">
        <f>Table14[[#This Row],[Likes]]+Table14[[#This Row],[Shares]]+Table14[[#This Row],[Comments]]+Table14[[#This Row],[Clicks]]</f>
        <v>804</v>
      </c>
      <c r="M38" s="11">
        <f>(Table14[[#This Row],[Likes]]+Table14[[#This Row],[Shares]]+Table14[[#This Row],[Comments]])/Table14[[#This Row],[Impressions]]</f>
        <v>0.13576158940397351</v>
      </c>
      <c r="N38" s="9" t="s">
        <v>27</v>
      </c>
      <c r="O38" s="1"/>
      <c r="P38" s="1"/>
      <c r="Q38" s="1" t="s">
        <v>35</v>
      </c>
    </row>
    <row r="39" spans="1:17" hidden="1" x14ac:dyDescent="0.3">
      <c r="A39" s="1" t="s">
        <v>461</v>
      </c>
      <c r="B39" s="9" t="s">
        <v>39</v>
      </c>
      <c r="C39" s="5" t="s">
        <v>220</v>
      </c>
      <c r="D39" s="9" t="s">
        <v>15</v>
      </c>
      <c r="E39" s="9" t="s">
        <v>61</v>
      </c>
      <c r="F39" s="2">
        <v>4767</v>
      </c>
      <c r="G39" s="2">
        <v>190</v>
      </c>
      <c r="H39" s="2">
        <v>340</v>
      </c>
      <c r="I39" s="2">
        <v>28602</v>
      </c>
      <c r="J39" s="2">
        <v>28044</v>
      </c>
      <c r="K39" s="6">
        <v>210</v>
      </c>
      <c r="L39" s="2">
        <f>Table14[[#This Row],[Likes]]+Table14[[#This Row],[Shares]]+Table14[[#This Row],[Comments]]+Table14[[#This Row],[Clicks]]</f>
        <v>5507</v>
      </c>
      <c r="M39" s="11">
        <f>(Table14[[#This Row],[Likes]]+Table14[[#This Row],[Shares]]+Table14[[#This Row],[Comments]])/Table14[[#This Row],[Impressions]]</f>
        <v>0.18519683938186141</v>
      </c>
      <c r="N39" s="9" t="s">
        <v>34</v>
      </c>
      <c r="O39" s="1"/>
      <c r="P39" s="1"/>
      <c r="Q39" s="1" t="s">
        <v>28</v>
      </c>
    </row>
    <row r="40" spans="1:17" hidden="1" x14ac:dyDescent="0.3">
      <c r="A40" s="1" t="s">
        <v>366</v>
      </c>
      <c r="B40" s="9" t="s">
        <v>30</v>
      </c>
      <c r="C40" s="5" t="s">
        <v>367</v>
      </c>
      <c r="D40" s="9" t="s">
        <v>41</v>
      </c>
      <c r="E40" s="9" t="s">
        <v>84</v>
      </c>
      <c r="F40" s="2">
        <v>3099</v>
      </c>
      <c r="G40" s="2">
        <v>694</v>
      </c>
      <c r="H40" s="2">
        <v>171</v>
      </c>
      <c r="I40" s="2">
        <v>43386</v>
      </c>
      <c r="J40" s="2">
        <v>42921</v>
      </c>
      <c r="K40" s="6">
        <v>52</v>
      </c>
      <c r="L40" s="2">
        <f>Table14[[#This Row],[Likes]]+Table14[[#This Row],[Shares]]+Table14[[#This Row],[Comments]]+Table14[[#This Row],[Clicks]]</f>
        <v>4016</v>
      </c>
      <c r="M40" s="11">
        <f>(Table14[[#This Row],[Likes]]+Table14[[#This Row],[Shares]]+Table14[[#This Row],[Comments]])/Table14[[#This Row],[Impressions]]</f>
        <v>9.1365878393951966E-2</v>
      </c>
      <c r="N40" s="9" t="s">
        <v>27</v>
      </c>
      <c r="O40" s="1"/>
      <c r="P40" s="1"/>
      <c r="Q40" s="1" t="s">
        <v>28</v>
      </c>
    </row>
    <row r="41" spans="1:17" hidden="1" x14ac:dyDescent="0.3">
      <c r="A41" s="1" t="s">
        <v>300</v>
      </c>
      <c r="B41" s="9" t="s">
        <v>30</v>
      </c>
      <c r="C41" s="5" t="s">
        <v>301</v>
      </c>
      <c r="D41" s="9" t="s">
        <v>20</v>
      </c>
      <c r="E41" s="9" t="s">
        <v>108</v>
      </c>
      <c r="F41" s="2">
        <v>3134</v>
      </c>
      <c r="G41" s="2">
        <v>888</v>
      </c>
      <c r="H41" s="2">
        <v>444</v>
      </c>
      <c r="I41" s="2">
        <v>21938</v>
      </c>
      <c r="J41" s="2">
        <v>21337</v>
      </c>
      <c r="K41" s="6">
        <v>130</v>
      </c>
      <c r="L41" s="2">
        <f>Table14[[#This Row],[Likes]]+Table14[[#This Row],[Shares]]+Table14[[#This Row],[Comments]]+Table14[[#This Row],[Clicks]]</f>
        <v>4596</v>
      </c>
      <c r="M41" s="11">
        <f>(Table14[[#This Row],[Likes]]+Table14[[#This Row],[Shares]]+Table14[[#This Row],[Comments]])/Table14[[#This Row],[Impressions]]</f>
        <v>0.20357370772176134</v>
      </c>
      <c r="N41" s="9" t="s">
        <v>34</v>
      </c>
      <c r="O41" s="1"/>
      <c r="P41" s="1"/>
      <c r="Q41" s="1" t="s">
        <v>35</v>
      </c>
    </row>
    <row r="42" spans="1:17" hidden="1" x14ac:dyDescent="0.3">
      <c r="A42" s="1" t="s">
        <v>46</v>
      </c>
      <c r="B42" s="9" t="s">
        <v>24</v>
      </c>
      <c r="C42" s="5" t="s">
        <v>47</v>
      </c>
      <c r="D42" s="9" t="s">
        <v>48</v>
      </c>
      <c r="E42" s="9" t="s">
        <v>49</v>
      </c>
      <c r="F42" s="2">
        <v>3929</v>
      </c>
      <c r="G42" s="2">
        <v>262</v>
      </c>
      <c r="H42" s="2">
        <v>278</v>
      </c>
      <c r="I42" s="2">
        <v>43219</v>
      </c>
      <c r="J42" s="2">
        <v>42841</v>
      </c>
      <c r="K42" s="6">
        <v>39</v>
      </c>
      <c r="L42" s="2">
        <f>Table14[[#This Row],[Likes]]+Table14[[#This Row],[Shares]]+Table14[[#This Row],[Comments]]+Table14[[#This Row],[Clicks]]</f>
        <v>4508</v>
      </c>
      <c r="M42" s="11">
        <f>(Table14[[#This Row],[Likes]]+Table14[[#This Row],[Shares]]+Table14[[#This Row],[Comments]])/Table14[[#This Row],[Impressions]]</f>
        <v>0.10340359564080613</v>
      </c>
      <c r="N42" s="9" t="s">
        <v>34</v>
      </c>
      <c r="O42" s="1"/>
      <c r="P42" s="1"/>
      <c r="Q42" s="1" t="s">
        <v>35</v>
      </c>
    </row>
    <row r="43" spans="1:17" hidden="1" x14ac:dyDescent="0.3">
      <c r="A43" s="1" t="s">
        <v>369</v>
      </c>
      <c r="B43" s="9" t="s">
        <v>39</v>
      </c>
      <c r="C43" s="5" t="s">
        <v>307</v>
      </c>
      <c r="D43" s="9" t="s">
        <v>41</v>
      </c>
      <c r="E43" s="9" t="s">
        <v>42</v>
      </c>
      <c r="F43" s="2">
        <v>3796</v>
      </c>
      <c r="G43" s="2">
        <v>667</v>
      </c>
      <c r="H43" s="2">
        <v>395</v>
      </c>
      <c r="I43" s="2">
        <v>64532</v>
      </c>
      <c r="J43" s="2">
        <v>63550</v>
      </c>
      <c r="K43" s="6">
        <v>292</v>
      </c>
      <c r="L43" s="2">
        <f>Table14[[#This Row],[Likes]]+Table14[[#This Row],[Shares]]+Table14[[#This Row],[Comments]]+Table14[[#This Row],[Clicks]]</f>
        <v>5150</v>
      </c>
      <c r="M43" s="11">
        <f>(Table14[[#This Row],[Likes]]+Table14[[#This Row],[Shares]]+Table14[[#This Row],[Comments]])/Table14[[#This Row],[Impressions]]</f>
        <v>7.5280481001673588E-2</v>
      </c>
      <c r="N43" s="9" t="s">
        <v>27</v>
      </c>
      <c r="O43" s="1"/>
      <c r="P43" s="1"/>
    </row>
    <row r="44" spans="1:17" hidden="1" x14ac:dyDescent="0.3">
      <c r="A44" s="1" t="s">
        <v>445</v>
      </c>
      <c r="B44" s="9" t="s">
        <v>39</v>
      </c>
      <c r="C44" s="5" t="s">
        <v>307</v>
      </c>
      <c r="D44" s="9" t="s">
        <v>15</v>
      </c>
      <c r="E44" s="9" t="s">
        <v>61</v>
      </c>
      <c r="F44" s="2">
        <v>3663</v>
      </c>
      <c r="G44" s="2">
        <v>17</v>
      </c>
      <c r="H44" s="2">
        <v>295</v>
      </c>
      <c r="I44" s="2">
        <v>51282</v>
      </c>
      <c r="J44" s="2">
        <v>50567</v>
      </c>
      <c r="K44" s="6">
        <v>84</v>
      </c>
      <c r="L44" s="2">
        <f>Table14[[#This Row],[Likes]]+Table14[[#This Row],[Shares]]+Table14[[#This Row],[Comments]]+Table14[[#This Row],[Clicks]]</f>
        <v>4059</v>
      </c>
      <c r="M44" s="11">
        <f>(Table14[[#This Row],[Likes]]+Table14[[#This Row],[Shares]]+Table14[[#This Row],[Comments]])/Table14[[#This Row],[Impressions]]</f>
        <v>7.7512577512577507E-2</v>
      </c>
      <c r="N44" s="9" t="s">
        <v>34</v>
      </c>
      <c r="O44" s="1"/>
      <c r="P44" s="1"/>
      <c r="Q44" s="1" t="s">
        <v>28</v>
      </c>
    </row>
    <row r="45" spans="1:17" hidden="1" x14ac:dyDescent="0.3">
      <c r="A45" s="1" t="s">
        <v>306</v>
      </c>
      <c r="B45" s="9" t="s">
        <v>39</v>
      </c>
      <c r="C45" s="5" t="s">
        <v>307</v>
      </c>
      <c r="D45" s="9" t="s">
        <v>48</v>
      </c>
      <c r="E45" s="9" t="s">
        <v>55</v>
      </c>
      <c r="F45" s="2">
        <v>2291</v>
      </c>
      <c r="G45" s="2">
        <v>78</v>
      </c>
      <c r="H45" s="2">
        <v>485</v>
      </c>
      <c r="I45" s="2">
        <v>18328</v>
      </c>
      <c r="J45" s="2">
        <v>18101</v>
      </c>
      <c r="K45" s="6">
        <v>10</v>
      </c>
      <c r="L45" s="2">
        <f>Table14[[#This Row],[Likes]]+Table14[[#This Row],[Shares]]+Table14[[#This Row],[Comments]]+Table14[[#This Row],[Clicks]]</f>
        <v>2864</v>
      </c>
      <c r="M45" s="11">
        <f>(Table14[[#This Row],[Likes]]+Table14[[#This Row],[Shares]]+Table14[[#This Row],[Comments]])/Table14[[#This Row],[Impressions]]</f>
        <v>0.15571802706241816</v>
      </c>
      <c r="N45" s="9" t="s">
        <v>34</v>
      </c>
      <c r="O45" s="1" t="s">
        <v>552</v>
      </c>
      <c r="P45" s="1"/>
      <c r="Q45" s="1" t="s">
        <v>22</v>
      </c>
    </row>
    <row r="46" spans="1:17" hidden="1" x14ac:dyDescent="0.3">
      <c r="A46" s="1" t="s">
        <v>455</v>
      </c>
      <c r="B46" s="9" t="s">
        <v>13</v>
      </c>
      <c r="C46" s="5" t="s">
        <v>456</v>
      </c>
      <c r="D46" s="9" t="s">
        <v>20</v>
      </c>
      <c r="E46" s="9" t="s">
        <v>21</v>
      </c>
      <c r="F46" s="2">
        <v>4725</v>
      </c>
      <c r="G46" s="2">
        <v>400</v>
      </c>
      <c r="H46" s="2">
        <v>362</v>
      </c>
      <c r="I46" s="2">
        <v>75600</v>
      </c>
      <c r="J46" s="2">
        <v>74927</v>
      </c>
      <c r="K46" s="6">
        <v>43</v>
      </c>
      <c r="L46" s="2">
        <f>Table14[[#This Row],[Likes]]+Table14[[#This Row],[Shares]]+Table14[[#This Row],[Comments]]+Table14[[#This Row],[Clicks]]</f>
        <v>5530</v>
      </c>
      <c r="M46" s="11">
        <f>(Table14[[#This Row],[Likes]]+Table14[[#This Row],[Shares]]+Table14[[#This Row],[Comments]])/Table14[[#This Row],[Impressions]]</f>
        <v>7.2579365079365077E-2</v>
      </c>
      <c r="N46" s="9" t="s">
        <v>58</v>
      </c>
      <c r="O46" s="1"/>
      <c r="P46" s="1"/>
      <c r="Q46" s="1" t="s">
        <v>35</v>
      </c>
    </row>
    <row r="47" spans="1:17" hidden="1" x14ac:dyDescent="0.3">
      <c r="A47" s="1" t="s">
        <v>473</v>
      </c>
      <c r="B47" s="9" t="s">
        <v>13</v>
      </c>
      <c r="C47" s="5" t="s">
        <v>419</v>
      </c>
      <c r="D47" s="9" t="s">
        <v>48</v>
      </c>
      <c r="E47" s="9" t="s">
        <v>127</v>
      </c>
      <c r="F47" s="2">
        <v>827</v>
      </c>
      <c r="G47" s="2">
        <v>77</v>
      </c>
      <c r="H47" s="2">
        <v>402</v>
      </c>
      <c r="I47" s="2">
        <v>14886</v>
      </c>
      <c r="J47" s="2">
        <v>14129</v>
      </c>
      <c r="K47" s="6">
        <v>254</v>
      </c>
      <c r="L47" s="2">
        <f>Table14[[#This Row],[Likes]]+Table14[[#This Row],[Shares]]+Table14[[#This Row],[Comments]]+Table14[[#This Row],[Clicks]]</f>
        <v>1560</v>
      </c>
      <c r="M47" s="11">
        <f>(Table14[[#This Row],[Likes]]+Table14[[#This Row],[Shares]]+Table14[[#This Row],[Comments]])/Table14[[#This Row],[Impressions]]</f>
        <v>8.7733440816874911E-2</v>
      </c>
      <c r="N47" s="9" t="s">
        <v>34</v>
      </c>
      <c r="O47" s="1"/>
      <c r="P47" s="1"/>
      <c r="Q47" s="1" t="s">
        <v>22</v>
      </c>
    </row>
    <row r="48" spans="1:17" hidden="1" x14ac:dyDescent="0.3">
      <c r="A48" s="1" t="s">
        <v>527</v>
      </c>
      <c r="B48" s="9" t="s">
        <v>24</v>
      </c>
      <c r="C48" s="5" t="s">
        <v>419</v>
      </c>
      <c r="D48" s="9" t="s">
        <v>20</v>
      </c>
      <c r="E48" s="9" t="s">
        <v>99</v>
      </c>
      <c r="F48" s="2">
        <v>4021</v>
      </c>
      <c r="G48" s="2">
        <v>794</v>
      </c>
      <c r="H48" s="2">
        <v>77</v>
      </c>
      <c r="I48" s="2">
        <v>36189</v>
      </c>
      <c r="J48" s="2">
        <v>35505</v>
      </c>
      <c r="K48" s="6">
        <v>174</v>
      </c>
      <c r="L48" s="2">
        <f>Table14[[#This Row],[Likes]]+Table14[[#This Row],[Shares]]+Table14[[#This Row],[Comments]]+Table14[[#This Row],[Clicks]]</f>
        <v>5066</v>
      </c>
      <c r="M48" s="11">
        <f>(Table14[[#This Row],[Likes]]+Table14[[#This Row],[Shares]]+Table14[[#This Row],[Comments]])/Table14[[#This Row],[Impressions]]</f>
        <v>0.13517919809886983</v>
      </c>
      <c r="N48" s="9" t="s">
        <v>34</v>
      </c>
      <c r="O48" s="1"/>
      <c r="P48" s="1"/>
    </row>
    <row r="49" spans="1:17" hidden="1" x14ac:dyDescent="0.3">
      <c r="A49" s="1" t="s">
        <v>418</v>
      </c>
      <c r="B49" s="9" t="s">
        <v>13</v>
      </c>
      <c r="C49" s="5" t="s">
        <v>419</v>
      </c>
      <c r="D49" s="9" t="s">
        <v>41</v>
      </c>
      <c r="E49" s="9" t="s">
        <v>45</v>
      </c>
      <c r="F49" s="2">
        <v>2120</v>
      </c>
      <c r="G49" s="2">
        <v>38</v>
      </c>
      <c r="H49" s="2">
        <v>212</v>
      </c>
      <c r="I49" s="2">
        <v>12720</v>
      </c>
      <c r="J49" s="2">
        <v>12564</v>
      </c>
      <c r="K49" s="6">
        <v>21</v>
      </c>
      <c r="L49" s="2">
        <f>Table14[[#This Row],[Likes]]+Table14[[#This Row],[Shares]]+Table14[[#This Row],[Comments]]+Table14[[#This Row],[Clicks]]</f>
        <v>2391</v>
      </c>
      <c r="M49" s="11">
        <f>(Table14[[#This Row],[Likes]]+Table14[[#This Row],[Shares]]+Table14[[#This Row],[Comments]])/Table14[[#This Row],[Impressions]]</f>
        <v>0.18632075471698112</v>
      </c>
      <c r="N49" s="9" t="s">
        <v>58</v>
      </c>
      <c r="O49" s="1"/>
      <c r="P49" s="1"/>
      <c r="Q49" s="1" t="s">
        <v>35</v>
      </c>
    </row>
    <row r="50" spans="1:17" hidden="1" x14ac:dyDescent="0.3">
      <c r="A50" s="1" t="s">
        <v>59</v>
      </c>
      <c r="B50" s="9" t="s">
        <v>39</v>
      </c>
      <c r="C50" s="5" t="s">
        <v>60</v>
      </c>
      <c r="D50" s="9" t="s">
        <v>15</v>
      </c>
      <c r="E50" s="9" t="s">
        <v>61</v>
      </c>
      <c r="F50" s="2">
        <v>1946</v>
      </c>
      <c r="G50" s="2">
        <v>686</v>
      </c>
      <c r="H50" s="2">
        <v>377</v>
      </c>
      <c r="I50" s="2">
        <v>23352</v>
      </c>
      <c r="J50" s="2">
        <v>22982</v>
      </c>
      <c r="K50" s="6">
        <v>213</v>
      </c>
      <c r="L50" s="2">
        <f>Table14[[#This Row],[Likes]]+Table14[[#This Row],[Shares]]+Table14[[#This Row],[Comments]]+Table14[[#This Row],[Clicks]]</f>
        <v>3222</v>
      </c>
      <c r="M50" s="11">
        <f>(Table14[[#This Row],[Likes]]+Table14[[#This Row],[Shares]]+Table14[[#This Row],[Comments]])/Table14[[#This Row],[Impressions]]</f>
        <v>0.12885405960945528</v>
      </c>
      <c r="N50" s="9" t="s">
        <v>58</v>
      </c>
      <c r="O50" s="1"/>
      <c r="P50" s="1"/>
      <c r="Q50" s="1" t="s">
        <v>28</v>
      </c>
    </row>
    <row r="51" spans="1:17" hidden="1" x14ac:dyDescent="0.3">
      <c r="A51" s="1" t="s">
        <v>289</v>
      </c>
      <c r="B51" s="9" t="s">
        <v>13</v>
      </c>
      <c r="C51" s="5" t="s">
        <v>60</v>
      </c>
      <c r="D51" s="9" t="s">
        <v>20</v>
      </c>
      <c r="E51" s="9" t="s">
        <v>21</v>
      </c>
      <c r="F51" s="2">
        <v>2147</v>
      </c>
      <c r="G51" s="2">
        <v>430</v>
      </c>
      <c r="H51" s="2">
        <v>393</v>
      </c>
      <c r="I51" s="2">
        <v>17176</v>
      </c>
      <c r="J51" s="2">
        <v>16483</v>
      </c>
      <c r="K51" s="6">
        <v>170</v>
      </c>
      <c r="L51" s="2">
        <f>Table14[[#This Row],[Likes]]+Table14[[#This Row],[Shares]]+Table14[[#This Row],[Comments]]+Table14[[#This Row],[Clicks]]</f>
        <v>3140</v>
      </c>
      <c r="M51" s="11">
        <f>(Table14[[#This Row],[Likes]]+Table14[[#This Row],[Shares]]+Table14[[#This Row],[Comments]])/Table14[[#This Row],[Impressions]]</f>
        <v>0.17291569632044715</v>
      </c>
      <c r="N51" s="9" t="s">
        <v>27</v>
      </c>
      <c r="O51" s="1"/>
      <c r="P51" s="1"/>
    </row>
    <row r="52" spans="1:17" hidden="1" x14ac:dyDescent="0.3">
      <c r="A52" s="1" t="s">
        <v>332</v>
      </c>
      <c r="B52" s="9" t="s">
        <v>24</v>
      </c>
      <c r="C52" s="5" t="s">
        <v>333</v>
      </c>
      <c r="D52" s="9" t="s">
        <v>32</v>
      </c>
      <c r="E52" s="9" t="s">
        <v>149</v>
      </c>
      <c r="F52" s="2">
        <v>4775</v>
      </c>
      <c r="G52" s="2">
        <v>173</v>
      </c>
      <c r="H52" s="2">
        <v>206</v>
      </c>
      <c r="I52" s="2">
        <v>47750</v>
      </c>
      <c r="J52" s="2">
        <v>47544</v>
      </c>
      <c r="K52" s="6">
        <v>187</v>
      </c>
      <c r="L52" s="2">
        <f>Table14[[#This Row],[Likes]]+Table14[[#This Row],[Shares]]+Table14[[#This Row],[Comments]]+Table14[[#This Row],[Clicks]]</f>
        <v>5341</v>
      </c>
      <c r="M52" s="11">
        <f>(Table14[[#This Row],[Likes]]+Table14[[#This Row],[Shares]]+Table14[[#This Row],[Comments]])/Table14[[#This Row],[Impressions]]</f>
        <v>0.10793717277486911</v>
      </c>
      <c r="N52" s="9" t="s">
        <v>58</v>
      </c>
      <c r="O52" s="1"/>
      <c r="P52" s="1"/>
      <c r="Q52" s="1" t="s">
        <v>22</v>
      </c>
    </row>
    <row r="53" spans="1:17" hidden="1" x14ac:dyDescent="0.3">
      <c r="A53" s="1" t="s">
        <v>206</v>
      </c>
      <c r="B53" s="9" t="s">
        <v>30</v>
      </c>
      <c r="C53" s="5" t="s">
        <v>207</v>
      </c>
      <c r="D53" s="9" t="s">
        <v>48</v>
      </c>
      <c r="E53" s="9" t="s">
        <v>208</v>
      </c>
      <c r="F53" s="2">
        <v>725</v>
      </c>
      <c r="G53" s="2">
        <v>88</v>
      </c>
      <c r="H53" s="2">
        <v>428</v>
      </c>
      <c r="I53" s="2">
        <v>14500</v>
      </c>
      <c r="J53" s="2">
        <v>13637</v>
      </c>
      <c r="K53" s="6">
        <v>200</v>
      </c>
      <c r="L53" s="2">
        <f>Table14[[#This Row],[Likes]]+Table14[[#This Row],[Shares]]+Table14[[#This Row],[Comments]]+Table14[[#This Row],[Clicks]]</f>
        <v>1441</v>
      </c>
      <c r="M53" s="11">
        <f>(Table14[[#This Row],[Likes]]+Table14[[#This Row],[Shares]]+Table14[[#This Row],[Comments]])/Table14[[#This Row],[Impressions]]</f>
        <v>8.558620689655172E-2</v>
      </c>
      <c r="N53" s="9" t="s">
        <v>58</v>
      </c>
      <c r="O53" s="1" t="s">
        <v>27</v>
      </c>
      <c r="P53" s="1" t="s">
        <v>551</v>
      </c>
      <c r="Q53" s="1" t="s">
        <v>28</v>
      </c>
    </row>
    <row r="54" spans="1:17" hidden="1" x14ac:dyDescent="0.3">
      <c r="A54" s="1" t="s">
        <v>322</v>
      </c>
      <c r="B54" s="9" t="s">
        <v>30</v>
      </c>
      <c r="C54" s="5" t="s">
        <v>179</v>
      </c>
      <c r="D54" s="9" t="s">
        <v>48</v>
      </c>
      <c r="E54" s="9" t="s">
        <v>208</v>
      </c>
      <c r="F54" s="2">
        <v>3559</v>
      </c>
      <c r="G54" s="2">
        <v>59</v>
      </c>
      <c r="H54" s="2">
        <v>289</v>
      </c>
      <c r="I54" s="2">
        <v>35590</v>
      </c>
      <c r="J54" s="2">
        <v>35105</v>
      </c>
      <c r="K54" s="6">
        <v>122</v>
      </c>
      <c r="L54" s="2">
        <f>Table14[[#This Row],[Likes]]+Table14[[#This Row],[Shares]]+Table14[[#This Row],[Comments]]+Table14[[#This Row],[Clicks]]</f>
        <v>4029</v>
      </c>
      <c r="M54" s="11">
        <f>(Table14[[#This Row],[Likes]]+Table14[[#This Row],[Shares]]+Table14[[#This Row],[Comments]])/Table14[[#This Row],[Impressions]]</f>
        <v>0.10977802753582468</v>
      </c>
      <c r="N54" s="9" t="s">
        <v>34</v>
      </c>
      <c r="O54" s="1"/>
      <c r="P54" s="1"/>
      <c r="Q54" s="1" t="s">
        <v>17</v>
      </c>
    </row>
    <row r="55" spans="1:17" hidden="1" x14ac:dyDescent="0.3">
      <c r="A55" s="1" t="s">
        <v>178</v>
      </c>
      <c r="B55" s="9" t="s">
        <v>13</v>
      </c>
      <c r="C55" s="5" t="s">
        <v>179</v>
      </c>
      <c r="D55" s="9" t="s">
        <v>41</v>
      </c>
      <c r="E55" s="9" t="s">
        <v>45</v>
      </c>
      <c r="F55" s="2">
        <v>432</v>
      </c>
      <c r="G55" s="2">
        <v>171</v>
      </c>
      <c r="H55" s="2">
        <v>280</v>
      </c>
      <c r="I55" s="2">
        <v>3024</v>
      </c>
      <c r="J55" s="2">
        <v>2285</v>
      </c>
      <c r="K55" s="6">
        <v>184</v>
      </c>
      <c r="L55" s="2">
        <f>Table14[[#This Row],[Likes]]+Table14[[#This Row],[Shares]]+Table14[[#This Row],[Comments]]+Table14[[#This Row],[Clicks]]</f>
        <v>1067</v>
      </c>
      <c r="M55" s="11">
        <f>(Table14[[#This Row],[Likes]]+Table14[[#This Row],[Shares]]+Table14[[#This Row],[Comments]])/Table14[[#This Row],[Impressions]]</f>
        <v>0.29199735449735448</v>
      </c>
      <c r="N55" s="9" t="s">
        <v>34</v>
      </c>
      <c r="O55" s="1"/>
      <c r="P55" s="1"/>
      <c r="Q55" s="1" t="s">
        <v>17</v>
      </c>
    </row>
    <row r="56" spans="1:17" hidden="1" x14ac:dyDescent="0.3">
      <c r="A56" s="1" t="s">
        <v>376</v>
      </c>
      <c r="B56" s="9" t="s">
        <v>13</v>
      </c>
      <c r="C56" s="5" t="s">
        <v>377</v>
      </c>
      <c r="D56" s="9" t="s">
        <v>48</v>
      </c>
      <c r="E56" s="9" t="s">
        <v>127</v>
      </c>
      <c r="F56" s="2">
        <v>3215</v>
      </c>
      <c r="G56" s="2">
        <v>960</v>
      </c>
      <c r="H56" s="2">
        <v>202</v>
      </c>
      <c r="I56" s="2">
        <v>32150</v>
      </c>
      <c r="J56" s="2">
        <v>31404</v>
      </c>
      <c r="K56" s="6">
        <v>251</v>
      </c>
      <c r="L56" s="2">
        <f>Table14[[#This Row],[Likes]]+Table14[[#This Row],[Shares]]+Table14[[#This Row],[Comments]]+Table14[[#This Row],[Clicks]]</f>
        <v>4628</v>
      </c>
      <c r="M56" s="11">
        <f>(Table14[[#This Row],[Likes]]+Table14[[#This Row],[Shares]]+Table14[[#This Row],[Comments]])/Table14[[#This Row],[Impressions]]</f>
        <v>0.13614307931570763</v>
      </c>
      <c r="N56" s="9" t="s">
        <v>34</v>
      </c>
      <c r="O56" s="1"/>
      <c r="P56" s="1"/>
      <c r="Q56" s="1" t="s">
        <v>17</v>
      </c>
    </row>
    <row r="57" spans="1:17" hidden="1" x14ac:dyDescent="0.3">
      <c r="A57" s="1" t="s">
        <v>426</v>
      </c>
      <c r="B57" s="9" t="s">
        <v>24</v>
      </c>
      <c r="C57" s="5" t="s">
        <v>260</v>
      </c>
      <c r="D57" s="9" t="s">
        <v>32</v>
      </c>
      <c r="E57" s="9" t="s">
        <v>149</v>
      </c>
      <c r="F57" s="2">
        <v>1509</v>
      </c>
      <c r="G57" s="2">
        <v>88</v>
      </c>
      <c r="H57" s="2">
        <v>163</v>
      </c>
      <c r="I57" s="2">
        <v>30180</v>
      </c>
      <c r="J57" s="2">
        <v>29689</v>
      </c>
      <c r="K57" s="6">
        <v>119</v>
      </c>
      <c r="L57" s="2">
        <f>Table14[[#This Row],[Likes]]+Table14[[#This Row],[Shares]]+Table14[[#This Row],[Comments]]+Table14[[#This Row],[Clicks]]</f>
        <v>1879</v>
      </c>
      <c r="M57" s="11">
        <f>(Table14[[#This Row],[Likes]]+Table14[[#This Row],[Shares]]+Table14[[#This Row],[Comments]])/Table14[[#This Row],[Impressions]]</f>
        <v>5.8316766070245198E-2</v>
      </c>
      <c r="N57" s="9" t="s">
        <v>34</v>
      </c>
      <c r="O57" s="1"/>
      <c r="P57" s="1"/>
      <c r="Q57" s="1" t="s">
        <v>22</v>
      </c>
    </row>
    <row r="58" spans="1:17" hidden="1" x14ac:dyDescent="0.3">
      <c r="A58" s="1" t="s">
        <v>259</v>
      </c>
      <c r="B58" s="9" t="s">
        <v>30</v>
      </c>
      <c r="C58" s="5" t="s">
        <v>260</v>
      </c>
      <c r="D58" s="9" t="s">
        <v>15</v>
      </c>
      <c r="E58" s="9" t="s">
        <v>78</v>
      </c>
      <c r="F58" s="2">
        <v>3523</v>
      </c>
      <c r="G58" s="2">
        <v>753</v>
      </c>
      <c r="H58" s="2">
        <v>482</v>
      </c>
      <c r="I58" s="2">
        <v>38753</v>
      </c>
      <c r="J58" s="2">
        <v>38579</v>
      </c>
      <c r="K58" s="6">
        <v>270</v>
      </c>
      <c r="L58" s="2">
        <f>Table14[[#This Row],[Likes]]+Table14[[#This Row],[Shares]]+Table14[[#This Row],[Comments]]+Table14[[#This Row],[Clicks]]</f>
        <v>5028</v>
      </c>
      <c r="M58" s="11">
        <f>(Table14[[#This Row],[Likes]]+Table14[[#This Row],[Shares]]+Table14[[#This Row],[Comments]])/Table14[[#This Row],[Impressions]]</f>
        <v>0.12277759141227776</v>
      </c>
      <c r="N58" s="9" t="s">
        <v>34</v>
      </c>
      <c r="O58" s="1"/>
      <c r="P58" s="1"/>
      <c r="Q58" s="1" t="s">
        <v>22</v>
      </c>
    </row>
    <row r="59" spans="1:17" hidden="1" x14ac:dyDescent="0.3">
      <c r="A59" s="1" t="s">
        <v>279</v>
      </c>
      <c r="B59" s="9" t="s">
        <v>30</v>
      </c>
      <c r="C59" s="5" t="s">
        <v>260</v>
      </c>
      <c r="D59" s="9" t="s">
        <v>32</v>
      </c>
      <c r="E59" s="9" t="s">
        <v>33</v>
      </c>
      <c r="F59" s="2">
        <v>498</v>
      </c>
      <c r="G59" s="2">
        <v>701</v>
      </c>
      <c r="H59" s="2">
        <v>412</v>
      </c>
      <c r="I59" s="2">
        <v>4980</v>
      </c>
      <c r="J59" s="2">
        <v>4185</v>
      </c>
      <c r="K59" s="6">
        <v>185</v>
      </c>
      <c r="L59" s="2">
        <f>Table14[[#This Row],[Likes]]+Table14[[#This Row],[Shares]]+Table14[[#This Row],[Comments]]+Table14[[#This Row],[Clicks]]</f>
        <v>1796</v>
      </c>
      <c r="M59" s="11">
        <f>(Table14[[#This Row],[Likes]]+Table14[[#This Row],[Shares]]+Table14[[#This Row],[Comments]])/Table14[[#This Row],[Impressions]]</f>
        <v>0.32349397590361445</v>
      </c>
      <c r="N59" s="9" t="s">
        <v>58</v>
      </c>
      <c r="O59" s="1"/>
      <c r="P59" s="1"/>
    </row>
    <row r="60" spans="1:17" hidden="1" x14ac:dyDescent="0.3">
      <c r="A60" s="1" t="s">
        <v>173</v>
      </c>
      <c r="B60" s="9" t="s">
        <v>13</v>
      </c>
      <c r="C60" s="5" t="s">
        <v>110</v>
      </c>
      <c r="D60" s="9" t="s">
        <v>41</v>
      </c>
      <c r="E60" s="9" t="s">
        <v>45</v>
      </c>
      <c r="F60" s="2">
        <v>4507</v>
      </c>
      <c r="G60" s="2">
        <v>217</v>
      </c>
      <c r="H60" s="2">
        <v>13</v>
      </c>
      <c r="I60" s="2">
        <v>90140</v>
      </c>
      <c r="J60" s="2">
        <v>89591</v>
      </c>
      <c r="K60" s="6">
        <v>125</v>
      </c>
      <c r="L60" s="2">
        <f>Table14[[#This Row],[Likes]]+Table14[[#This Row],[Shares]]+Table14[[#This Row],[Comments]]+Table14[[#This Row],[Clicks]]</f>
        <v>4862</v>
      </c>
      <c r="M60" s="11">
        <f>(Table14[[#This Row],[Likes]]+Table14[[#This Row],[Shares]]+Table14[[#This Row],[Comments]])/Table14[[#This Row],[Impressions]]</f>
        <v>5.2551586421122697E-2</v>
      </c>
      <c r="N60" s="9" t="s">
        <v>58</v>
      </c>
      <c r="O60" s="1"/>
      <c r="P60" s="1"/>
      <c r="Q60" s="1" t="s">
        <v>28</v>
      </c>
    </row>
    <row r="61" spans="1:17" hidden="1" x14ac:dyDescent="0.3">
      <c r="A61" s="1" t="s">
        <v>373</v>
      </c>
      <c r="B61" s="9" t="s">
        <v>39</v>
      </c>
      <c r="C61" s="5" t="s">
        <v>110</v>
      </c>
      <c r="D61" s="9" t="s">
        <v>48</v>
      </c>
      <c r="E61" s="9" t="s">
        <v>55</v>
      </c>
      <c r="F61" s="2">
        <v>4689</v>
      </c>
      <c r="G61" s="2">
        <v>134</v>
      </c>
      <c r="H61" s="2">
        <v>403</v>
      </c>
      <c r="I61" s="2">
        <v>51579</v>
      </c>
      <c r="J61" s="2">
        <v>50924</v>
      </c>
      <c r="K61" s="6">
        <v>173</v>
      </c>
      <c r="L61" s="2">
        <f>Table14[[#This Row],[Likes]]+Table14[[#This Row],[Shares]]+Table14[[#This Row],[Comments]]+Table14[[#This Row],[Clicks]]</f>
        <v>5399</v>
      </c>
      <c r="M61" s="11">
        <f>(Table14[[#This Row],[Likes]]+Table14[[#This Row],[Shares]]+Table14[[#This Row],[Comments]])/Table14[[#This Row],[Impressions]]</f>
        <v>0.10132030477519921</v>
      </c>
      <c r="N61" s="9" t="s">
        <v>27</v>
      </c>
      <c r="O61" s="1"/>
      <c r="P61" s="1"/>
      <c r="Q61" s="1" t="s">
        <v>35</v>
      </c>
    </row>
    <row r="62" spans="1:17" hidden="1" x14ac:dyDescent="0.3">
      <c r="A62" s="1" t="s">
        <v>109</v>
      </c>
      <c r="B62" s="9" t="s">
        <v>13</v>
      </c>
      <c r="C62" s="5" t="s">
        <v>110</v>
      </c>
      <c r="D62" s="9" t="s">
        <v>41</v>
      </c>
      <c r="E62" s="9" t="s">
        <v>45</v>
      </c>
      <c r="F62" s="2">
        <v>2278</v>
      </c>
      <c r="G62" s="2">
        <v>10</v>
      </c>
      <c r="H62" s="2">
        <v>321</v>
      </c>
      <c r="I62" s="2">
        <v>13668</v>
      </c>
      <c r="J62" s="2">
        <v>12676</v>
      </c>
      <c r="K62" s="6">
        <v>275</v>
      </c>
      <c r="L62" s="2">
        <f>Table14[[#This Row],[Likes]]+Table14[[#This Row],[Shares]]+Table14[[#This Row],[Comments]]+Table14[[#This Row],[Clicks]]</f>
        <v>2884</v>
      </c>
      <c r="M62" s="11">
        <f>(Table14[[#This Row],[Likes]]+Table14[[#This Row],[Shares]]+Table14[[#This Row],[Comments]])/Table14[[#This Row],[Impressions]]</f>
        <v>0.19088381621305239</v>
      </c>
      <c r="N62" s="9" t="s">
        <v>34</v>
      </c>
      <c r="O62" s="1"/>
      <c r="P62" s="1"/>
      <c r="Q62" s="1" t="s">
        <v>17</v>
      </c>
    </row>
    <row r="63" spans="1:17" hidden="1" x14ac:dyDescent="0.3">
      <c r="A63" s="1" t="s">
        <v>302</v>
      </c>
      <c r="B63" s="9" t="s">
        <v>39</v>
      </c>
      <c r="C63" s="5" t="s">
        <v>110</v>
      </c>
      <c r="D63" s="9" t="s">
        <v>70</v>
      </c>
      <c r="E63" s="9" t="s">
        <v>71</v>
      </c>
      <c r="F63" s="2">
        <v>3008</v>
      </c>
      <c r="G63" s="2">
        <v>94</v>
      </c>
      <c r="H63" s="2">
        <v>37</v>
      </c>
      <c r="I63" s="2">
        <v>15040</v>
      </c>
      <c r="J63" s="2">
        <v>14639</v>
      </c>
      <c r="K63" s="6">
        <v>277</v>
      </c>
      <c r="L63" s="2">
        <f>Table14[[#This Row],[Likes]]+Table14[[#This Row],[Shares]]+Table14[[#This Row],[Comments]]+Table14[[#This Row],[Clicks]]</f>
        <v>3416</v>
      </c>
      <c r="M63" s="11">
        <f>(Table14[[#This Row],[Likes]]+Table14[[#This Row],[Shares]]+Table14[[#This Row],[Comments]])/Table14[[#This Row],[Impressions]]</f>
        <v>0.20871010638297871</v>
      </c>
      <c r="N63" s="9" t="s">
        <v>58</v>
      </c>
      <c r="O63" s="1"/>
      <c r="P63" s="1"/>
    </row>
    <row r="64" spans="1:17" hidden="1" x14ac:dyDescent="0.3">
      <c r="A64" s="1" t="s">
        <v>195</v>
      </c>
      <c r="B64" s="9" t="s">
        <v>30</v>
      </c>
      <c r="C64" s="5" t="s">
        <v>196</v>
      </c>
      <c r="D64" s="9" t="s">
        <v>15</v>
      </c>
      <c r="E64" s="9" t="s">
        <v>78</v>
      </c>
      <c r="F64" s="2">
        <v>1674</v>
      </c>
      <c r="G64" s="2">
        <v>929</v>
      </c>
      <c r="H64" s="2">
        <v>37</v>
      </c>
      <c r="I64" s="2">
        <v>21762</v>
      </c>
      <c r="J64" s="2">
        <v>20998</v>
      </c>
      <c r="K64" s="6">
        <v>255</v>
      </c>
      <c r="L64" s="2">
        <f>Table14[[#This Row],[Likes]]+Table14[[#This Row],[Shares]]+Table14[[#This Row],[Comments]]+Table14[[#This Row],[Clicks]]</f>
        <v>2895</v>
      </c>
      <c r="M64" s="11">
        <f>(Table14[[#This Row],[Likes]]+Table14[[#This Row],[Shares]]+Table14[[#This Row],[Comments]])/Table14[[#This Row],[Impressions]]</f>
        <v>0.12131237937689551</v>
      </c>
      <c r="N64" s="9" t="s">
        <v>27</v>
      </c>
      <c r="O64" s="1"/>
      <c r="P64" s="1"/>
      <c r="Q64" s="1" t="s">
        <v>35</v>
      </c>
    </row>
    <row r="65" spans="1:17" hidden="1" x14ac:dyDescent="0.3">
      <c r="A65" s="1" t="s">
        <v>478</v>
      </c>
      <c r="B65" s="9" t="s">
        <v>13</v>
      </c>
      <c r="C65" s="5" t="s">
        <v>479</v>
      </c>
      <c r="D65" s="9" t="s">
        <v>15</v>
      </c>
      <c r="E65" s="9" t="s">
        <v>16</v>
      </c>
      <c r="F65" s="2">
        <v>3791</v>
      </c>
      <c r="G65" s="2">
        <v>593</v>
      </c>
      <c r="H65" s="2">
        <v>228</v>
      </c>
      <c r="I65" s="2">
        <v>53074</v>
      </c>
      <c r="J65" s="2">
        <v>52613</v>
      </c>
      <c r="K65" s="6">
        <v>205</v>
      </c>
      <c r="L65" s="2">
        <f>Table14[[#This Row],[Likes]]+Table14[[#This Row],[Shares]]+Table14[[#This Row],[Comments]]+Table14[[#This Row],[Clicks]]</f>
        <v>4817</v>
      </c>
      <c r="M65" s="11">
        <f>(Table14[[#This Row],[Likes]]+Table14[[#This Row],[Shares]]+Table14[[#This Row],[Comments]])/Table14[[#This Row],[Impressions]]</f>
        <v>8.6897539284772202E-2</v>
      </c>
      <c r="N65" s="9" t="s">
        <v>34</v>
      </c>
      <c r="O65" s="1"/>
      <c r="P65" s="1"/>
    </row>
    <row r="66" spans="1:17" hidden="1" x14ac:dyDescent="0.3">
      <c r="A66" s="1" t="s">
        <v>512</v>
      </c>
      <c r="B66" s="9" t="s">
        <v>39</v>
      </c>
      <c r="C66" s="5" t="s">
        <v>486</v>
      </c>
      <c r="D66" s="9" t="s">
        <v>15</v>
      </c>
      <c r="E66" s="9" t="s">
        <v>61</v>
      </c>
      <c r="F66" s="2">
        <v>1741</v>
      </c>
      <c r="G66" s="2">
        <v>831</v>
      </c>
      <c r="H66" s="2">
        <v>345</v>
      </c>
      <c r="I66" s="2">
        <v>17410</v>
      </c>
      <c r="J66" s="2">
        <v>16844</v>
      </c>
      <c r="K66" s="6">
        <v>58</v>
      </c>
      <c r="L66" s="2">
        <f>Table14[[#This Row],[Likes]]+Table14[[#This Row],[Shares]]+Table14[[#This Row],[Comments]]+Table14[[#This Row],[Clicks]]</f>
        <v>2975</v>
      </c>
      <c r="M66" s="11">
        <f>(Table14[[#This Row],[Likes]]+Table14[[#This Row],[Shares]]+Table14[[#This Row],[Comments]])/Table14[[#This Row],[Impressions]]</f>
        <v>0.16754738655944859</v>
      </c>
      <c r="N66" s="9" t="s">
        <v>34</v>
      </c>
      <c r="O66" s="1"/>
      <c r="P66" s="1"/>
      <c r="Q66" s="1" t="s">
        <v>28</v>
      </c>
    </row>
    <row r="67" spans="1:17" hidden="1" x14ac:dyDescent="0.3">
      <c r="A67" s="1" t="s">
        <v>485</v>
      </c>
      <c r="B67" s="9" t="s">
        <v>30</v>
      </c>
      <c r="C67" s="5" t="s">
        <v>486</v>
      </c>
      <c r="D67" s="9" t="s">
        <v>32</v>
      </c>
      <c r="E67" s="9" t="s">
        <v>33</v>
      </c>
      <c r="F67" s="2">
        <v>3601</v>
      </c>
      <c r="G67" s="2">
        <v>695</v>
      </c>
      <c r="H67" s="2">
        <v>75</v>
      </c>
      <c r="I67" s="2">
        <v>21606</v>
      </c>
      <c r="J67" s="2">
        <v>21454</v>
      </c>
      <c r="K67" s="6">
        <v>172</v>
      </c>
      <c r="L67" s="2">
        <f>Table14[[#This Row],[Likes]]+Table14[[#This Row],[Shares]]+Table14[[#This Row],[Comments]]+Table14[[#This Row],[Clicks]]</f>
        <v>4543</v>
      </c>
      <c r="M67" s="11">
        <f>(Table14[[#This Row],[Likes]]+Table14[[#This Row],[Shares]]+Table14[[#This Row],[Comments]])/Table14[[#This Row],[Impressions]]</f>
        <v>0.2023049153013052</v>
      </c>
      <c r="N67" s="9" t="s">
        <v>34</v>
      </c>
      <c r="O67" s="1"/>
      <c r="P67" s="1"/>
      <c r="Q67" s="1" t="s">
        <v>22</v>
      </c>
    </row>
    <row r="68" spans="1:17" hidden="1" x14ac:dyDescent="0.3">
      <c r="A68" s="1" t="s">
        <v>438</v>
      </c>
      <c r="B68" s="9" t="s">
        <v>30</v>
      </c>
      <c r="C68" s="5" t="s">
        <v>439</v>
      </c>
      <c r="D68" s="9" t="s">
        <v>41</v>
      </c>
      <c r="E68" s="9" t="s">
        <v>84</v>
      </c>
      <c r="F68" s="2">
        <v>1741</v>
      </c>
      <c r="G68" s="2">
        <v>164</v>
      </c>
      <c r="H68" s="2">
        <v>318</v>
      </c>
      <c r="I68" s="2">
        <v>8705</v>
      </c>
      <c r="J68" s="2">
        <v>8272</v>
      </c>
      <c r="K68" s="6">
        <v>121</v>
      </c>
      <c r="L68" s="2">
        <f>Table14[[#This Row],[Likes]]+Table14[[#This Row],[Shares]]+Table14[[#This Row],[Comments]]+Table14[[#This Row],[Clicks]]</f>
        <v>2344</v>
      </c>
      <c r="M68" s="11">
        <f>(Table14[[#This Row],[Likes]]+Table14[[#This Row],[Shares]]+Table14[[#This Row],[Comments]])/Table14[[#This Row],[Impressions]]</f>
        <v>0.25537047673750718</v>
      </c>
      <c r="N68" s="9" t="s">
        <v>27</v>
      </c>
      <c r="O68" s="1"/>
      <c r="P68" s="1"/>
    </row>
    <row r="69" spans="1:17" hidden="1" x14ac:dyDescent="0.3">
      <c r="A69" s="1" t="s">
        <v>257</v>
      </c>
      <c r="B69" s="9" t="s">
        <v>13</v>
      </c>
      <c r="C69" s="5" t="s">
        <v>258</v>
      </c>
      <c r="D69" s="9" t="s">
        <v>32</v>
      </c>
      <c r="E69" s="9" t="s">
        <v>144</v>
      </c>
      <c r="F69" s="2">
        <v>3649</v>
      </c>
      <c r="G69" s="2">
        <v>215</v>
      </c>
      <c r="H69" s="2">
        <v>413</v>
      </c>
      <c r="I69" s="2">
        <v>25543</v>
      </c>
      <c r="J69" s="2">
        <v>24963</v>
      </c>
      <c r="K69" s="6">
        <v>167</v>
      </c>
      <c r="L69" s="2">
        <f>Table14[[#This Row],[Likes]]+Table14[[#This Row],[Shares]]+Table14[[#This Row],[Comments]]+Table14[[#This Row],[Clicks]]</f>
        <v>4444</v>
      </c>
      <c r="M69" s="11">
        <f>(Table14[[#This Row],[Likes]]+Table14[[#This Row],[Shares]]+Table14[[#This Row],[Comments]])/Table14[[#This Row],[Impressions]]</f>
        <v>0.16744313510550835</v>
      </c>
      <c r="N69" s="9" t="s">
        <v>58</v>
      </c>
      <c r="O69" s="1"/>
      <c r="P69" s="1"/>
      <c r="Q69" s="1" t="s">
        <v>28</v>
      </c>
    </row>
    <row r="70" spans="1:17" hidden="1" x14ac:dyDescent="0.3">
      <c r="A70" s="1" t="s">
        <v>334</v>
      </c>
      <c r="B70" s="9" t="s">
        <v>30</v>
      </c>
      <c r="C70" s="5" t="s">
        <v>335</v>
      </c>
      <c r="D70" s="9" t="s">
        <v>32</v>
      </c>
      <c r="E70" s="9" t="s">
        <v>33</v>
      </c>
      <c r="F70" s="2">
        <v>1762</v>
      </c>
      <c r="G70" s="2">
        <v>405</v>
      </c>
      <c r="H70" s="2">
        <v>423</v>
      </c>
      <c r="I70" s="2">
        <v>22906</v>
      </c>
      <c r="J70" s="2">
        <v>21925</v>
      </c>
      <c r="K70" s="6">
        <v>25</v>
      </c>
      <c r="L70" s="2">
        <f>Table14[[#This Row],[Likes]]+Table14[[#This Row],[Shares]]+Table14[[#This Row],[Comments]]+Table14[[#This Row],[Clicks]]</f>
        <v>2615</v>
      </c>
      <c r="M70" s="11">
        <f>(Table14[[#This Row],[Likes]]+Table14[[#This Row],[Shares]]+Table14[[#This Row],[Comments]])/Table14[[#This Row],[Impressions]]</f>
        <v>0.11307081114118571</v>
      </c>
      <c r="N70" s="9" t="s">
        <v>27</v>
      </c>
      <c r="O70" s="1"/>
      <c r="P70" s="1"/>
      <c r="Q70" s="1" t="s">
        <v>17</v>
      </c>
    </row>
    <row r="71" spans="1:17" hidden="1" x14ac:dyDescent="0.3">
      <c r="A71" s="1" t="s">
        <v>313</v>
      </c>
      <c r="B71" s="9" t="s">
        <v>30</v>
      </c>
      <c r="C71" s="5" t="s">
        <v>31</v>
      </c>
      <c r="D71" s="9" t="s">
        <v>41</v>
      </c>
      <c r="E71" s="9" t="s">
        <v>84</v>
      </c>
      <c r="F71" s="2">
        <v>1878</v>
      </c>
      <c r="G71" s="2">
        <v>62</v>
      </c>
      <c r="H71" s="2">
        <v>179</v>
      </c>
      <c r="I71" s="2">
        <v>37560</v>
      </c>
      <c r="J71" s="2">
        <v>36874</v>
      </c>
      <c r="K71" s="6">
        <v>142</v>
      </c>
      <c r="L71" s="2">
        <f>Table14[[#This Row],[Likes]]+Table14[[#This Row],[Shares]]+Table14[[#This Row],[Comments]]+Table14[[#This Row],[Clicks]]</f>
        <v>2261</v>
      </c>
      <c r="M71" s="11">
        <f>(Table14[[#This Row],[Likes]]+Table14[[#This Row],[Shares]]+Table14[[#This Row],[Comments]])/Table14[[#This Row],[Impressions]]</f>
        <v>5.6416400425985093E-2</v>
      </c>
      <c r="N71" s="9" t="s">
        <v>27</v>
      </c>
      <c r="O71" s="1"/>
      <c r="P71" s="1"/>
      <c r="Q71" s="1" t="s">
        <v>35</v>
      </c>
    </row>
    <row r="72" spans="1:17" hidden="1" x14ac:dyDescent="0.3">
      <c r="A72" s="1" t="s">
        <v>29</v>
      </c>
      <c r="B72" s="9" t="s">
        <v>30</v>
      </c>
      <c r="C72" s="5" t="s">
        <v>31</v>
      </c>
      <c r="D72" s="9" t="s">
        <v>32</v>
      </c>
      <c r="E72" s="9" t="s">
        <v>33</v>
      </c>
      <c r="F72" s="2">
        <v>2404</v>
      </c>
      <c r="G72" s="2">
        <v>363</v>
      </c>
      <c r="H72" s="2">
        <v>138</v>
      </c>
      <c r="I72" s="2">
        <v>19232</v>
      </c>
      <c r="J72" s="2">
        <v>18636</v>
      </c>
      <c r="K72" s="6">
        <v>128</v>
      </c>
      <c r="L72" s="2">
        <f>Table14[[#This Row],[Likes]]+Table14[[#This Row],[Shares]]+Table14[[#This Row],[Comments]]+Table14[[#This Row],[Clicks]]</f>
        <v>3033</v>
      </c>
      <c r="M72" s="11">
        <f>(Table14[[#This Row],[Likes]]+Table14[[#This Row],[Shares]]+Table14[[#This Row],[Comments]])/Table14[[#This Row],[Impressions]]</f>
        <v>0.15105033277870217</v>
      </c>
      <c r="N72" s="9" t="s">
        <v>34</v>
      </c>
      <c r="O72" s="1"/>
      <c r="P72" s="1"/>
      <c r="Q72" s="1" t="s">
        <v>35</v>
      </c>
    </row>
    <row r="73" spans="1:17" hidden="1" x14ac:dyDescent="0.3">
      <c r="A73" s="1" t="s">
        <v>235</v>
      </c>
      <c r="B73" s="9" t="s">
        <v>30</v>
      </c>
      <c r="C73" s="5" t="s">
        <v>236</v>
      </c>
      <c r="D73" s="9" t="s">
        <v>48</v>
      </c>
      <c r="E73" s="9" t="s">
        <v>208</v>
      </c>
      <c r="F73" s="2">
        <v>4739</v>
      </c>
      <c r="G73" s="2">
        <v>527</v>
      </c>
      <c r="H73" s="2">
        <v>135</v>
      </c>
      <c r="I73" s="2">
        <v>61607</v>
      </c>
      <c r="J73" s="2">
        <v>61333</v>
      </c>
      <c r="K73" s="6">
        <v>36</v>
      </c>
      <c r="L73" s="2">
        <f>Table14[[#This Row],[Likes]]+Table14[[#This Row],[Shares]]+Table14[[#This Row],[Comments]]+Table14[[#This Row],[Clicks]]</f>
        <v>5437</v>
      </c>
      <c r="M73" s="11">
        <f>(Table14[[#This Row],[Likes]]+Table14[[#This Row],[Shares]]+Table14[[#This Row],[Comments]])/Table14[[#This Row],[Impressions]]</f>
        <v>8.7668609086629767E-2</v>
      </c>
      <c r="N73" s="9" t="s">
        <v>27</v>
      </c>
      <c r="O73" s="1" t="s">
        <v>551</v>
      </c>
      <c r="P73" s="1"/>
      <c r="Q73" s="1" t="s">
        <v>22</v>
      </c>
    </row>
    <row r="74" spans="1:17" hidden="1" x14ac:dyDescent="0.3">
      <c r="A74" s="1" t="s">
        <v>357</v>
      </c>
      <c r="B74" s="9" t="s">
        <v>39</v>
      </c>
      <c r="C74" s="5" t="s">
        <v>358</v>
      </c>
      <c r="D74" s="9" t="s">
        <v>41</v>
      </c>
      <c r="E74" s="9" t="s">
        <v>42</v>
      </c>
      <c r="F74" s="2">
        <v>3073</v>
      </c>
      <c r="G74" s="2">
        <v>553</v>
      </c>
      <c r="H74" s="2">
        <v>174</v>
      </c>
      <c r="I74" s="2">
        <v>52241</v>
      </c>
      <c r="J74" s="2">
        <v>51605</v>
      </c>
      <c r="K74" s="6">
        <v>246</v>
      </c>
      <c r="L74" s="2">
        <f>Table14[[#This Row],[Likes]]+Table14[[#This Row],[Shares]]+Table14[[#This Row],[Comments]]+Table14[[#This Row],[Clicks]]</f>
        <v>4046</v>
      </c>
      <c r="M74" s="11">
        <f>(Table14[[#This Row],[Likes]]+Table14[[#This Row],[Shares]]+Table14[[#This Row],[Comments]])/Table14[[#This Row],[Impressions]]</f>
        <v>7.2739802071170159E-2</v>
      </c>
      <c r="N74" s="9" t="s">
        <v>34</v>
      </c>
      <c r="O74" s="1"/>
      <c r="P74" s="1"/>
      <c r="Q74" s="1" t="s">
        <v>28</v>
      </c>
    </row>
    <row r="75" spans="1:17" hidden="1" x14ac:dyDescent="0.3">
      <c r="A75" s="1" t="s">
        <v>393</v>
      </c>
      <c r="B75" s="9" t="s">
        <v>30</v>
      </c>
      <c r="C75" s="5" t="s">
        <v>394</v>
      </c>
      <c r="D75" s="9" t="s">
        <v>41</v>
      </c>
      <c r="E75" s="9" t="s">
        <v>84</v>
      </c>
      <c r="F75" s="2">
        <v>914</v>
      </c>
      <c r="G75" s="2">
        <v>464</v>
      </c>
      <c r="H75" s="2">
        <v>246</v>
      </c>
      <c r="I75" s="2">
        <v>11882</v>
      </c>
      <c r="J75" s="2">
        <v>11500</v>
      </c>
      <c r="K75" s="6">
        <v>282</v>
      </c>
      <c r="L75" s="2">
        <f>Table14[[#This Row],[Likes]]+Table14[[#This Row],[Shares]]+Table14[[#This Row],[Comments]]+Table14[[#This Row],[Clicks]]</f>
        <v>1906</v>
      </c>
      <c r="M75" s="11">
        <f>(Table14[[#This Row],[Likes]]+Table14[[#This Row],[Shares]]+Table14[[#This Row],[Comments]])/Table14[[#This Row],[Impressions]]</f>
        <v>0.13667732704931829</v>
      </c>
      <c r="N75" s="9" t="s">
        <v>58</v>
      </c>
      <c r="O75" s="1" t="s">
        <v>27</v>
      </c>
      <c r="P75" s="1" t="s">
        <v>551</v>
      </c>
      <c r="Q75" s="1" t="s">
        <v>35</v>
      </c>
    </row>
    <row r="76" spans="1:17" hidden="1" x14ac:dyDescent="0.3">
      <c r="A76" s="1" t="s">
        <v>530</v>
      </c>
      <c r="B76" s="9" t="s">
        <v>30</v>
      </c>
      <c r="C76" s="5" t="s">
        <v>394</v>
      </c>
      <c r="D76" s="9" t="s">
        <v>15</v>
      </c>
      <c r="E76" s="9" t="s">
        <v>78</v>
      </c>
      <c r="F76" s="2">
        <v>1164</v>
      </c>
      <c r="G76" s="2">
        <v>616</v>
      </c>
      <c r="H76" s="2">
        <v>324</v>
      </c>
      <c r="I76" s="2">
        <v>6984</v>
      </c>
      <c r="J76" s="2">
        <v>6636</v>
      </c>
      <c r="K76" s="6">
        <v>82</v>
      </c>
      <c r="L76" s="2">
        <f>Table14[[#This Row],[Likes]]+Table14[[#This Row],[Shares]]+Table14[[#This Row],[Comments]]+Table14[[#This Row],[Clicks]]</f>
        <v>2186</v>
      </c>
      <c r="M76" s="11">
        <f>(Table14[[#This Row],[Likes]]+Table14[[#This Row],[Shares]]+Table14[[#This Row],[Comments]])/Table14[[#This Row],[Impressions]]</f>
        <v>0.30126002290950743</v>
      </c>
      <c r="N76" s="9" t="s">
        <v>34</v>
      </c>
      <c r="O76" s="1"/>
      <c r="P76" s="1"/>
      <c r="Q76" s="1" t="s">
        <v>17</v>
      </c>
    </row>
    <row r="77" spans="1:17" hidden="1" x14ac:dyDescent="0.3">
      <c r="A77" s="1" t="s">
        <v>174</v>
      </c>
      <c r="B77" s="9" t="s">
        <v>39</v>
      </c>
      <c r="C77" s="5" t="s">
        <v>175</v>
      </c>
      <c r="D77" s="9" t="s">
        <v>48</v>
      </c>
      <c r="E77" s="9" t="s">
        <v>55</v>
      </c>
      <c r="F77" s="2">
        <v>2878</v>
      </c>
      <c r="G77" s="2">
        <v>248</v>
      </c>
      <c r="H77" s="2">
        <v>416</v>
      </c>
      <c r="I77" s="2">
        <v>43170</v>
      </c>
      <c r="J77" s="2">
        <v>42667</v>
      </c>
      <c r="K77" s="6">
        <v>75</v>
      </c>
      <c r="L77" s="2">
        <f>Table14[[#This Row],[Likes]]+Table14[[#This Row],[Shares]]+Table14[[#This Row],[Comments]]+Table14[[#This Row],[Clicks]]</f>
        <v>3617</v>
      </c>
      <c r="M77" s="11">
        <f>(Table14[[#This Row],[Likes]]+Table14[[#This Row],[Shares]]+Table14[[#This Row],[Comments]])/Table14[[#This Row],[Impressions]]</f>
        <v>8.2047718322909427E-2</v>
      </c>
      <c r="N77" s="9" t="s">
        <v>58</v>
      </c>
      <c r="O77" s="1"/>
      <c r="P77" s="1"/>
      <c r="Q77" s="1" t="s">
        <v>28</v>
      </c>
    </row>
    <row r="78" spans="1:17" hidden="1" x14ac:dyDescent="0.3">
      <c r="A78" s="1" t="s">
        <v>76</v>
      </c>
      <c r="B78" s="9" t="s">
        <v>30</v>
      </c>
      <c r="C78" s="5" t="s">
        <v>77</v>
      </c>
      <c r="D78" s="9" t="s">
        <v>15</v>
      </c>
      <c r="E78" s="9" t="s">
        <v>78</v>
      </c>
      <c r="F78" s="2">
        <v>3000</v>
      </c>
      <c r="G78" s="2">
        <v>382</v>
      </c>
      <c r="H78" s="2">
        <v>325</v>
      </c>
      <c r="I78" s="2">
        <v>36000</v>
      </c>
      <c r="J78" s="2">
        <v>35819</v>
      </c>
      <c r="K78" s="6">
        <v>19</v>
      </c>
      <c r="L78" s="2">
        <f>Table14[[#This Row],[Likes]]+Table14[[#This Row],[Shares]]+Table14[[#This Row],[Comments]]+Table14[[#This Row],[Clicks]]</f>
        <v>3726</v>
      </c>
      <c r="M78" s="11">
        <f>(Table14[[#This Row],[Likes]]+Table14[[#This Row],[Shares]]+Table14[[#This Row],[Comments]])/Table14[[#This Row],[Impressions]]</f>
        <v>0.10297222222222223</v>
      </c>
      <c r="N78" s="9" t="s">
        <v>58</v>
      </c>
      <c r="O78" s="1"/>
      <c r="P78" s="1"/>
      <c r="Q78" s="1" t="s">
        <v>17</v>
      </c>
    </row>
    <row r="79" spans="1:17" hidden="1" x14ac:dyDescent="0.3">
      <c r="A79" s="1" t="s">
        <v>453</v>
      </c>
      <c r="B79" s="9" t="s">
        <v>39</v>
      </c>
      <c r="C79" s="5" t="s">
        <v>77</v>
      </c>
      <c r="D79" s="9" t="s">
        <v>20</v>
      </c>
      <c r="E79" s="9" t="s">
        <v>52</v>
      </c>
      <c r="F79" s="2">
        <v>1257</v>
      </c>
      <c r="G79" s="2">
        <v>19</v>
      </c>
      <c r="H79" s="2">
        <v>351</v>
      </c>
      <c r="I79" s="2">
        <v>12570</v>
      </c>
      <c r="J79" s="2">
        <v>11660</v>
      </c>
      <c r="K79" s="6">
        <v>194</v>
      </c>
      <c r="L79" s="2">
        <f>Table14[[#This Row],[Likes]]+Table14[[#This Row],[Shares]]+Table14[[#This Row],[Comments]]+Table14[[#This Row],[Clicks]]</f>
        <v>1821</v>
      </c>
      <c r="M79" s="11">
        <f>(Table14[[#This Row],[Likes]]+Table14[[#This Row],[Shares]]+Table14[[#This Row],[Comments]])/Table14[[#This Row],[Impressions]]</f>
        <v>0.12943516308671441</v>
      </c>
      <c r="N79" s="9" t="s">
        <v>58</v>
      </c>
      <c r="O79" s="1" t="s">
        <v>551</v>
      </c>
      <c r="P79" s="1" t="s">
        <v>34</v>
      </c>
      <c r="Q79" s="1" t="s">
        <v>22</v>
      </c>
    </row>
    <row r="80" spans="1:17" hidden="1" x14ac:dyDescent="0.3">
      <c r="A80" s="1" t="s">
        <v>493</v>
      </c>
      <c r="B80" s="9" t="s">
        <v>30</v>
      </c>
      <c r="C80" s="5" t="s">
        <v>494</v>
      </c>
      <c r="D80" s="9" t="s">
        <v>15</v>
      </c>
      <c r="E80" s="9" t="s">
        <v>78</v>
      </c>
      <c r="F80" s="2">
        <v>2603</v>
      </c>
      <c r="G80" s="2">
        <v>690</v>
      </c>
      <c r="H80" s="2">
        <v>205</v>
      </c>
      <c r="I80" s="2">
        <v>13015</v>
      </c>
      <c r="J80" s="2">
        <v>12130</v>
      </c>
      <c r="K80" s="6">
        <v>20</v>
      </c>
      <c r="L80" s="2">
        <f>Table14[[#This Row],[Likes]]+Table14[[#This Row],[Shares]]+Table14[[#This Row],[Comments]]+Table14[[#This Row],[Clicks]]</f>
        <v>3518</v>
      </c>
      <c r="M80" s="11">
        <f>(Table14[[#This Row],[Likes]]+Table14[[#This Row],[Shares]]+Table14[[#This Row],[Comments]])/Table14[[#This Row],[Impressions]]</f>
        <v>0.26876680752977333</v>
      </c>
      <c r="N80" s="9" t="s">
        <v>58</v>
      </c>
      <c r="O80" s="1"/>
      <c r="P80" s="1"/>
      <c r="Q80" s="1" t="s">
        <v>22</v>
      </c>
    </row>
    <row r="81" spans="1:17" hidden="1" x14ac:dyDescent="0.3">
      <c r="A81" s="1" t="s">
        <v>111</v>
      </c>
      <c r="B81" s="9" t="s">
        <v>39</v>
      </c>
      <c r="C81" s="5" t="s">
        <v>112</v>
      </c>
      <c r="D81" s="9" t="s">
        <v>48</v>
      </c>
      <c r="E81" s="9" t="s">
        <v>55</v>
      </c>
      <c r="F81" s="2">
        <v>1407</v>
      </c>
      <c r="G81" s="2">
        <v>400</v>
      </c>
      <c r="H81" s="2">
        <v>351</v>
      </c>
      <c r="I81" s="2">
        <v>16884</v>
      </c>
      <c r="J81" s="2">
        <v>15954</v>
      </c>
      <c r="K81" s="6">
        <v>113</v>
      </c>
      <c r="L81" s="2">
        <f>Table14[[#This Row],[Likes]]+Table14[[#This Row],[Shares]]+Table14[[#This Row],[Comments]]+Table14[[#This Row],[Clicks]]</f>
        <v>2271</v>
      </c>
      <c r="M81" s="11">
        <f>(Table14[[#This Row],[Likes]]+Table14[[#This Row],[Shares]]+Table14[[#This Row],[Comments]])/Table14[[#This Row],[Impressions]]</f>
        <v>0.12781331438047855</v>
      </c>
      <c r="N81" s="9" t="s">
        <v>27</v>
      </c>
      <c r="O81" s="1"/>
      <c r="P81" s="1"/>
      <c r="Q81" s="1" t="s">
        <v>17</v>
      </c>
    </row>
    <row r="82" spans="1:17" hidden="1" x14ac:dyDescent="0.3">
      <c r="A82" s="1" t="s">
        <v>320</v>
      </c>
      <c r="B82" s="9" t="s">
        <v>24</v>
      </c>
      <c r="C82" s="5" t="s">
        <v>321</v>
      </c>
      <c r="D82" s="9" t="s">
        <v>41</v>
      </c>
      <c r="E82" s="9" t="s">
        <v>64</v>
      </c>
      <c r="F82" s="2">
        <v>4295</v>
      </c>
      <c r="G82" s="2">
        <v>853</v>
      </c>
      <c r="H82" s="2">
        <v>325</v>
      </c>
      <c r="I82" s="2">
        <v>85900</v>
      </c>
      <c r="J82" s="2">
        <v>85788</v>
      </c>
      <c r="K82" s="6">
        <v>290</v>
      </c>
      <c r="L82" s="2">
        <f>Table14[[#This Row],[Likes]]+Table14[[#This Row],[Shares]]+Table14[[#This Row],[Comments]]+Table14[[#This Row],[Clicks]]</f>
        <v>5763</v>
      </c>
      <c r="M82" s="11">
        <f>(Table14[[#This Row],[Likes]]+Table14[[#This Row],[Shares]]+Table14[[#This Row],[Comments]])/Table14[[#This Row],[Impressions]]</f>
        <v>6.3713620488940623E-2</v>
      </c>
      <c r="N82" s="9" t="s">
        <v>27</v>
      </c>
      <c r="O82" s="1"/>
      <c r="P82" s="1"/>
      <c r="Q82" s="1" t="s">
        <v>35</v>
      </c>
    </row>
    <row r="83" spans="1:17" hidden="1" x14ac:dyDescent="0.3">
      <c r="A83" s="1" t="s">
        <v>380</v>
      </c>
      <c r="B83" s="9" t="s">
        <v>39</v>
      </c>
      <c r="C83" s="5" t="s">
        <v>338</v>
      </c>
      <c r="D83" s="9" t="s">
        <v>41</v>
      </c>
      <c r="E83" s="9" t="s">
        <v>42</v>
      </c>
      <c r="F83" s="2">
        <v>4292</v>
      </c>
      <c r="G83" s="2">
        <v>51</v>
      </c>
      <c r="H83" s="2">
        <v>392</v>
      </c>
      <c r="I83" s="2">
        <v>55796</v>
      </c>
      <c r="J83" s="2">
        <v>54826</v>
      </c>
      <c r="K83" s="6">
        <v>264</v>
      </c>
      <c r="L83" s="2">
        <f>Table14[[#This Row],[Likes]]+Table14[[#This Row],[Shares]]+Table14[[#This Row],[Comments]]+Table14[[#This Row],[Clicks]]</f>
        <v>4999</v>
      </c>
      <c r="M83" s="11">
        <f>(Table14[[#This Row],[Likes]]+Table14[[#This Row],[Shares]]+Table14[[#This Row],[Comments]])/Table14[[#This Row],[Impressions]]</f>
        <v>8.4862714173059003E-2</v>
      </c>
      <c r="N83" s="9" t="s">
        <v>34</v>
      </c>
      <c r="O83" s="1"/>
      <c r="P83" s="1"/>
      <c r="Q83" s="1" t="s">
        <v>28</v>
      </c>
    </row>
    <row r="84" spans="1:17" hidden="1" x14ac:dyDescent="0.3">
      <c r="A84" s="1" t="s">
        <v>337</v>
      </c>
      <c r="B84" s="9" t="s">
        <v>13</v>
      </c>
      <c r="C84" s="5" t="s">
        <v>338</v>
      </c>
      <c r="D84" s="9" t="s">
        <v>70</v>
      </c>
      <c r="E84" s="9" t="s">
        <v>140</v>
      </c>
      <c r="F84" s="2">
        <v>1082</v>
      </c>
      <c r="G84" s="2">
        <v>209</v>
      </c>
      <c r="H84" s="2">
        <v>484</v>
      </c>
      <c r="I84" s="2">
        <v>19476</v>
      </c>
      <c r="J84" s="2">
        <v>18654</v>
      </c>
      <c r="K84" s="6">
        <v>20</v>
      </c>
      <c r="L84" s="2">
        <f>Table14[[#This Row],[Likes]]+Table14[[#This Row],[Shares]]+Table14[[#This Row],[Comments]]+Table14[[#This Row],[Clicks]]</f>
        <v>1795</v>
      </c>
      <c r="M84" s="11">
        <f>(Table14[[#This Row],[Likes]]+Table14[[#This Row],[Shares]]+Table14[[#This Row],[Comments]])/Table14[[#This Row],[Impressions]]</f>
        <v>9.1137810638734856E-2</v>
      </c>
      <c r="N84" s="9" t="s">
        <v>27</v>
      </c>
      <c r="O84" s="1"/>
      <c r="P84" s="1"/>
    </row>
    <row r="85" spans="1:17" hidden="1" x14ac:dyDescent="0.3">
      <c r="A85" s="1" t="s">
        <v>72</v>
      </c>
      <c r="B85" s="9" t="s">
        <v>39</v>
      </c>
      <c r="C85" s="5" t="s">
        <v>73</v>
      </c>
      <c r="D85" s="9" t="s">
        <v>20</v>
      </c>
      <c r="E85" s="9" t="s">
        <v>52</v>
      </c>
      <c r="F85" s="2">
        <v>3452</v>
      </c>
      <c r="G85" s="2">
        <v>377</v>
      </c>
      <c r="H85" s="2">
        <v>360</v>
      </c>
      <c r="I85" s="2">
        <v>55232</v>
      </c>
      <c r="J85" s="2">
        <v>55075</v>
      </c>
      <c r="K85" s="6">
        <v>87</v>
      </c>
      <c r="L85" s="2">
        <f>Table14[[#This Row],[Likes]]+Table14[[#This Row],[Shares]]+Table14[[#This Row],[Comments]]+Table14[[#This Row],[Clicks]]</f>
        <v>4276</v>
      </c>
      <c r="M85" s="11">
        <f>(Table14[[#This Row],[Likes]]+Table14[[#This Row],[Shares]]+Table14[[#This Row],[Comments]])/Table14[[#This Row],[Impressions]]</f>
        <v>7.5843713789107758E-2</v>
      </c>
      <c r="N85" s="9" t="s">
        <v>58</v>
      </c>
      <c r="O85" s="1"/>
      <c r="P85" s="1"/>
      <c r="Q85" s="1" t="s">
        <v>28</v>
      </c>
    </row>
    <row r="86" spans="1:17" hidden="1" x14ac:dyDescent="0.3">
      <c r="A86" s="1" t="s">
        <v>458</v>
      </c>
      <c r="B86" s="9" t="s">
        <v>13</v>
      </c>
      <c r="C86" s="5" t="s">
        <v>73</v>
      </c>
      <c r="D86" s="9" t="s">
        <v>41</v>
      </c>
      <c r="E86" s="9" t="s">
        <v>45</v>
      </c>
      <c r="F86" s="2">
        <v>929</v>
      </c>
      <c r="G86" s="2">
        <v>192</v>
      </c>
      <c r="H86" s="2">
        <v>322</v>
      </c>
      <c r="I86" s="2">
        <v>16722</v>
      </c>
      <c r="J86" s="2">
        <v>15996</v>
      </c>
      <c r="K86" s="6">
        <v>145</v>
      </c>
      <c r="L86" s="2">
        <f>Table14[[#This Row],[Likes]]+Table14[[#This Row],[Shares]]+Table14[[#This Row],[Comments]]+Table14[[#This Row],[Clicks]]</f>
        <v>1588</v>
      </c>
      <c r="M86" s="11">
        <f>(Table14[[#This Row],[Likes]]+Table14[[#This Row],[Shares]]+Table14[[#This Row],[Comments]])/Table14[[#This Row],[Impressions]]</f>
        <v>8.6293505561535699E-2</v>
      </c>
      <c r="N86" s="9" t="s">
        <v>34</v>
      </c>
      <c r="O86" s="1" t="s">
        <v>27</v>
      </c>
      <c r="P86" s="1" t="s">
        <v>551</v>
      </c>
      <c r="Q86" s="1" t="s">
        <v>28</v>
      </c>
    </row>
    <row r="87" spans="1:17" hidden="1" x14ac:dyDescent="0.3">
      <c r="A87" s="1" t="s">
        <v>549</v>
      </c>
      <c r="B87" s="9" t="s">
        <v>39</v>
      </c>
      <c r="C87" s="5" t="s">
        <v>73</v>
      </c>
      <c r="D87" s="9" t="s">
        <v>48</v>
      </c>
      <c r="E87" s="9" t="s">
        <v>55</v>
      </c>
      <c r="F87" s="2">
        <v>2581</v>
      </c>
      <c r="G87" s="2">
        <v>517</v>
      </c>
      <c r="H87" s="2">
        <v>117</v>
      </c>
      <c r="I87" s="2">
        <v>23229</v>
      </c>
      <c r="J87" s="2">
        <v>22331</v>
      </c>
      <c r="K87" s="6">
        <v>70</v>
      </c>
      <c r="L87" s="2">
        <f>Table14[[#This Row],[Likes]]+Table14[[#This Row],[Shares]]+Table14[[#This Row],[Comments]]+Table14[[#This Row],[Clicks]]</f>
        <v>3285</v>
      </c>
      <c r="M87" s="11">
        <f>(Table14[[#This Row],[Likes]]+Table14[[#This Row],[Shares]]+Table14[[#This Row],[Comments]])/Table14[[#This Row],[Impressions]]</f>
        <v>0.13840458048129492</v>
      </c>
      <c r="N87" s="9" t="s">
        <v>58</v>
      </c>
      <c r="O87" s="1"/>
      <c r="P87" s="1"/>
      <c r="Q87" s="1" t="s">
        <v>28</v>
      </c>
    </row>
    <row r="88" spans="1:17" hidden="1" x14ac:dyDescent="0.3">
      <c r="A88" s="1" t="s">
        <v>470</v>
      </c>
      <c r="B88" s="9" t="s">
        <v>39</v>
      </c>
      <c r="C88" s="5" t="s">
        <v>471</v>
      </c>
      <c r="D88" s="9" t="s">
        <v>15</v>
      </c>
      <c r="E88" s="9" t="s">
        <v>61</v>
      </c>
      <c r="F88" s="2">
        <v>3960</v>
      </c>
      <c r="G88" s="2">
        <v>266</v>
      </c>
      <c r="H88" s="2">
        <v>8</v>
      </c>
      <c r="I88" s="2">
        <v>35640</v>
      </c>
      <c r="J88" s="2">
        <v>34850</v>
      </c>
      <c r="K88" s="6">
        <v>208</v>
      </c>
      <c r="L88" s="2">
        <f>Table14[[#This Row],[Likes]]+Table14[[#This Row],[Shares]]+Table14[[#This Row],[Comments]]+Table14[[#This Row],[Clicks]]</f>
        <v>4442</v>
      </c>
      <c r="M88" s="11">
        <f>(Table14[[#This Row],[Likes]]+Table14[[#This Row],[Shares]]+Table14[[#This Row],[Comments]])/Table14[[#This Row],[Impressions]]</f>
        <v>0.11879910213243547</v>
      </c>
      <c r="N88" s="9" t="s">
        <v>58</v>
      </c>
      <c r="O88" s="1" t="s">
        <v>34</v>
      </c>
      <c r="P88" s="1" t="s">
        <v>553</v>
      </c>
    </row>
    <row r="89" spans="1:17" hidden="1" x14ac:dyDescent="0.3">
      <c r="A89" s="1" t="s">
        <v>50</v>
      </c>
      <c r="B89" s="9" t="s">
        <v>39</v>
      </c>
      <c r="C89" s="5" t="s">
        <v>51</v>
      </c>
      <c r="D89" s="9" t="s">
        <v>20</v>
      </c>
      <c r="E89" s="9" t="s">
        <v>52</v>
      </c>
      <c r="F89" s="2">
        <v>3784</v>
      </c>
      <c r="G89" s="2">
        <v>808</v>
      </c>
      <c r="H89" s="2">
        <v>404</v>
      </c>
      <c r="I89" s="2">
        <v>56760</v>
      </c>
      <c r="J89" s="2">
        <v>56343</v>
      </c>
      <c r="K89" s="6">
        <v>131</v>
      </c>
      <c r="L89" s="2">
        <f>Table14[[#This Row],[Likes]]+Table14[[#This Row],[Shares]]+Table14[[#This Row],[Comments]]+Table14[[#This Row],[Clicks]]</f>
        <v>5127</v>
      </c>
      <c r="M89" s="11">
        <f>(Table14[[#This Row],[Likes]]+Table14[[#This Row],[Shares]]+Table14[[#This Row],[Comments]])/Table14[[#This Row],[Impressions]]</f>
        <v>8.8019732205778717E-2</v>
      </c>
      <c r="N89" s="9" t="s">
        <v>27</v>
      </c>
      <c r="O89" s="1"/>
      <c r="P89" s="1"/>
      <c r="Q89" s="1" t="s">
        <v>22</v>
      </c>
    </row>
    <row r="90" spans="1:17" hidden="1" x14ac:dyDescent="0.3">
      <c r="A90" s="1" t="s">
        <v>550</v>
      </c>
      <c r="B90" s="9" t="s">
        <v>13</v>
      </c>
      <c r="C90" s="5" t="s">
        <v>309</v>
      </c>
      <c r="D90" s="9" t="s">
        <v>41</v>
      </c>
      <c r="E90" s="9" t="s">
        <v>45</v>
      </c>
      <c r="F90" s="2">
        <v>4494</v>
      </c>
      <c r="G90" s="2">
        <v>717</v>
      </c>
      <c r="H90" s="2">
        <v>45</v>
      </c>
      <c r="I90" s="2">
        <v>62916</v>
      </c>
      <c r="J90" s="2">
        <v>62688</v>
      </c>
      <c r="K90" s="6">
        <v>191</v>
      </c>
      <c r="L90" s="2">
        <f>Table14[[#This Row],[Likes]]+Table14[[#This Row],[Shares]]+Table14[[#This Row],[Comments]]+Table14[[#This Row],[Clicks]]</f>
        <v>5447</v>
      </c>
      <c r="M90" s="11">
        <f>(Table14[[#This Row],[Likes]]+Table14[[#This Row],[Shares]]+Table14[[#This Row],[Comments]])/Table14[[#This Row],[Impressions]]</f>
        <v>8.3539958039290485E-2</v>
      </c>
      <c r="N90" s="9" t="s">
        <v>27</v>
      </c>
      <c r="O90" s="1" t="s">
        <v>34</v>
      </c>
      <c r="P90" s="1" t="s">
        <v>553</v>
      </c>
      <c r="Q90" s="1" t="s">
        <v>17</v>
      </c>
    </row>
    <row r="91" spans="1:17" hidden="1" x14ac:dyDescent="0.3">
      <c r="A91" s="1" t="s">
        <v>308</v>
      </c>
      <c r="B91" s="9" t="s">
        <v>13</v>
      </c>
      <c r="C91" s="5" t="s">
        <v>309</v>
      </c>
      <c r="D91" s="9" t="s">
        <v>48</v>
      </c>
      <c r="E91" s="9" t="s">
        <v>127</v>
      </c>
      <c r="F91" s="2">
        <v>3170</v>
      </c>
      <c r="G91" s="2">
        <v>857</v>
      </c>
      <c r="H91" s="2">
        <v>379</v>
      </c>
      <c r="I91" s="2">
        <v>19020</v>
      </c>
      <c r="J91" s="2">
        <v>18559</v>
      </c>
      <c r="K91" s="6">
        <v>240</v>
      </c>
      <c r="L91" s="2">
        <f>Table14[[#This Row],[Likes]]+Table14[[#This Row],[Shares]]+Table14[[#This Row],[Comments]]+Table14[[#This Row],[Clicks]]</f>
        <v>4646</v>
      </c>
      <c r="M91" s="11">
        <f>(Table14[[#This Row],[Likes]]+Table14[[#This Row],[Shares]]+Table14[[#This Row],[Comments]])/Table14[[#This Row],[Impressions]]</f>
        <v>0.2316508937960042</v>
      </c>
      <c r="N91" s="9" t="s">
        <v>58</v>
      </c>
      <c r="O91" s="1"/>
      <c r="P91" s="1"/>
    </row>
    <row r="92" spans="1:17" hidden="1" x14ac:dyDescent="0.3">
      <c r="A92" s="1" t="s">
        <v>518</v>
      </c>
      <c r="B92" s="9" t="s">
        <v>24</v>
      </c>
      <c r="C92" s="5" t="s">
        <v>188</v>
      </c>
      <c r="D92" s="9" t="s">
        <v>48</v>
      </c>
      <c r="E92" s="9" t="s">
        <v>49</v>
      </c>
      <c r="F92" s="2">
        <v>4905</v>
      </c>
      <c r="G92" s="2">
        <v>845</v>
      </c>
      <c r="H92" s="2">
        <v>129</v>
      </c>
      <c r="I92" s="2">
        <v>98100</v>
      </c>
      <c r="J92" s="2">
        <v>97772</v>
      </c>
      <c r="K92" s="6">
        <v>279</v>
      </c>
      <c r="L92" s="2">
        <f>Table14[[#This Row],[Likes]]+Table14[[#This Row],[Shares]]+Table14[[#This Row],[Comments]]+Table14[[#This Row],[Clicks]]</f>
        <v>6158</v>
      </c>
      <c r="M92" s="11">
        <f>(Table14[[#This Row],[Likes]]+Table14[[#This Row],[Shares]]+Table14[[#This Row],[Comments]])/Table14[[#This Row],[Impressions]]</f>
        <v>5.9928644240570844E-2</v>
      </c>
      <c r="N92" s="9" t="s">
        <v>27</v>
      </c>
      <c r="O92" s="1"/>
      <c r="P92" s="1"/>
      <c r="Q92" s="1" t="s">
        <v>22</v>
      </c>
    </row>
    <row r="93" spans="1:17" hidden="1" x14ac:dyDescent="0.3">
      <c r="A93" s="1" t="s">
        <v>187</v>
      </c>
      <c r="B93" s="9" t="s">
        <v>24</v>
      </c>
      <c r="C93" s="5" t="s">
        <v>188</v>
      </c>
      <c r="D93" s="9" t="s">
        <v>41</v>
      </c>
      <c r="E93" s="9" t="s">
        <v>64</v>
      </c>
      <c r="F93" s="2">
        <v>2551</v>
      </c>
      <c r="G93" s="2">
        <v>915</v>
      </c>
      <c r="H93" s="2">
        <v>205</v>
      </c>
      <c r="I93" s="2">
        <v>30612</v>
      </c>
      <c r="J93" s="2">
        <v>30360</v>
      </c>
      <c r="K93" s="6">
        <v>227</v>
      </c>
      <c r="L93" s="2">
        <f>Table14[[#This Row],[Likes]]+Table14[[#This Row],[Shares]]+Table14[[#This Row],[Comments]]+Table14[[#This Row],[Clicks]]</f>
        <v>3898</v>
      </c>
      <c r="M93" s="11">
        <f>(Table14[[#This Row],[Likes]]+Table14[[#This Row],[Shares]]+Table14[[#This Row],[Comments]])/Table14[[#This Row],[Impressions]]</f>
        <v>0.1199202926956749</v>
      </c>
      <c r="N93" s="9" t="s">
        <v>27</v>
      </c>
      <c r="O93" s="1"/>
      <c r="P93" s="1"/>
      <c r="Q93" s="1" t="s">
        <v>22</v>
      </c>
    </row>
    <row r="94" spans="1:17" hidden="1" x14ac:dyDescent="0.3">
      <c r="A94" s="1" t="s">
        <v>169</v>
      </c>
      <c r="B94" s="9" t="s">
        <v>13</v>
      </c>
      <c r="C94" s="5" t="s">
        <v>170</v>
      </c>
      <c r="D94" s="9" t="s">
        <v>70</v>
      </c>
      <c r="E94" s="9" t="s">
        <v>140</v>
      </c>
      <c r="F94" s="2">
        <v>4886</v>
      </c>
      <c r="G94" s="2">
        <v>983</v>
      </c>
      <c r="H94" s="2">
        <v>409</v>
      </c>
      <c r="I94" s="2">
        <v>43974</v>
      </c>
      <c r="J94" s="2">
        <v>43239</v>
      </c>
      <c r="K94" s="6">
        <v>65</v>
      </c>
      <c r="L94" s="2">
        <f>Table14[[#This Row],[Likes]]+Table14[[#This Row],[Shares]]+Table14[[#This Row],[Comments]]+Table14[[#This Row],[Clicks]]</f>
        <v>6343</v>
      </c>
      <c r="M94" s="11">
        <f>(Table14[[#This Row],[Likes]]+Table14[[#This Row],[Shares]]+Table14[[#This Row],[Comments]])/Table14[[#This Row],[Impressions]]</f>
        <v>0.14276618001546368</v>
      </c>
      <c r="N94" s="9" t="s">
        <v>27</v>
      </c>
      <c r="O94" s="1"/>
      <c r="P94" s="1"/>
      <c r="Q94" s="1" t="s">
        <v>17</v>
      </c>
    </row>
    <row r="95" spans="1:17" hidden="1" x14ac:dyDescent="0.3">
      <c r="A95" s="1" t="s">
        <v>284</v>
      </c>
      <c r="B95" s="9" t="s">
        <v>13</v>
      </c>
      <c r="C95" s="5" t="s">
        <v>285</v>
      </c>
      <c r="D95" s="9" t="s">
        <v>41</v>
      </c>
      <c r="E95" s="9" t="s">
        <v>45</v>
      </c>
      <c r="F95" s="2">
        <v>3811</v>
      </c>
      <c r="G95" s="2">
        <v>866</v>
      </c>
      <c r="H95" s="2">
        <v>216</v>
      </c>
      <c r="I95" s="2">
        <v>34299</v>
      </c>
      <c r="J95" s="2">
        <v>34088</v>
      </c>
      <c r="K95" s="6">
        <v>233</v>
      </c>
      <c r="L95" s="2">
        <f>Table14[[#This Row],[Likes]]+Table14[[#This Row],[Shares]]+Table14[[#This Row],[Comments]]+Table14[[#This Row],[Clicks]]</f>
        <v>5126</v>
      </c>
      <c r="M95" s="11">
        <f>(Table14[[#This Row],[Likes]]+Table14[[#This Row],[Shares]]+Table14[[#This Row],[Comments]])/Table14[[#This Row],[Impressions]]</f>
        <v>0.14265722032712325</v>
      </c>
      <c r="N95" s="9" t="s">
        <v>27</v>
      </c>
      <c r="O95" s="1"/>
      <c r="P95" s="1"/>
      <c r="Q95" s="1" t="s">
        <v>35</v>
      </c>
    </row>
    <row r="96" spans="1:17" hidden="1" x14ac:dyDescent="0.3">
      <c r="A96" s="1" t="s">
        <v>82</v>
      </c>
      <c r="B96" s="9" t="s">
        <v>30</v>
      </c>
      <c r="C96" s="5" t="s">
        <v>83</v>
      </c>
      <c r="D96" s="9" t="s">
        <v>41</v>
      </c>
      <c r="E96" s="9" t="s">
        <v>84</v>
      </c>
      <c r="F96" s="2">
        <v>4054</v>
      </c>
      <c r="G96" s="2">
        <v>488</v>
      </c>
      <c r="H96" s="2">
        <v>373</v>
      </c>
      <c r="I96" s="2">
        <v>77026</v>
      </c>
      <c r="J96" s="2">
        <v>76881</v>
      </c>
      <c r="K96" s="6">
        <v>25</v>
      </c>
      <c r="L96" s="2">
        <f>Table14[[#This Row],[Likes]]+Table14[[#This Row],[Shares]]+Table14[[#This Row],[Comments]]+Table14[[#This Row],[Clicks]]</f>
        <v>4940</v>
      </c>
      <c r="M96" s="11">
        <f>(Table14[[#This Row],[Likes]]+Table14[[#This Row],[Shares]]+Table14[[#This Row],[Comments]])/Table14[[#This Row],[Impressions]]</f>
        <v>6.3809622724794221E-2</v>
      </c>
      <c r="N96" s="9" t="s">
        <v>27</v>
      </c>
      <c r="O96" s="1"/>
      <c r="P96" s="1"/>
      <c r="Q96" s="1" t="s">
        <v>17</v>
      </c>
    </row>
    <row r="97" spans="1:17" hidden="1" x14ac:dyDescent="0.3">
      <c r="A97" s="1" t="s">
        <v>233</v>
      </c>
      <c r="B97" s="9" t="s">
        <v>13</v>
      </c>
      <c r="C97" s="5" t="s">
        <v>234</v>
      </c>
      <c r="D97" s="9" t="s">
        <v>48</v>
      </c>
      <c r="E97" s="9" t="s">
        <v>127</v>
      </c>
      <c r="F97" s="2">
        <v>1238</v>
      </c>
      <c r="G97" s="2">
        <v>366</v>
      </c>
      <c r="H97" s="2">
        <v>444</v>
      </c>
      <c r="I97" s="2">
        <v>19808</v>
      </c>
      <c r="J97" s="2">
        <v>19334</v>
      </c>
      <c r="K97" s="6">
        <v>123</v>
      </c>
      <c r="L97" s="2">
        <f>Table14[[#This Row],[Likes]]+Table14[[#This Row],[Shares]]+Table14[[#This Row],[Comments]]+Table14[[#This Row],[Clicks]]</f>
        <v>2171</v>
      </c>
      <c r="M97" s="11">
        <f>(Table14[[#This Row],[Likes]]+Table14[[#This Row],[Shares]]+Table14[[#This Row],[Comments]])/Table14[[#This Row],[Impressions]]</f>
        <v>0.10339256865912763</v>
      </c>
      <c r="N97" s="9" t="s">
        <v>58</v>
      </c>
      <c r="O97" s="1"/>
      <c r="P97" s="1"/>
    </row>
    <row r="98" spans="1:17" hidden="1" x14ac:dyDescent="0.3">
      <c r="A98" s="1" t="s">
        <v>390</v>
      </c>
      <c r="B98" s="9" t="s">
        <v>13</v>
      </c>
      <c r="C98" s="5" t="s">
        <v>391</v>
      </c>
      <c r="D98" s="9" t="s">
        <v>48</v>
      </c>
      <c r="E98" s="9" t="s">
        <v>127</v>
      </c>
      <c r="F98" s="2">
        <v>4858</v>
      </c>
      <c r="G98" s="2">
        <v>317</v>
      </c>
      <c r="H98" s="2">
        <v>129</v>
      </c>
      <c r="I98" s="2">
        <v>53438</v>
      </c>
      <c r="J98" s="2">
        <v>52687</v>
      </c>
      <c r="K98" s="6">
        <v>223</v>
      </c>
      <c r="L98" s="2">
        <f>Table14[[#This Row],[Likes]]+Table14[[#This Row],[Shares]]+Table14[[#This Row],[Comments]]+Table14[[#This Row],[Clicks]]</f>
        <v>5527</v>
      </c>
      <c r="M98" s="11">
        <f>(Table14[[#This Row],[Likes]]+Table14[[#This Row],[Shares]]+Table14[[#This Row],[Comments]])/Table14[[#This Row],[Impressions]]</f>
        <v>9.9255211647142488E-2</v>
      </c>
      <c r="N98" s="9" t="s">
        <v>34</v>
      </c>
      <c r="O98" s="1"/>
      <c r="P98" s="1"/>
      <c r="Q98" s="1" t="s">
        <v>28</v>
      </c>
    </row>
    <row r="99" spans="1:17" hidden="1" x14ac:dyDescent="0.3">
      <c r="A99" s="1" t="s">
        <v>398</v>
      </c>
      <c r="B99" s="9" t="s">
        <v>13</v>
      </c>
      <c r="C99" s="5" t="s">
        <v>399</v>
      </c>
      <c r="D99" s="9" t="s">
        <v>48</v>
      </c>
      <c r="E99" s="9" t="s">
        <v>127</v>
      </c>
      <c r="F99" s="2">
        <v>1048</v>
      </c>
      <c r="G99" s="2">
        <v>374</v>
      </c>
      <c r="H99" s="2">
        <v>450</v>
      </c>
      <c r="I99" s="2">
        <v>9432</v>
      </c>
      <c r="J99" s="2">
        <v>8882</v>
      </c>
      <c r="K99" s="6">
        <v>158</v>
      </c>
      <c r="L99" s="2">
        <f>Table14[[#This Row],[Likes]]+Table14[[#This Row],[Shares]]+Table14[[#This Row],[Comments]]+Table14[[#This Row],[Clicks]]</f>
        <v>2030</v>
      </c>
      <c r="M99" s="11">
        <f>(Table14[[#This Row],[Likes]]+Table14[[#This Row],[Shares]]+Table14[[#This Row],[Comments]])/Table14[[#This Row],[Impressions]]</f>
        <v>0.19847328244274809</v>
      </c>
      <c r="N99" s="9" t="s">
        <v>27</v>
      </c>
      <c r="O99" s="1"/>
      <c r="P99" s="1"/>
      <c r="Q99" s="1" t="s">
        <v>28</v>
      </c>
    </row>
    <row r="100" spans="1:17" hidden="1" x14ac:dyDescent="0.3">
      <c r="A100" s="1" t="s">
        <v>97</v>
      </c>
      <c r="B100" s="9" t="s">
        <v>24</v>
      </c>
      <c r="C100" s="5" t="s">
        <v>98</v>
      </c>
      <c r="D100" s="9" t="s">
        <v>20</v>
      </c>
      <c r="E100" s="9" t="s">
        <v>99</v>
      </c>
      <c r="F100" s="2">
        <v>2076</v>
      </c>
      <c r="G100" s="2">
        <v>195</v>
      </c>
      <c r="H100" s="2">
        <v>104</v>
      </c>
      <c r="I100" s="2">
        <v>33216</v>
      </c>
      <c r="J100" s="2">
        <v>32244</v>
      </c>
      <c r="K100" s="6">
        <v>51</v>
      </c>
      <c r="L100" s="2">
        <f>Table14[[#This Row],[Likes]]+Table14[[#This Row],[Shares]]+Table14[[#This Row],[Comments]]+Table14[[#This Row],[Clicks]]</f>
        <v>2426</v>
      </c>
      <c r="M100" s="11">
        <f>(Table14[[#This Row],[Likes]]+Table14[[#This Row],[Shares]]+Table14[[#This Row],[Comments]])/Table14[[#This Row],[Impressions]]</f>
        <v>7.1501685934489398E-2</v>
      </c>
      <c r="N100" s="9" t="s">
        <v>58</v>
      </c>
      <c r="O100" s="1"/>
      <c r="P100" s="1"/>
      <c r="Q100" s="1" t="s">
        <v>35</v>
      </c>
    </row>
    <row r="101" spans="1:17" hidden="1" x14ac:dyDescent="0.3">
      <c r="A101" s="1" t="s">
        <v>526</v>
      </c>
      <c r="B101" s="9" t="s">
        <v>13</v>
      </c>
      <c r="C101" s="5" t="s">
        <v>98</v>
      </c>
      <c r="D101" s="9" t="s">
        <v>20</v>
      </c>
      <c r="E101" s="9" t="s">
        <v>21</v>
      </c>
      <c r="F101" s="2">
        <v>571</v>
      </c>
      <c r="G101" s="2">
        <v>190</v>
      </c>
      <c r="H101" s="2">
        <v>352</v>
      </c>
      <c r="I101" s="2">
        <v>9707</v>
      </c>
      <c r="J101" s="2">
        <v>9418</v>
      </c>
      <c r="K101" s="6">
        <v>231</v>
      </c>
      <c r="L101" s="2">
        <f>Table14[[#This Row],[Likes]]+Table14[[#This Row],[Shares]]+Table14[[#This Row],[Comments]]+Table14[[#This Row],[Clicks]]</f>
        <v>1344</v>
      </c>
      <c r="M101" s="11">
        <f>(Table14[[#This Row],[Likes]]+Table14[[#This Row],[Shares]]+Table14[[#This Row],[Comments]])/Table14[[#This Row],[Impressions]]</f>
        <v>0.11465952405480581</v>
      </c>
      <c r="N101" s="9" t="s">
        <v>27</v>
      </c>
      <c r="O101" s="1"/>
      <c r="P101" s="1"/>
      <c r="Q101" s="1" t="s">
        <v>35</v>
      </c>
    </row>
    <row r="102" spans="1:17" hidden="1" x14ac:dyDescent="0.3">
      <c r="A102" s="1" t="s">
        <v>483</v>
      </c>
      <c r="B102" s="9" t="s">
        <v>24</v>
      </c>
      <c r="C102" s="5" t="s">
        <v>244</v>
      </c>
      <c r="D102" s="9" t="s">
        <v>41</v>
      </c>
      <c r="E102" s="9" t="s">
        <v>64</v>
      </c>
      <c r="F102" s="2">
        <v>2143</v>
      </c>
      <c r="G102" s="2">
        <v>12</v>
      </c>
      <c r="H102" s="2">
        <v>204</v>
      </c>
      <c r="I102" s="2">
        <v>40717</v>
      </c>
      <c r="J102" s="2">
        <v>40125</v>
      </c>
      <c r="K102" s="6">
        <v>248</v>
      </c>
      <c r="L102" s="2">
        <f>Table14[[#This Row],[Likes]]+Table14[[#This Row],[Shares]]+Table14[[#This Row],[Comments]]+Table14[[#This Row],[Clicks]]</f>
        <v>2607</v>
      </c>
      <c r="M102" s="11">
        <f>(Table14[[#This Row],[Likes]]+Table14[[#This Row],[Shares]]+Table14[[#This Row],[Comments]])/Table14[[#This Row],[Impressions]]</f>
        <v>5.7936488444630008E-2</v>
      </c>
      <c r="N102" s="9" t="s">
        <v>34</v>
      </c>
      <c r="O102" s="1"/>
      <c r="P102" s="1"/>
      <c r="Q102" s="1" t="s">
        <v>22</v>
      </c>
    </row>
    <row r="103" spans="1:17" hidden="1" x14ac:dyDescent="0.3">
      <c r="A103" s="1" t="s">
        <v>243</v>
      </c>
      <c r="B103" s="9" t="s">
        <v>13</v>
      </c>
      <c r="C103" s="5" t="s">
        <v>244</v>
      </c>
      <c r="D103" s="9" t="s">
        <v>15</v>
      </c>
      <c r="E103" s="9" t="s">
        <v>16</v>
      </c>
      <c r="F103" s="2">
        <v>1000</v>
      </c>
      <c r="G103" s="2">
        <v>978</v>
      </c>
      <c r="H103" s="2">
        <v>162</v>
      </c>
      <c r="I103" s="2">
        <v>6000</v>
      </c>
      <c r="J103" s="2">
        <v>5221</v>
      </c>
      <c r="K103" s="6">
        <v>223</v>
      </c>
      <c r="L103" s="2">
        <f>Table14[[#This Row],[Likes]]+Table14[[#This Row],[Shares]]+Table14[[#This Row],[Comments]]+Table14[[#This Row],[Clicks]]</f>
        <v>2363</v>
      </c>
      <c r="M103" s="11">
        <f>(Table14[[#This Row],[Likes]]+Table14[[#This Row],[Shares]]+Table14[[#This Row],[Comments]])/Table14[[#This Row],[Impressions]]</f>
        <v>0.35666666666666669</v>
      </c>
      <c r="N103" s="9" t="s">
        <v>34</v>
      </c>
      <c r="O103" s="1"/>
      <c r="P103" s="1"/>
      <c r="Q103" s="1" t="s">
        <v>22</v>
      </c>
    </row>
    <row r="104" spans="1:17" hidden="1" x14ac:dyDescent="0.3">
      <c r="A104" s="1" t="s">
        <v>528</v>
      </c>
      <c r="B104" s="9" t="s">
        <v>24</v>
      </c>
      <c r="C104" s="5" t="s">
        <v>529</v>
      </c>
      <c r="D104" s="9" t="s">
        <v>70</v>
      </c>
      <c r="E104" s="9" t="s">
        <v>211</v>
      </c>
      <c r="F104" s="2">
        <v>3389</v>
      </c>
      <c r="G104" s="2">
        <v>344</v>
      </c>
      <c r="H104" s="2">
        <v>229</v>
      </c>
      <c r="I104" s="2">
        <v>20334</v>
      </c>
      <c r="J104" s="2">
        <v>19443</v>
      </c>
      <c r="K104" s="6">
        <v>228</v>
      </c>
      <c r="L104" s="2">
        <f>Table14[[#This Row],[Likes]]+Table14[[#This Row],[Shares]]+Table14[[#This Row],[Comments]]+Table14[[#This Row],[Clicks]]</f>
        <v>4190</v>
      </c>
      <c r="M104" s="11">
        <f>(Table14[[#This Row],[Likes]]+Table14[[#This Row],[Shares]]+Table14[[#This Row],[Comments]])/Table14[[#This Row],[Impressions]]</f>
        <v>0.19484607062063539</v>
      </c>
      <c r="N104" s="9" t="s">
        <v>58</v>
      </c>
      <c r="O104" s="1"/>
      <c r="P104" s="1"/>
      <c r="Q104" s="1" t="s">
        <v>28</v>
      </c>
    </row>
    <row r="105" spans="1:17" hidden="1" x14ac:dyDescent="0.3">
      <c r="A105" s="1" t="s">
        <v>290</v>
      </c>
      <c r="B105" s="9" t="s">
        <v>24</v>
      </c>
      <c r="C105" s="5" t="s">
        <v>291</v>
      </c>
      <c r="D105" s="9" t="s">
        <v>15</v>
      </c>
      <c r="E105" s="9" t="s">
        <v>26</v>
      </c>
      <c r="F105" s="2">
        <v>2936</v>
      </c>
      <c r="G105" s="2">
        <v>439</v>
      </c>
      <c r="H105" s="2">
        <v>44</v>
      </c>
      <c r="I105" s="2">
        <v>38168</v>
      </c>
      <c r="J105" s="2">
        <v>37571</v>
      </c>
      <c r="K105" s="6">
        <v>22</v>
      </c>
      <c r="L105" s="2">
        <f>Table14[[#This Row],[Likes]]+Table14[[#This Row],[Shares]]+Table14[[#This Row],[Comments]]+Table14[[#This Row],[Clicks]]</f>
        <v>3441</v>
      </c>
      <c r="M105" s="11">
        <f>(Table14[[#This Row],[Likes]]+Table14[[#This Row],[Shares]]+Table14[[#This Row],[Comments]])/Table14[[#This Row],[Impressions]]</f>
        <v>8.9577656675749323E-2</v>
      </c>
      <c r="N105" s="9" t="s">
        <v>34</v>
      </c>
      <c r="O105" s="1"/>
      <c r="P105" s="1"/>
      <c r="Q105" s="1" t="s">
        <v>35</v>
      </c>
    </row>
    <row r="106" spans="1:17" ht="20.399999999999999" hidden="1" customHeight="1" x14ac:dyDescent="0.3">
      <c r="A106" s="1" t="s">
        <v>280</v>
      </c>
      <c r="B106" s="9" t="s">
        <v>30</v>
      </c>
      <c r="C106" s="5" t="s">
        <v>266</v>
      </c>
      <c r="D106" s="9" t="s">
        <v>20</v>
      </c>
      <c r="E106" s="9" t="s">
        <v>108</v>
      </c>
      <c r="F106" s="2">
        <v>3432</v>
      </c>
      <c r="G106" s="2">
        <v>869</v>
      </c>
      <c r="H106" s="2">
        <v>123</v>
      </c>
      <c r="I106" s="2">
        <v>54912</v>
      </c>
      <c r="J106" s="2">
        <v>53916</v>
      </c>
      <c r="K106" s="6">
        <v>264</v>
      </c>
      <c r="L106" s="2">
        <f>Table14[[#This Row],[Likes]]+Table14[[#This Row],[Shares]]+Table14[[#This Row],[Comments]]+Table14[[#This Row],[Clicks]]</f>
        <v>4688</v>
      </c>
      <c r="M106" s="11">
        <f>(Table14[[#This Row],[Likes]]+Table14[[#This Row],[Shares]]+Table14[[#This Row],[Comments]])/Table14[[#This Row],[Impressions]]</f>
        <v>8.0565268065268064E-2</v>
      </c>
      <c r="N106" s="9" t="s">
        <v>34</v>
      </c>
      <c r="O106" s="1"/>
      <c r="P106" s="1"/>
      <c r="Q106" s="1" t="s">
        <v>22</v>
      </c>
    </row>
    <row r="107" spans="1:17" hidden="1" x14ac:dyDescent="0.3">
      <c r="A107" s="1" t="s">
        <v>392</v>
      </c>
      <c r="B107" s="9" t="s">
        <v>24</v>
      </c>
      <c r="C107" s="5" t="s">
        <v>266</v>
      </c>
      <c r="D107" s="9" t="s">
        <v>32</v>
      </c>
      <c r="E107" s="9" t="s">
        <v>149</v>
      </c>
      <c r="F107" s="2">
        <v>4350</v>
      </c>
      <c r="G107" s="2">
        <v>771</v>
      </c>
      <c r="H107" s="2">
        <v>7</v>
      </c>
      <c r="I107" s="2">
        <v>60900</v>
      </c>
      <c r="J107" s="2">
        <v>60592</v>
      </c>
      <c r="K107" s="6">
        <v>195</v>
      </c>
      <c r="L107" s="2">
        <f>Table14[[#This Row],[Likes]]+Table14[[#This Row],[Shares]]+Table14[[#This Row],[Comments]]+Table14[[#This Row],[Clicks]]</f>
        <v>5323</v>
      </c>
      <c r="M107" s="11">
        <f>(Table14[[#This Row],[Likes]]+Table14[[#This Row],[Shares]]+Table14[[#This Row],[Comments]])/Table14[[#This Row],[Impressions]]</f>
        <v>8.4203612479474554E-2</v>
      </c>
      <c r="N107" s="9" t="s">
        <v>34</v>
      </c>
      <c r="O107" s="1"/>
      <c r="P107" s="1"/>
      <c r="Q107" s="1" t="s">
        <v>17</v>
      </c>
    </row>
    <row r="108" spans="1:17" hidden="1" x14ac:dyDescent="0.3">
      <c r="A108" s="1" t="s">
        <v>265</v>
      </c>
      <c r="B108" s="9" t="s">
        <v>13</v>
      </c>
      <c r="C108" s="5" t="s">
        <v>266</v>
      </c>
      <c r="D108" s="9" t="s">
        <v>41</v>
      </c>
      <c r="E108" s="9" t="s">
        <v>45</v>
      </c>
      <c r="F108" s="2">
        <v>4419</v>
      </c>
      <c r="G108" s="2">
        <v>236</v>
      </c>
      <c r="H108" s="2">
        <v>369</v>
      </c>
      <c r="I108" s="2">
        <v>44190</v>
      </c>
      <c r="J108" s="2">
        <v>43582</v>
      </c>
      <c r="K108" s="6">
        <v>10</v>
      </c>
      <c r="L108" s="2">
        <f>Table14[[#This Row],[Likes]]+Table14[[#This Row],[Shares]]+Table14[[#This Row],[Comments]]+Table14[[#This Row],[Clicks]]</f>
        <v>5034</v>
      </c>
      <c r="M108" s="11">
        <f>(Table14[[#This Row],[Likes]]+Table14[[#This Row],[Shares]]+Table14[[#This Row],[Comments]])/Table14[[#This Row],[Impressions]]</f>
        <v>0.11369088028965829</v>
      </c>
      <c r="N108" s="9" t="s">
        <v>34</v>
      </c>
      <c r="O108" s="1"/>
      <c r="P108" s="1"/>
      <c r="Q108" s="1" t="s">
        <v>17</v>
      </c>
    </row>
    <row r="109" spans="1:17" x14ac:dyDescent="0.3">
      <c r="A109" s="1" t="s">
        <v>311</v>
      </c>
      <c r="B109" s="9" t="s">
        <v>24</v>
      </c>
      <c r="C109" s="5" t="s">
        <v>266</v>
      </c>
      <c r="D109" s="9" t="s">
        <v>41</v>
      </c>
      <c r="E109" s="9" t="s">
        <v>64</v>
      </c>
      <c r="F109" s="2">
        <v>80</v>
      </c>
      <c r="G109" s="2">
        <v>362</v>
      </c>
      <c r="H109" s="2">
        <v>80</v>
      </c>
      <c r="I109" s="2">
        <v>1040</v>
      </c>
      <c r="J109" s="2">
        <v>349</v>
      </c>
      <c r="K109" s="6">
        <v>117</v>
      </c>
      <c r="L109" s="2">
        <f>Table14[[#This Row],[Likes]]+Table14[[#This Row],[Shares]]+Table14[[#This Row],[Comments]]+Table14[[#This Row],[Clicks]]</f>
        <v>639</v>
      </c>
      <c r="M109" s="40">
        <f>(Table14[[#This Row],[Likes]]+Table14[[#This Row],[Shares]]+Table14[[#This Row],[Comments]])/Table14[[#This Row],[Impressions]]</f>
        <v>0.50192307692307692</v>
      </c>
      <c r="N109" s="9" t="s">
        <v>27</v>
      </c>
      <c r="O109" s="1"/>
      <c r="P109" s="1"/>
      <c r="Q109" s="1" t="s">
        <v>28</v>
      </c>
    </row>
    <row r="110" spans="1:17" hidden="1" x14ac:dyDescent="0.3">
      <c r="A110" s="1" t="s">
        <v>522</v>
      </c>
      <c r="B110" s="9" t="s">
        <v>30</v>
      </c>
      <c r="C110" s="5" t="s">
        <v>523</v>
      </c>
      <c r="D110" s="9" t="s">
        <v>70</v>
      </c>
      <c r="E110" s="9" t="s">
        <v>81</v>
      </c>
      <c r="F110" s="2">
        <v>1488</v>
      </c>
      <c r="G110" s="2">
        <v>417</v>
      </c>
      <c r="H110" s="2">
        <v>168</v>
      </c>
      <c r="I110" s="2">
        <v>19344</v>
      </c>
      <c r="J110" s="2">
        <v>18395</v>
      </c>
      <c r="K110" s="6">
        <v>30</v>
      </c>
      <c r="L110" s="2">
        <f>Table14[[#This Row],[Likes]]+Table14[[#This Row],[Shares]]+Table14[[#This Row],[Comments]]+Table14[[#This Row],[Clicks]]</f>
        <v>2103</v>
      </c>
      <c r="M110" s="11">
        <f>(Table14[[#This Row],[Likes]]+Table14[[#This Row],[Shares]]+Table14[[#This Row],[Comments]])/Table14[[#This Row],[Impressions]]</f>
        <v>0.1071650124069479</v>
      </c>
      <c r="N110" s="9" t="s">
        <v>58</v>
      </c>
      <c r="O110" s="1"/>
      <c r="P110" s="1"/>
      <c r="Q110" s="1" t="s">
        <v>28</v>
      </c>
    </row>
    <row r="111" spans="1:17" hidden="1" x14ac:dyDescent="0.3">
      <c r="A111" s="1" t="s">
        <v>385</v>
      </c>
      <c r="B111" s="9" t="s">
        <v>24</v>
      </c>
      <c r="C111" s="5" t="s">
        <v>386</v>
      </c>
      <c r="D111" s="9" t="s">
        <v>20</v>
      </c>
      <c r="E111" s="9" t="s">
        <v>99</v>
      </c>
      <c r="F111" s="2">
        <v>1963</v>
      </c>
      <c r="G111" s="2">
        <v>213</v>
      </c>
      <c r="H111" s="2">
        <v>19</v>
      </c>
      <c r="I111" s="2">
        <v>39260</v>
      </c>
      <c r="J111" s="2">
        <v>38771</v>
      </c>
      <c r="K111" s="6">
        <v>145</v>
      </c>
      <c r="L111" s="2">
        <f>Table14[[#This Row],[Likes]]+Table14[[#This Row],[Shares]]+Table14[[#This Row],[Comments]]+Table14[[#This Row],[Clicks]]</f>
        <v>2340</v>
      </c>
      <c r="M111" s="11">
        <f>(Table14[[#This Row],[Likes]]+Table14[[#This Row],[Shares]]+Table14[[#This Row],[Comments]])/Table14[[#This Row],[Impressions]]</f>
        <v>5.5909322465613857E-2</v>
      </c>
      <c r="N111" s="9" t="s">
        <v>58</v>
      </c>
      <c r="O111" s="1"/>
      <c r="P111" s="1"/>
    </row>
    <row r="112" spans="1:17" hidden="1" x14ac:dyDescent="0.3">
      <c r="A112" s="1" t="s">
        <v>500</v>
      </c>
      <c r="B112" s="9" t="s">
        <v>13</v>
      </c>
      <c r="C112" s="5" t="s">
        <v>386</v>
      </c>
      <c r="D112" s="9" t="s">
        <v>15</v>
      </c>
      <c r="E112" s="9" t="s">
        <v>16</v>
      </c>
      <c r="F112" s="2">
        <v>4187</v>
      </c>
      <c r="G112" s="2">
        <v>66</v>
      </c>
      <c r="H112" s="2">
        <v>31</v>
      </c>
      <c r="I112" s="2">
        <v>66992</v>
      </c>
      <c r="J112" s="2">
        <v>66614</v>
      </c>
      <c r="K112" s="6">
        <v>62</v>
      </c>
      <c r="L112" s="2">
        <f>Table14[[#This Row],[Likes]]+Table14[[#This Row],[Shares]]+Table14[[#This Row],[Comments]]+Table14[[#This Row],[Clicks]]</f>
        <v>4346</v>
      </c>
      <c r="M112" s="11">
        <f>(Table14[[#This Row],[Likes]]+Table14[[#This Row],[Shares]]+Table14[[#This Row],[Comments]])/Table14[[#This Row],[Impressions]]</f>
        <v>6.3947934081681396E-2</v>
      </c>
      <c r="N112" s="9" t="s">
        <v>58</v>
      </c>
      <c r="O112" s="1"/>
      <c r="P112" s="1"/>
    </row>
    <row r="113" spans="1:17" hidden="1" x14ac:dyDescent="0.3">
      <c r="A113" s="1" t="s">
        <v>263</v>
      </c>
      <c r="B113" s="9" t="s">
        <v>13</v>
      </c>
      <c r="C113" s="5" t="s">
        <v>264</v>
      </c>
      <c r="D113" s="9" t="s">
        <v>32</v>
      </c>
      <c r="E113" s="9" t="s">
        <v>144</v>
      </c>
      <c r="F113" s="2">
        <v>1957</v>
      </c>
      <c r="G113" s="2">
        <v>877</v>
      </c>
      <c r="H113" s="2">
        <v>238</v>
      </c>
      <c r="I113" s="2">
        <v>17613</v>
      </c>
      <c r="J113" s="2">
        <v>16865</v>
      </c>
      <c r="K113" s="6">
        <v>297</v>
      </c>
      <c r="L113" s="2">
        <f>Table14[[#This Row],[Likes]]+Table14[[#This Row],[Shares]]+Table14[[#This Row],[Comments]]+Table14[[#This Row],[Clicks]]</f>
        <v>3369</v>
      </c>
      <c r="M113" s="11">
        <f>(Table14[[#This Row],[Likes]]+Table14[[#This Row],[Shares]]+Table14[[#This Row],[Comments]])/Table14[[#This Row],[Impressions]]</f>
        <v>0.17441662408448305</v>
      </c>
      <c r="N113" s="9" t="s">
        <v>58</v>
      </c>
      <c r="O113" s="1"/>
      <c r="P113" s="1"/>
      <c r="Q113" s="1" t="s">
        <v>28</v>
      </c>
    </row>
    <row r="114" spans="1:17" hidden="1" x14ac:dyDescent="0.3">
      <c r="A114" s="1" t="s">
        <v>432</v>
      </c>
      <c r="B114" s="9" t="s">
        <v>39</v>
      </c>
      <c r="C114" s="5" t="s">
        <v>433</v>
      </c>
      <c r="D114" s="9" t="s">
        <v>15</v>
      </c>
      <c r="E114" s="9" t="s">
        <v>61</v>
      </c>
      <c r="F114" s="2">
        <v>1814</v>
      </c>
      <c r="G114" s="2">
        <v>653</v>
      </c>
      <c r="H114" s="2">
        <v>363</v>
      </c>
      <c r="I114" s="2">
        <v>25396</v>
      </c>
      <c r="J114" s="2">
        <v>25286</v>
      </c>
      <c r="K114" s="6">
        <v>39</v>
      </c>
      <c r="L114" s="2">
        <f>Table14[[#This Row],[Likes]]+Table14[[#This Row],[Shares]]+Table14[[#This Row],[Comments]]+Table14[[#This Row],[Clicks]]</f>
        <v>2869</v>
      </c>
      <c r="M114" s="11">
        <f>(Table14[[#This Row],[Likes]]+Table14[[#This Row],[Shares]]+Table14[[#This Row],[Comments]])/Table14[[#This Row],[Impressions]]</f>
        <v>0.11143487163332809</v>
      </c>
      <c r="N114" s="9" t="s">
        <v>58</v>
      </c>
      <c r="O114" s="1" t="s">
        <v>552</v>
      </c>
      <c r="P114" s="1"/>
      <c r="Q114" s="1" t="s">
        <v>17</v>
      </c>
    </row>
    <row r="115" spans="1:17" hidden="1" x14ac:dyDescent="0.3">
      <c r="A115" s="1" t="s">
        <v>201</v>
      </c>
      <c r="B115" s="9" t="s">
        <v>30</v>
      </c>
      <c r="C115" s="5" t="s">
        <v>202</v>
      </c>
      <c r="D115" s="9" t="s">
        <v>41</v>
      </c>
      <c r="E115" s="9" t="s">
        <v>84</v>
      </c>
      <c r="F115" s="2">
        <v>3068</v>
      </c>
      <c r="G115" s="2">
        <v>137</v>
      </c>
      <c r="H115" s="2">
        <v>329</v>
      </c>
      <c r="I115" s="2">
        <v>39884</v>
      </c>
      <c r="J115" s="2">
        <v>39404</v>
      </c>
      <c r="K115" s="6">
        <v>266</v>
      </c>
      <c r="L115" s="2">
        <f>Table14[[#This Row],[Likes]]+Table14[[#This Row],[Shares]]+Table14[[#This Row],[Comments]]+Table14[[#This Row],[Clicks]]</f>
        <v>3800</v>
      </c>
      <c r="M115" s="11">
        <f>(Table14[[#This Row],[Likes]]+Table14[[#This Row],[Shares]]+Table14[[#This Row],[Comments]])/Table14[[#This Row],[Impressions]]</f>
        <v>8.860696018453515E-2</v>
      </c>
      <c r="N115" s="9" t="s">
        <v>34</v>
      </c>
      <c r="O115" s="1"/>
      <c r="P115" s="1"/>
      <c r="Q115" s="1" t="s">
        <v>22</v>
      </c>
    </row>
    <row r="116" spans="1:17" hidden="1" x14ac:dyDescent="0.3">
      <c r="A116" s="1" t="s">
        <v>327</v>
      </c>
      <c r="B116" s="9" t="s">
        <v>30</v>
      </c>
      <c r="C116" s="5" t="s">
        <v>202</v>
      </c>
      <c r="D116" s="9" t="s">
        <v>41</v>
      </c>
      <c r="E116" s="9" t="s">
        <v>84</v>
      </c>
      <c r="F116" s="2">
        <v>985</v>
      </c>
      <c r="G116" s="2">
        <v>932</v>
      </c>
      <c r="H116" s="2">
        <v>287</v>
      </c>
      <c r="I116" s="2">
        <v>6895</v>
      </c>
      <c r="J116" s="2">
        <v>6757</v>
      </c>
      <c r="K116" s="6">
        <v>64</v>
      </c>
      <c r="L116" s="2">
        <f>Table14[[#This Row],[Likes]]+Table14[[#This Row],[Shares]]+Table14[[#This Row],[Comments]]+Table14[[#This Row],[Clicks]]</f>
        <v>2268</v>
      </c>
      <c r="M116" s="11">
        <f>(Table14[[#This Row],[Likes]]+Table14[[#This Row],[Shares]]+Table14[[#This Row],[Comments]])/Table14[[#This Row],[Impressions]]</f>
        <v>0.31965192168237855</v>
      </c>
      <c r="N116" s="9" t="s">
        <v>58</v>
      </c>
      <c r="O116" s="1"/>
      <c r="P116" s="1"/>
      <c r="Q116" s="1" t="s">
        <v>35</v>
      </c>
    </row>
    <row r="117" spans="1:17" hidden="1" x14ac:dyDescent="0.3">
      <c r="A117" s="1" t="s">
        <v>468</v>
      </c>
      <c r="B117" s="9" t="s">
        <v>39</v>
      </c>
      <c r="C117" s="5" t="s">
        <v>469</v>
      </c>
      <c r="D117" s="9" t="s">
        <v>48</v>
      </c>
      <c r="E117" s="9" t="s">
        <v>55</v>
      </c>
      <c r="F117" s="2">
        <v>400</v>
      </c>
      <c r="G117" s="2">
        <v>680</v>
      </c>
      <c r="H117" s="2">
        <v>434</v>
      </c>
      <c r="I117" s="2">
        <v>6400</v>
      </c>
      <c r="J117" s="2">
        <v>5472</v>
      </c>
      <c r="K117" s="6">
        <v>160</v>
      </c>
      <c r="L117" s="2">
        <f>Table14[[#This Row],[Likes]]+Table14[[#This Row],[Shares]]+Table14[[#This Row],[Comments]]+Table14[[#This Row],[Clicks]]</f>
        <v>1674</v>
      </c>
      <c r="M117" s="11">
        <f>(Table14[[#This Row],[Likes]]+Table14[[#This Row],[Shares]]+Table14[[#This Row],[Comments]])/Table14[[#This Row],[Impressions]]</f>
        <v>0.23656250000000001</v>
      </c>
      <c r="N117" s="9" t="s">
        <v>58</v>
      </c>
      <c r="O117" s="1"/>
      <c r="P117" s="1"/>
      <c r="Q117" s="1" t="s">
        <v>22</v>
      </c>
    </row>
    <row r="118" spans="1:17" hidden="1" x14ac:dyDescent="0.3">
      <c r="A118" s="1" t="s">
        <v>509</v>
      </c>
      <c r="B118" s="9" t="s">
        <v>24</v>
      </c>
      <c r="C118" s="5" t="s">
        <v>510</v>
      </c>
      <c r="D118" s="9" t="s">
        <v>32</v>
      </c>
      <c r="E118" s="9" t="s">
        <v>149</v>
      </c>
      <c r="F118" s="2">
        <v>3641</v>
      </c>
      <c r="G118" s="2">
        <v>226</v>
      </c>
      <c r="H118" s="2">
        <v>46</v>
      </c>
      <c r="I118" s="2">
        <v>40051</v>
      </c>
      <c r="J118" s="2">
        <v>39319</v>
      </c>
      <c r="K118" s="6">
        <v>296</v>
      </c>
      <c r="L118" s="2">
        <f>Table14[[#This Row],[Likes]]+Table14[[#This Row],[Shares]]+Table14[[#This Row],[Comments]]+Table14[[#This Row],[Clicks]]</f>
        <v>4209</v>
      </c>
      <c r="M118" s="11">
        <f>(Table14[[#This Row],[Likes]]+Table14[[#This Row],[Shares]]+Table14[[#This Row],[Comments]])/Table14[[#This Row],[Impressions]]</f>
        <v>9.7700431949264685E-2</v>
      </c>
      <c r="N118" s="9" t="s">
        <v>34</v>
      </c>
      <c r="O118" s="1"/>
      <c r="P118" s="1"/>
      <c r="Q118" s="1" t="s">
        <v>35</v>
      </c>
    </row>
    <row r="119" spans="1:17" hidden="1" x14ac:dyDescent="0.3">
      <c r="A119" s="1" t="s">
        <v>209</v>
      </c>
      <c r="B119" s="9" t="s">
        <v>24</v>
      </c>
      <c r="C119" s="5" t="s">
        <v>210</v>
      </c>
      <c r="D119" s="9" t="s">
        <v>70</v>
      </c>
      <c r="E119" s="9" t="s">
        <v>211</v>
      </c>
      <c r="F119" s="2">
        <v>1094</v>
      </c>
      <c r="G119" s="2">
        <v>472</v>
      </c>
      <c r="H119" s="2">
        <v>21</v>
      </c>
      <c r="I119" s="2">
        <v>9846</v>
      </c>
      <c r="J119" s="2">
        <v>9609</v>
      </c>
      <c r="K119" s="6">
        <v>112</v>
      </c>
      <c r="L119" s="2">
        <f>Table14[[#This Row],[Likes]]+Table14[[#This Row],[Shares]]+Table14[[#This Row],[Comments]]+Table14[[#This Row],[Clicks]]</f>
        <v>1699</v>
      </c>
      <c r="M119" s="11">
        <f>(Table14[[#This Row],[Likes]]+Table14[[#This Row],[Shares]]+Table14[[#This Row],[Comments]])/Table14[[#This Row],[Impressions]]</f>
        <v>0.16118220597196831</v>
      </c>
      <c r="N119" s="9" t="s">
        <v>34</v>
      </c>
      <c r="O119" s="1"/>
      <c r="P119" s="1"/>
    </row>
    <row r="120" spans="1:17" hidden="1" x14ac:dyDescent="0.3">
      <c r="A120" s="1" t="s">
        <v>506</v>
      </c>
      <c r="B120" s="9" t="s">
        <v>30</v>
      </c>
      <c r="C120" s="5" t="s">
        <v>507</v>
      </c>
      <c r="D120" s="9" t="s">
        <v>70</v>
      </c>
      <c r="E120" s="9" t="s">
        <v>81</v>
      </c>
      <c r="F120" s="2">
        <v>3575</v>
      </c>
      <c r="G120" s="2">
        <v>749</v>
      </c>
      <c r="H120" s="2">
        <v>111</v>
      </c>
      <c r="I120" s="2">
        <v>21450</v>
      </c>
      <c r="J120" s="2">
        <v>20785</v>
      </c>
      <c r="K120" s="6">
        <v>195</v>
      </c>
      <c r="L120" s="2">
        <f>Table14[[#This Row],[Likes]]+Table14[[#This Row],[Shares]]+Table14[[#This Row],[Comments]]+Table14[[#This Row],[Clicks]]</f>
        <v>4630</v>
      </c>
      <c r="M120" s="11">
        <f>(Table14[[#This Row],[Likes]]+Table14[[#This Row],[Shares]]+Table14[[#This Row],[Comments]])/Table14[[#This Row],[Impressions]]</f>
        <v>0.20675990675990677</v>
      </c>
      <c r="N120" s="9" t="s">
        <v>34</v>
      </c>
      <c r="O120" s="1"/>
      <c r="P120" s="1"/>
      <c r="Q120" s="1" t="s">
        <v>22</v>
      </c>
    </row>
    <row r="121" spans="1:17" hidden="1" x14ac:dyDescent="0.3">
      <c r="A121" s="1" t="s">
        <v>191</v>
      </c>
      <c r="B121" s="9" t="s">
        <v>39</v>
      </c>
      <c r="C121" s="5" t="s">
        <v>192</v>
      </c>
      <c r="D121" s="9" t="s">
        <v>32</v>
      </c>
      <c r="E121" s="9" t="s">
        <v>67</v>
      </c>
      <c r="F121" s="2">
        <v>4126</v>
      </c>
      <c r="G121" s="2">
        <v>426</v>
      </c>
      <c r="H121" s="2">
        <v>486</v>
      </c>
      <c r="I121" s="2">
        <v>78394</v>
      </c>
      <c r="J121" s="2">
        <v>77798</v>
      </c>
      <c r="K121" s="6">
        <v>88</v>
      </c>
      <c r="L121" s="2">
        <f>Table14[[#This Row],[Likes]]+Table14[[#This Row],[Shares]]+Table14[[#This Row],[Comments]]+Table14[[#This Row],[Clicks]]</f>
        <v>5126</v>
      </c>
      <c r="M121" s="11">
        <f>(Table14[[#This Row],[Likes]]+Table14[[#This Row],[Shares]]+Table14[[#This Row],[Comments]])/Table14[[#This Row],[Impressions]]</f>
        <v>6.4265122330790625E-2</v>
      </c>
      <c r="N121" s="9" t="s">
        <v>58</v>
      </c>
      <c r="O121" s="1"/>
      <c r="P121" s="1"/>
      <c r="Q121" s="1" t="s">
        <v>35</v>
      </c>
    </row>
    <row r="122" spans="1:17" hidden="1" x14ac:dyDescent="0.3">
      <c r="A122" s="1" t="s">
        <v>242</v>
      </c>
      <c r="B122" s="9" t="s">
        <v>24</v>
      </c>
      <c r="C122" s="5" t="s">
        <v>192</v>
      </c>
      <c r="D122" s="9" t="s">
        <v>70</v>
      </c>
      <c r="E122" s="9" t="s">
        <v>211</v>
      </c>
      <c r="F122" s="2">
        <v>4450</v>
      </c>
      <c r="G122" s="2">
        <v>983</v>
      </c>
      <c r="H122" s="2">
        <v>143</v>
      </c>
      <c r="I122" s="2">
        <v>75650</v>
      </c>
      <c r="J122" s="2">
        <v>75008</v>
      </c>
      <c r="K122" s="6">
        <v>12</v>
      </c>
      <c r="L122" s="2">
        <f>Table14[[#This Row],[Likes]]+Table14[[#This Row],[Shares]]+Table14[[#This Row],[Comments]]+Table14[[#This Row],[Clicks]]</f>
        <v>5588</v>
      </c>
      <c r="M122" s="11">
        <f>(Table14[[#This Row],[Likes]]+Table14[[#This Row],[Shares]]+Table14[[#This Row],[Comments]])/Table14[[#This Row],[Impressions]]</f>
        <v>7.3707865168539333E-2</v>
      </c>
      <c r="N122" s="9" t="s">
        <v>58</v>
      </c>
      <c r="O122" s="1"/>
      <c r="P122" s="1"/>
      <c r="Q122" s="1" t="s">
        <v>28</v>
      </c>
    </row>
    <row r="123" spans="1:17" hidden="1" x14ac:dyDescent="0.3">
      <c r="A123" s="1" t="s">
        <v>204</v>
      </c>
      <c r="B123" s="9" t="s">
        <v>30</v>
      </c>
      <c r="C123" s="5" t="s">
        <v>205</v>
      </c>
      <c r="D123" s="9" t="s">
        <v>32</v>
      </c>
      <c r="E123" s="9" t="s">
        <v>33</v>
      </c>
      <c r="F123" s="2">
        <v>1816</v>
      </c>
      <c r="G123" s="2">
        <v>29</v>
      </c>
      <c r="H123" s="2">
        <v>41</v>
      </c>
      <c r="I123" s="2">
        <v>19976</v>
      </c>
      <c r="J123" s="2">
        <v>19262</v>
      </c>
      <c r="K123" s="6">
        <v>283</v>
      </c>
      <c r="L123" s="2">
        <f>Table14[[#This Row],[Likes]]+Table14[[#This Row],[Shares]]+Table14[[#This Row],[Comments]]+Table14[[#This Row],[Clicks]]</f>
        <v>2169</v>
      </c>
      <c r="M123" s="11">
        <f>(Table14[[#This Row],[Likes]]+Table14[[#This Row],[Shares]]+Table14[[#This Row],[Comments]])/Table14[[#This Row],[Impressions]]</f>
        <v>9.4413295955146179E-2</v>
      </c>
      <c r="N123" s="9" t="s">
        <v>27</v>
      </c>
      <c r="O123" s="1"/>
      <c r="P123" s="1"/>
      <c r="Q123" s="1" t="s">
        <v>28</v>
      </c>
    </row>
    <row r="124" spans="1:17" hidden="1" x14ac:dyDescent="0.3">
      <c r="A124" s="1" t="s">
        <v>161</v>
      </c>
      <c r="B124" s="9" t="s">
        <v>13</v>
      </c>
      <c r="C124" s="5" t="s">
        <v>162</v>
      </c>
      <c r="D124" s="9" t="s">
        <v>70</v>
      </c>
      <c r="E124" s="9" t="s">
        <v>140</v>
      </c>
      <c r="F124" s="2">
        <v>2825</v>
      </c>
      <c r="G124" s="2">
        <v>535</v>
      </c>
      <c r="H124" s="2">
        <v>295</v>
      </c>
      <c r="I124" s="2">
        <v>45200</v>
      </c>
      <c r="J124" s="2">
        <v>44739</v>
      </c>
      <c r="K124" s="6">
        <v>169</v>
      </c>
      <c r="L124" s="2">
        <f>Table14[[#This Row],[Likes]]+Table14[[#This Row],[Shares]]+Table14[[#This Row],[Comments]]+Table14[[#This Row],[Clicks]]</f>
        <v>3824</v>
      </c>
      <c r="M124" s="11">
        <f>(Table14[[#This Row],[Likes]]+Table14[[#This Row],[Shares]]+Table14[[#This Row],[Comments]])/Table14[[#This Row],[Impressions]]</f>
        <v>8.0862831858407078E-2</v>
      </c>
      <c r="N124" s="9" t="s">
        <v>27</v>
      </c>
      <c r="O124" s="1"/>
      <c r="P124" s="1"/>
      <c r="Q124" s="1" t="s">
        <v>17</v>
      </c>
    </row>
    <row r="125" spans="1:17" hidden="1" x14ac:dyDescent="0.3">
      <c r="A125" s="1" t="s">
        <v>519</v>
      </c>
      <c r="B125" s="9" t="s">
        <v>24</v>
      </c>
      <c r="C125" s="5" t="s">
        <v>162</v>
      </c>
      <c r="D125" s="9" t="s">
        <v>70</v>
      </c>
      <c r="E125" s="9" t="s">
        <v>211</v>
      </c>
      <c r="F125" s="2">
        <v>4275</v>
      </c>
      <c r="G125" s="2">
        <v>680</v>
      </c>
      <c r="H125" s="2">
        <v>385</v>
      </c>
      <c r="I125" s="2">
        <v>64125</v>
      </c>
      <c r="J125" s="2">
        <v>63650</v>
      </c>
      <c r="K125" s="6">
        <v>104</v>
      </c>
      <c r="L125" s="2">
        <f>Table14[[#This Row],[Likes]]+Table14[[#This Row],[Shares]]+Table14[[#This Row],[Comments]]+Table14[[#This Row],[Clicks]]</f>
        <v>5444</v>
      </c>
      <c r="M125" s="11">
        <f>(Table14[[#This Row],[Likes]]+Table14[[#This Row],[Shares]]+Table14[[#This Row],[Comments]])/Table14[[#This Row],[Impressions]]</f>
        <v>8.3274853801169585E-2</v>
      </c>
      <c r="N125" s="9" t="s">
        <v>34</v>
      </c>
      <c r="O125" s="1" t="s">
        <v>27</v>
      </c>
      <c r="P125" s="1" t="s">
        <v>551</v>
      </c>
      <c r="Q125" s="1" t="s">
        <v>35</v>
      </c>
    </row>
    <row r="126" spans="1:17" hidden="1" x14ac:dyDescent="0.3">
      <c r="A126" s="1" t="s">
        <v>292</v>
      </c>
      <c r="B126" s="9" t="s">
        <v>30</v>
      </c>
      <c r="C126" s="5" t="s">
        <v>162</v>
      </c>
      <c r="D126" s="9" t="s">
        <v>15</v>
      </c>
      <c r="E126" s="9" t="s">
        <v>78</v>
      </c>
      <c r="F126" s="2">
        <v>4840</v>
      </c>
      <c r="G126" s="2">
        <v>658</v>
      </c>
      <c r="H126" s="2">
        <v>211</v>
      </c>
      <c r="I126" s="2">
        <v>43560</v>
      </c>
      <c r="J126" s="2">
        <v>43225</v>
      </c>
      <c r="K126" s="6">
        <v>57</v>
      </c>
      <c r="L126" s="2">
        <f>Table14[[#This Row],[Likes]]+Table14[[#This Row],[Shares]]+Table14[[#This Row],[Comments]]+Table14[[#This Row],[Clicks]]</f>
        <v>5766</v>
      </c>
      <c r="M126" s="11">
        <f>(Table14[[#This Row],[Likes]]+Table14[[#This Row],[Shares]]+Table14[[#This Row],[Comments]])/Table14[[#This Row],[Impressions]]</f>
        <v>0.13106060606060607</v>
      </c>
      <c r="N126" s="9" t="s">
        <v>58</v>
      </c>
      <c r="O126" s="1"/>
      <c r="P126" s="1"/>
      <c r="Q126" s="1" t="s">
        <v>28</v>
      </c>
    </row>
    <row r="127" spans="1:17" hidden="1" x14ac:dyDescent="0.3">
      <c r="A127" s="1" t="s">
        <v>227</v>
      </c>
      <c r="B127" s="9" t="s">
        <v>13</v>
      </c>
      <c r="C127" s="5" t="s">
        <v>162</v>
      </c>
      <c r="D127" s="9" t="s">
        <v>32</v>
      </c>
      <c r="E127" s="9" t="s">
        <v>144</v>
      </c>
      <c r="F127" s="2">
        <v>3801</v>
      </c>
      <c r="G127" s="2">
        <v>967</v>
      </c>
      <c r="H127" s="2">
        <v>401</v>
      </c>
      <c r="I127" s="2">
        <v>38010</v>
      </c>
      <c r="J127" s="2">
        <v>37625</v>
      </c>
      <c r="K127" s="6">
        <v>236</v>
      </c>
      <c r="L127" s="2">
        <f>Table14[[#This Row],[Likes]]+Table14[[#This Row],[Shares]]+Table14[[#This Row],[Comments]]+Table14[[#This Row],[Clicks]]</f>
        <v>5405</v>
      </c>
      <c r="M127" s="11">
        <f>(Table14[[#This Row],[Likes]]+Table14[[#This Row],[Shares]]+Table14[[#This Row],[Comments]])/Table14[[#This Row],[Impressions]]</f>
        <v>0.13599052880820836</v>
      </c>
      <c r="N127" s="9" t="s">
        <v>58</v>
      </c>
      <c r="O127" s="1"/>
      <c r="P127" s="1"/>
      <c r="Q127" s="1" t="s">
        <v>28</v>
      </c>
    </row>
    <row r="128" spans="1:17" hidden="1" x14ac:dyDescent="0.3">
      <c r="A128" s="1" t="s">
        <v>316</v>
      </c>
      <c r="B128" s="9" t="s">
        <v>30</v>
      </c>
      <c r="C128" s="5" t="s">
        <v>162</v>
      </c>
      <c r="D128" s="9" t="s">
        <v>15</v>
      </c>
      <c r="E128" s="9" t="s">
        <v>78</v>
      </c>
      <c r="F128" s="2">
        <v>3256</v>
      </c>
      <c r="G128" s="2">
        <v>459</v>
      </c>
      <c r="H128" s="2">
        <v>266</v>
      </c>
      <c r="I128" s="2">
        <v>26048</v>
      </c>
      <c r="J128" s="2">
        <v>25529</v>
      </c>
      <c r="K128" s="6">
        <v>143</v>
      </c>
      <c r="L128" s="2">
        <f>Table14[[#This Row],[Likes]]+Table14[[#This Row],[Shares]]+Table14[[#This Row],[Comments]]+Table14[[#This Row],[Clicks]]</f>
        <v>4124</v>
      </c>
      <c r="M128" s="11">
        <f>(Table14[[#This Row],[Likes]]+Table14[[#This Row],[Shares]]+Table14[[#This Row],[Comments]])/Table14[[#This Row],[Impressions]]</f>
        <v>0.15283323095823095</v>
      </c>
      <c r="N128" s="9" t="s">
        <v>27</v>
      </c>
      <c r="O128" s="1"/>
      <c r="P128" s="1"/>
      <c r="Q128" s="1" t="s">
        <v>22</v>
      </c>
    </row>
    <row r="129" spans="1:17" hidden="1" x14ac:dyDescent="0.3">
      <c r="A129" s="1" t="s">
        <v>278</v>
      </c>
      <c r="B129" s="9" t="s">
        <v>39</v>
      </c>
      <c r="C129" s="5" t="s">
        <v>162</v>
      </c>
      <c r="D129" s="9" t="s">
        <v>32</v>
      </c>
      <c r="E129" s="9" t="s">
        <v>67</v>
      </c>
      <c r="F129" s="2">
        <v>780</v>
      </c>
      <c r="G129" s="2">
        <v>928</v>
      </c>
      <c r="H129" s="2">
        <v>301</v>
      </c>
      <c r="I129" s="2">
        <v>8580</v>
      </c>
      <c r="J129" s="2">
        <v>8081</v>
      </c>
      <c r="K129" s="6">
        <v>91</v>
      </c>
      <c r="L129" s="2">
        <f>Table14[[#This Row],[Likes]]+Table14[[#This Row],[Shares]]+Table14[[#This Row],[Comments]]+Table14[[#This Row],[Clicks]]</f>
        <v>2100</v>
      </c>
      <c r="M129" s="11">
        <f>(Table14[[#This Row],[Likes]]+Table14[[#This Row],[Shares]]+Table14[[#This Row],[Comments]])/Table14[[#This Row],[Impressions]]</f>
        <v>0.23414918414918415</v>
      </c>
      <c r="N129" s="9" t="s">
        <v>34</v>
      </c>
      <c r="O129" s="1"/>
      <c r="P129" s="1"/>
      <c r="Q129" s="1" t="s">
        <v>28</v>
      </c>
    </row>
    <row r="130" spans="1:17" hidden="1" x14ac:dyDescent="0.3">
      <c r="A130" s="1" t="s">
        <v>397</v>
      </c>
      <c r="B130" s="9" t="s">
        <v>13</v>
      </c>
      <c r="C130" s="5" t="s">
        <v>331</v>
      </c>
      <c r="D130" s="9" t="s">
        <v>15</v>
      </c>
      <c r="E130" s="9" t="s">
        <v>16</v>
      </c>
      <c r="F130" s="2">
        <v>4782</v>
      </c>
      <c r="G130" s="2">
        <v>721</v>
      </c>
      <c r="H130" s="2">
        <v>82</v>
      </c>
      <c r="I130" s="2">
        <v>86076</v>
      </c>
      <c r="J130" s="2">
        <v>85339</v>
      </c>
      <c r="K130" s="6">
        <v>19</v>
      </c>
      <c r="L130" s="2">
        <f>Table14[[#This Row],[Likes]]+Table14[[#This Row],[Shares]]+Table14[[#This Row],[Comments]]+Table14[[#This Row],[Clicks]]</f>
        <v>5604</v>
      </c>
      <c r="M130" s="11">
        <f>(Table14[[#This Row],[Likes]]+Table14[[#This Row],[Shares]]+Table14[[#This Row],[Comments]])/Table14[[#This Row],[Impressions]]</f>
        <v>6.4884520656164318E-2</v>
      </c>
      <c r="N130" s="9" t="s">
        <v>34</v>
      </c>
      <c r="O130" s="1"/>
      <c r="P130" s="1"/>
      <c r="Q130" s="1" t="s">
        <v>17</v>
      </c>
    </row>
    <row r="131" spans="1:17" hidden="1" x14ac:dyDescent="0.3">
      <c r="A131" s="1" t="s">
        <v>454</v>
      </c>
      <c r="B131" s="9" t="s">
        <v>30</v>
      </c>
      <c r="C131" s="5" t="s">
        <v>331</v>
      </c>
      <c r="D131" s="9" t="s">
        <v>32</v>
      </c>
      <c r="E131" s="9" t="s">
        <v>33</v>
      </c>
      <c r="F131" s="2">
        <v>3770</v>
      </c>
      <c r="G131" s="2">
        <v>917</v>
      </c>
      <c r="H131" s="2">
        <v>129</v>
      </c>
      <c r="I131" s="2">
        <v>71630</v>
      </c>
      <c r="J131" s="2">
        <v>71322</v>
      </c>
      <c r="K131" s="6">
        <v>76</v>
      </c>
      <c r="L131" s="2">
        <f>Table14[[#This Row],[Likes]]+Table14[[#This Row],[Shares]]+Table14[[#This Row],[Comments]]+Table14[[#This Row],[Clicks]]</f>
        <v>4892</v>
      </c>
      <c r="M131" s="11">
        <f>(Table14[[#This Row],[Likes]]+Table14[[#This Row],[Shares]]+Table14[[#This Row],[Comments]])/Table14[[#This Row],[Impressions]]</f>
        <v>6.7234398994834563E-2</v>
      </c>
      <c r="N131" s="9" t="s">
        <v>58</v>
      </c>
      <c r="O131" s="1"/>
      <c r="P131" s="1"/>
      <c r="Q131" s="1" t="s">
        <v>17</v>
      </c>
    </row>
    <row r="132" spans="1:17" hidden="1" x14ac:dyDescent="0.3">
      <c r="A132" s="1" t="s">
        <v>330</v>
      </c>
      <c r="B132" s="9" t="s">
        <v>39</v>
      </c>
      <c r="C132" s="5" t="s">
        <v>331</v>
      </c>
      <c r="D132" s="9" t="s">
        <v>41</v>
      </c>
      <c r="E132" s="9" t="s">
        <v>42</v>
      </c>
      <c r="F132" s="2">
        <v>3352</v>
      </c>
      <c r="G132" s="2">
        <v>941</v>
      </c>
      <c r="H132" s="2">
        <v>482</v>
      </c>
      <c r="I132" s="2">
        <v>43576</v>
      </c>
      <c r="J132" s="2">
        <v>43338</v>
      </c>
      <c r="K132" s="6">
        <v>240</v>
      </c>
      <c r="L132" s="2">
        <f>Table14[[#This Row],[Likes]]+Table14[[#This Row],[Shares]]+Table14[[#This Row],[Comments]]+Table14[[#This Row],[Clicks]]</f>
        <v>5015</v>
      </c>
      <c r="M132" s="11">
        <f>(Table14[[#This Row],[Likes]]+Table14[[#This Row],[Shares]]+Table14[[#This Row],[Comments]])/Table14[[#This Row],[Impressions]]</f>
        <v>0.1095786671562328</v>
      </c>
      <c r="N132" s="9" t="s">
        <v>58</v>
      </c>
      <c r="O132" s="1"/>
      <c r="P132" s="1"/>
      <c r="Q132" s="1" t="s">
        <v>22</v>
      </c>
    </row>
    <row r="133" spans="1:17" hidden="1" x14ac:dyDescent="0.3">
      <c r="A133" s="1" t="s">
        <v>548</v>
      </c>
      <c r="B133" s="9" t="s">
        <v>39</v>
      </c>
      <c r="C133" s="5" t="s">
        <v>69</v>
      </c>
      <c r="D133" s="9" t="s">
        <v>48</v>
      </c>
      <c r="E133" s="9" t="s">
        <v>55</v>
      </c>
      <c r="F133" s="2">
        <v>4303</v>
      </c>
      <c r="G133" s="2">
        <v>451</v>
      </c>
      <c r="H133" s="2">
        <v>286</v>
      </c>
      <c r="I133" s="2">
        <v>86060</v>
      </c>
      <c r="J133" s="2">
        <v>85823</v>
      </c>
      <c r="K133" s="6">
        <v>14</v>
      </c>
      <c r="L133" s="2">
        <f>Table14[[#This Row],[Likes]]+Table14[[#This Row],[Shares]]+Table14[[#This Row],[Comments]]+Table14[[#This Row],[Clicks]]</f>
        <v>5054</v>
      </c>
      <c r="M133" s="11">
        <f>(Table14[[#This Row],[Likes]]+Table14[[#This Row],[Shares]]+Table14[[#This Row],[Comments]])/Table14[[#This Row],[Impressions]]</f>
        <v>5.8563792702765516E-2</v>
      </c>
      <c r="N133" s="9" t="s">
        <v>27</v>
      </c>
      <c r="O133" s="1"/>
      <c r="P133" s="1"/>
      <c r="Q133" s="1" t="s">
        <v>28</v>
      </c>
    </row>
    <row r="134" spans="1:17" hidden="1" x14ac:dyDescent="0.3">
      <c r="A134" s="1" t="s">
        <v>68</v>
      </c>
      <c r="B134" s="9" t="s">
        <v>39</v>
      </c>
      <c r="C134" s="5" t="s">
        <v>69</v>
      </c>
      <c r="D134" s="9" t="s">
        <v>70</v>
      </c>
      <c r="E134" s="9" t="s">
        <v>71</v>
      </c>
      <c r="F134" s="2">
        <v>3888</v>
      </c>
      <c r="G134" s="2">
        <v>604</v>
      </c>
      <c r="H134" s="2">
        <v>128</v>
      </c>
      <c r="I134" s="2">
        <v>77760</v>
      </c>
      <c r="J134" s="2">
        <v>77167</v>
      </c>
      <c r="K134" s="6">
        <v>20</v>
      </c>
      <c r="L134" s="2">
        <f>Table14[[#This Row],[Likes]]+Table14[[#This Row],[Shares]]+Table14[[#This Row],[Comments]]+Table14[[#This Row],[Clicks]]</f>
        <v>4640</v>
      </c>
      <c r="M134" s="11">
        <f>(Table14[[#This Row],[Likes]]+Table14[[#This Row],[Shares]]+Table14[[#This Row],[Comments]])/Table14[[#This Row],[Impressions]]</f>
        <v>5.941358024691358E-2</v>
      </c>
      <c r="N134" s="9" t="s">
        <v>58</v>
      </c>
      <c r="O134" s="1"/>
      <c r="P134" s="1"/>
      <c r="Q134" s="1" t="s">
        <v>17</v>
      </c>
    </row>
    <row r="135" spans="1:17" hidden="1" x14ac:dyDescent="0.3">
      <c r="A135" s="1" t="s">
        <v>464</v>
      </c>
      <c r="B135" s="9" t="s">
        <v>24</v>
      </c>
      <c r="C135" s="5" t="s">
        <v>465</v>
      </c>
      <c r="D135" s="9" t="s">
        <v>70</v>
      </c>
      <c r="E135" s="9" t="s">
        <v>211</v>
      </c>
      <c r="F135" s="2">
        <v>4661</v>
      </c>
      <c r="G135" s="2">
        <v>935</v>
      </c>
      <c r="H135" s="2">
        <v>433</v>
      </c>
      <c r="I135" s="2">
        <v>23305</v>
      </c>
      <c r="J135" s="2">
        <v>22583</v>
      </c>
      <c r="K135" s="6">
        <v>63</v>
      </c>
      <c r="L135" s="2">
        <f>Table14[[#This Row],[Likes]]+Table14[[#This Row],[Shares]]+Table14[[#This Row],[Comments]]+Table14[[#This Row],[Clicks]]</f>
        <v>6092</v>
      </c>
      <c r="M135" s="11">
        <f>(Table14[[#This Row],[Likes]]+Table14[[#This Row],[Shares]]+Table14[[#This Row],[Comments]])/Table14[[#This Row],[Impressions]]</f>
        <v>0.25869984981763572</v>
      </c>
      <c r="N135" s="9" t="s">
        <v>58</v>
      </c>
      <c r="O135" s="1"/>
      <c r="P135" s="1"/>
      <c r="Q135" s="1" t="s">
        <v>28</v>
      </c>
    </row>
    <row r="136" spans="1:17" hidden="1" x14ac:dyDescent="0.3">
      <c r="A136" s="1" t="s">
        <v>490</v>
      </c>
      <c r="B136" s="9" t="s">
        <v>30</v>
      </c>
      <c r="C136" s="5" t="s">
        <v>491</v>
      </c>
      <c r="D136" s="9" t="s">
        <v>48</v>
      </c>
      <c r="E136" s="9" t="s">
        <v>208</v>
      </c>
      <c r="F136" s="2">
        <v>4853</v>
      </c>
      <c r="G136" s="2">
        <v>837</v>
      </c>
      <c r="H136" s="2">
        <v>340</v>
      </c>
      <c r="I136" s="2">
        <v>72795</v>
      </c>
      <c r="J136" s="2">
        <v>72237</v>
      </c>
      <c r="K136" s="6">
        <v>170</v>
      </c>
      <c r="L136" s="2">
        <f>Table14[[#This Row],[Likes]]+Table14[[#This Row],[Shares]]+Table14[[#This Row],[Comments]]+Table14[[#This Row],[Clicks]]</f>
        <v>6200</v>
      </c>
      <c r="M136" s="11">
        <f>(Table14[[#This Row],[Likes]]+Table14[[#This Row],[Shares]]+Table14[[#This Row],[Comments]])/Table14[[#This Row],[Impressions]]</f>
        <v>8.2835359571399134E-2</v>
      </c>
      <c r="N136" s="9" t="s">
        <v>34</v>
      </c>
      <c r="O136" s="1"/>
      <c r="P136" s="1"/>
      <c r="Q136" s="1" t="s">
        <v>17</v>
      </c>
    </row>
    <row r="137" spans="1:17" hidden="1" x14ac:dyDescent="0.3">
      <c r="A137" s="1" t="s">
        <v>312</v>
      </c>
      <c r="B137" s="9" t="s">
        <v>24</v>
      </c>
      <c r="C137" s="5" t="s">
        <v>194</v>
      </c>
      <c r="D137" s="9" t="s">
        <v>32</v>
      </c>
      <c r="E137" s="9" t="s">
        <v>149</v>
      </c>
      <c r="F137" s="2">
        <v>4929</v>
      </c>
      <c r="G137" s="2">
        <v>749</v>
      </c>
      <c r="H137" s="2">
        <v>452</v>
      </c>
      <c r="I137" s="2">
        <v>93651</v>
      </c>
      <c r="J137" s="2">
        <v>92810</v>
      </c>
      <c r="K137" s="6">
        <v>66</v>
      </c>
      <c r="L137" s="2">
        <f>Table14[[#This Row],[Likes]]+Table14[[#This Row],[Shares]]+Table14[[#This Row],[Comments]]+Table14[[#This Row],[Clicks]]</f>
        <v>6196</v>
      </c>
      <c r="M137" s="11">
        <f>(Table14[[#This Row],[Likes]]+Table14[[#This Row],[Shares]]+Table14[[#This Row],[Comments]])/Table14[[#This Row],[Impressions]]</f>
        <v>6.5455787978772245E-2</v>
      </c>
      <c r="N137" s="9" t="s">
        <v>34</v>
      </c>
      <c r="O137" s="1"/>
      <c r="P137" s="1"/>
      <c r="Q137" s="1" t="s">
        <v>35</v>
      </c>
    </row>
    <row r="138" spans="1:17" hidden="1" x14ac:dyDescent="0.3">
      <c r="A138" s="1" t="s">
        <v>193</v>
      </c>
      <c r="B138" s="9" t="s">
        <v>24</v>
      </c>
      <c r="C138" s="5" t="s">
        <v>194</v>
      </c>
      <c r="D138" s="9" t="s">
        <v>15</v>
      </c>
      <c r="E138" s="9" t="s">
        <v>26</v>
      </c>
      <c r="F138" s="2">
        <v>1855</v>
      </c>
      <c r="G138" s="2">
        <v>200</v>
      </c>
      <c r="H138" s="2">
        <v>174</v>
      </c>
      <c r="I138" s="2">
        <v>16695</v>
      </c>
      <c r="J138" s="2">
        <v>16330</v>
      </c>
      <c r="K138" s="6">
        <v>123</v>
      </c>
      <c r="L138" s="2">
        <f>Table14[[#This Row],[Likes]]+Table14[[#This Row],[Shares]]+Table14[[#This Row],[Comments]]+Table14[[#This Row],[Clicks]]</f>
        <v>2352</v>
      </c>
      <c r="M138" s="11">
        <f>(Table14[[#This Row],[Likes]]+Table14[[#This Row],[Shares]]+Table14[[#This Row],[Comments]])/Table14[[#This Row],[Impressions]]</f>
        <v>0.13351302785265048</v>
      </c>
      <c r="N138" s="9" t="s">
        <v>27</v>
      </c>
      <c r="O138" s="1"/>
      <c r="P138" s="1"/>
      <c r="Q138" s="1" t="s">
        <v>28</v>
      </c>
    </row>
    <row r="139" spans="1:17" hidden="1" x14ac:dyDescent="0.3">
      <c r="A139" s="1" t="s">
        <v>304</v>
      </c>
      <c r="B139" s="9" t="s">
        <v>24</v>
      </c>
      <c r="C139" s="5" t="s">
        <v>305</v>
      </c>
      <c r="D139" s="9" t="s">
        <v>20</v>
      </c>
      <c r="E139" s="9" t="s">
        <v>99</v>
      </c>
      <c r="F139" s="2">
        <v>2746</v>
      </c>
      <c r="G139" s="2">
        <v>156</v>
      </c>
      <c r="H139" s="2">
        <v>203</v>
      </c>
      <c r="I139" s="2">
        <v>32952</v>
      </c>
      <c r="J139" s="2">
        <v>32147</v>
      </c>
      <c r="K139" s="6">
        <v>147</v>
      </c>
      <c r="L139" s="2">
        <f>Table14[[#This Row],[Likes]]+Table14[[#This Row],[Shares]]+Table14[[#This Row],[Comments]]+Table14[[#This Row],[Clicks]]</f>
        <v>3252</v>
      </c>
      <c r="M139" s="11">
        <f>(Table14[[#This Row],[Likes]]+Table14[[#This Row],[Shares]]+Table14[[#This Row],[Comments]])/Table14[[#This Row],[Impressions]]</f>
        <v>9.422796795338674E-2</v>
      </c>
      <c r="N139" s="9" t="s">
        <v>34</v>
      </c>
      <c r="O139" s="1"/>
      <c r="P139" s="1"/>
      <c r="Q139" s="1" t="s">
        <v>17</v>
      </c>
    </row>
    <row r="140" spans="1:17" hidden="1" x14ac:dyDescent="0.3">
      <c r="A140" s="1" t="s">
        <v>38</v>
      </c>
      <c r="B140" s="9" t="s">
        <v>39</v>
      </c>
      <c r="C140" s="5" t="s">
        <v>40</v>
      </c>
      <c r="D140" s="9" t="s">
        <v>41</v>
      </c>
      <c r="E140" s="9" t="s">
        <v>42</v>
      </c>
      <c r="F140" s="2">
        <v>2945</v>
      </c>
      <c r="G140" s="2">
        <v>930</v>
      </c>
      <c r="H140" s="2">
        <v>355</v>
      </c>
      <c r="I140" s="2">
        <v>23560</v>
      </c>
      <c r="J140" s="2">
        <v>23275</v>
      </c>
      <c r="K140" s="6">
        <v>256</v>
      </c>
      <c r="L140" s="2">
        <f>Table14[[#This Row],[Likes]]+Table14[[#This Row],[Shares]]+Table14[[#This Row],[Comments]]+Table14[[#This Row],[Clicks]]</f>
        <v>4486</v>
      </c>
      <c r="M140" s="11">
        <f>(Table14[[#This Row],[Likes]]+Table14[[#This Row],[Shares]]+Table14[[#This Row],[Comments]])/Table14[[#This Row],[Impressions]]</f>
        <v>0.17954159592529711</v>
      </c>
      <c r="N140" s="9" t="s">
        <v>27</v>
      </c>
      <c r="O140" s="1"/>
      <c r="P140" s="1"/>
      <c r="Q140" s="1" t="s">
        <v>22</v>
      </c>
    </row>
    <row r="141" spans="1:17" hidden="1" x14ac:dyDescent="0.3">
      <c r="A141" s="1" t="s">
        <v>136</v>
      </c>
      <c r="B141" s="9" t="s">
        <v>39</v>
      </c>
      <c r="C141" s="5" t="s">
        <v>137</v>
      </c>
      <c r="D141" s="9" t="s">
        <v>70</v>
      </c>
      <c r="E141" s="9" t="s">
        <v>71</v>
      </c>
      <c r="F141" s="2">
        <v>3371</v>
      </c>
      <c r="G141" s="2">
        <v>106</v>
      </c>
      <c r="H141" s="2">
        <v>327</v>
      </c>
      <c r="I141" s="2">
        <v>50565</v>
      </c>
      <c r="J141" s="2">
        <v>49816</v>
      </c>
      <c r="K141" s="6">
        <v>176</v>
      </c>
      <c r="L141" s="2">
        <f>Table14[[#This Row],[Likes]]+Table14[[#This Row],[Shares]]+Table14[[#This Row],[Comments]]+Table14[[#This Row],[Clicks]]</f>
        <v>3980</v>
      </c>
      <c r="M141" s="11">
        <f>(Table14[[#This Row],[Likes]]+Table14[[#This Row],[Shares]]+Table14[[#This Row],[Comments]])/Table14[[#This Row],[Impressions]]</f>
        <v>7.5229902106199939E-2</v>
      </c>
      <c r="N141" s="9" t="s">
        <v>58</v>
      </c>
      <c r="O141" s="1"/>
      <c r="P141" s="1"/>
      <c r="Q141" s="1" t="s">
        <v>17</v>
      </c>
    </row>
    <row r="142" spans="1:17" hidden="1" x14ac:dyDescent="0.3">
      <c r="A142" s="1" t="s">
        <v>275</v>
      </c>
      <c r="B142" s="9" t="s">
        <v>39</v>
      </c>
      <c r="C142" s="5" t="s">
        <v>274</v>
      </c>
      <c r="D142" s="9" t="s">
        <v>48</v>
      </c>
      <c r="E142" s="9" t="s">
        <v>55</v>
      </c>
      <c r="F142" s="2">
        <v>4551</v>
      </c>
      <c r="G142" s="2">
        <v>714</v>
      </c>
      <c r="H142" s="2">
        <v>207</v>
      </c>
      <c r="I142" s="2">
        <v>68265</v>
      </c>
      <c r="J142" s="2">
        <v>67754</v>
      </c>
      <c r="K142" s="6">
        <v>57</v>
      </c>
      <c r="L142" s="2">
        <f>Table14[[#This Row],[Likes]]+Table14[[#This Row],[Shares]]+Table14[[#This Row],[Comments]]+Table14[[#This Row],[Clicks]]</f>
        <v>5529</v>
      </c>
      <c r="M142" s="11">
        <f>(Table14[[#This Row],[Likes]]+Table14[[#This Row],[Shares]]+Table14[[#This Row],[Comments]])/Table14[[#This Row],[Impressions]]</f>
        <v>8.0158206987475278E-2</v>
      </c>
      <c r="N142" s="9" t="s">
        <v>58</v>
      </c>
      <c r="O142" s="1"/>
      <c r="P142" s="1"/>
      <c r="Q142" s="1" t="s">
        <v>28</v>
      </c>
    </row>
    <row r="143" spans="1:17" hidden="1" x14ac:dyDescent="0.3">
      <c r="A143" s="1" t="s">
        <v>273</v>
      </c>
      <c r="B143" s="9" t="s">
        <v>13</v>
      </c>
      <c r="C143" s="5" t="s">
        <v>274</v>
      </c>
      <c r="D143" s="9" t="s">
        <v>48</v>
      </c>
      <c r="E143" s="9" t="s">
        <v>127</v>
      </c>
      <c r="F143" s="2">
        <v>1606</v>
      </c>
      <c r="G143" s="2">
        <v>451</v>
      </c>
      <c r="H143" s="2">
        <v>405</v>
      </c>
      <c r="I143" s="2">
        <v>20878</v>
      </c>
      <c r="J143" s="2">
        <v>20190</v>
      </c>
      <c r="K143" s="6">
        <v>219</v>
      </c>
      <c r="L143" s="2">
        <f>Table14[[#This Row],[Likes]]+Table14[[#This Row],[Shares]]+Table14[[#This Row],[Comments]]+Table14[[#This Row],[Clicks]]</f>
        <v>2681</v>
      </c>
      <c r="M143" s="11">
        <f>(Table14[[#This Row],[Likes]]+Table14[[#This Row],[Shares]]+Table14[[#This Row],[Comments]])/Table14[[#This Row],[Impressions]]</f>
        <v>0.11792317271769326</v>
      </c>
      <c r="N143" s="9" t="s">
        <v>34</v>
      </c>
      <c r="O143" s="1"/>
      <c r="P143" s="1"/>
      <c r="Q143" s="1" t="s">
        <v>35</v>
      </c>
    </row>
    <row r="144" spans="1:17" hidden="1" x14ac:dyDescent="0.3">
      <c r="A144" s="1" t="s">
        <v>503</v>
      </c>
      <c r="B144" s="9" t="s">
        <v>30</v>
      </c>
      <c r="C144" s="5" t="s">
        <v>504</v>
      </c>
      <c r="D144" s="9" t="s">
        <v>70</v>
      </c>
      <c r="E144" s="9" t="s">
        <v>81</v>
      </c>
      <c r="F144" s="2">
        <v>4561</v>
      </c>
      <c r="G144" s="2">
        <v>51</v>
      </c>
      <c r="H144" s="2">
        <v>441</v>
      </c>
      <c r="I144" s="2">
        <v>22805</v>
      </c>
      <c r="J144" s="2">
        <v>21890</v>
      </c>
      <c r="K144" s="6">
        <v>45</v>
      </c>
      <c r="L144" s="2">
        <f>Table14[[#This Row],[Likes]]+Table14[[#This Row],[Shares]]+Table14[[#This Row],[Comments]]+Table14[[#This Row],[Clicks]]</f>
        <v>5098</v>
      </c>
      <c r="M144" s="11">
        <f>(Table14[[#This Row],[Likes]]+Table14[[#This Row],[Shares]]+Table14[[#This Row],[Comments]])/Table14[[#This Row],[Impressions]]</f>
        <v>0.22157421618066214</v>
      </c>
      <c r="N144" s="9" t="s">
        <v>27</v>
      </c>
      <c r="O144" s="1"/>
      <c r="P144" s="1"/>
      <c r="Q144" s="1" t="s">
        <v>22</v>
      </c>
    </row>
    <row r="145" spans="1:17" hidden="1" x14ac:dyDescent="0.3">
      <c r="A145" s="1" t="s">
        <v>536</v>
      </c>
      <c r="B145" s="9" t="s">
        <v>39</v>
      </c>
      <c r="C145" s="5" t="s">
        <v>90</v>
      </c>
      <c r="D145" s="9" t="s">
        <v>70</v>
      </c>
      <c r="E145" s="9" t="s">
        <v>71</v>
      </c>
      <c r="F145" s="2">
        <v>4663</v>
      </c>
      <c r="G145" s="2">
        <v>145</v>
      </c>
      <c r="H145" s="2">
        <v>225</v>
      </c>
      <c r="I145" s="2">
        <v>69945</v>
      </c>
      <c r="J145" s="2">
        <v>69596</v>
      </c>
      <c r="K145" s="6">
        <v>35</v>
      </c>
      <c r="L145" s="2">
        <f>Table14[[#This Row],[Likes]]+Table14[[#This Row],[Shares]]+Table14[[#This Row],[Comments]]+Table14[[#This Row],[Clicks]]</f>
        <v>5068</v>
      </c>
      <c r="M145" s="11">
        <f>(Table14[[#This Row],[Likes]]+Table14[[#This Row],[Shares]]+Table14[[#This Row],[Comments]])/Table14[[#This Row],[Impressions]]</f>
        <v>7.1956537279290869E-2</v>
      </c>
      <c r="N145" s="9" t="s">
        <v>34</v>
      </c>
      <c r="O145" s="1"/>
      <c r="P145" s="1"/>
      <c r="Q145" s="1" t="s">
        <v>35</v>
      </c>
    </row>
    <row r="146" spans="1:17" hidden="1" x14ac:dyDescent="0.3">
      <c r="A146" s="1" t="s">
        <v>89</v>
      </c>
      <c r="B146" s="9" t="s">
        <v>39</v>
      </c>
      <c r="C146" s="5" t="s">
        <v>90</v>
      </c>
      <c r="D146" s="9" t="s">
        <v>70</v>
      </c>
      <c r="E146" s="9" t="s">
        <v>71</v>
      </c>
      <c r="F146" s="2">
        <v>1606</v>
      </c>
      <c r="G146" s="2">
        <v>547</v>
      </c>
      <c r="H146" s="2">
        <v>316</v>
      </c>
      <c r="I146" s="2">
        <v>32120</v>
      </c>
      <c r="J146" s="2">
        <v>31736</v>
      </c>
      <c r="K146" s="6">
        <v>225</v>
      </c>
      <c r="L146" s="2">
        <f>Table14[[#This Row],[Likes]]+Table14[[#This Row],[Shares]]+Table14[[#This Row],[Comments]]+Table14[[#This Row],[Clicks]]</f>
        <v>2694</v>
      </c>
      <c r="M146" s="11">
        <f>(Table14[[#This Row],[Likes]]+Table14[[#This Row],[Shares]]+Table14[[#This Row],[Comments]])/Table14[[#This Row],[Impressions]]</f>
        <v>7.6867995018679955E-2</v>
      </c>
      <c r="N146" s="9" t="s">
        <v>27</v>
      </c>
      <c r="O146" s="1" t="s">
        <v>551</v>
      </c>
      <c r="P146" s="1"/>
      <c r="Q146" s="1" t="s">
        <v>22</v>
      </c>
    </row>
    <row r="147" spans="1:17" ht="20.399999999999999" hidden="1" customHeight="1" x14ac:dyDescent="0.3">
      <c r="A147" s="1" t="s">
        <v>197</v>
      </c>
      <c r="B147" s="9" t="s">
        <v>13</v>
      </c>
      <c r="C147" s="5" t="s">
        <v>198</v>
      </c>
      <c r="D147" s="9" t="s">
        <v>32</v>
      </c>
      <c r="E147" s="9" t="s">
        <v>144</v>
      </c>
      <c r="F147" s="2">
        <v>1121</v>
      </c>
      <c r="G147" s="2">
        <v>135</v>
      </c>
      <c r="H147" s="2">
        <v>18</v>
      </c>
      <c r="I147" s="2">
        <v>15694</v>
      </c>
      <c r="J147" s="2">
        <v>14957</v>
      </c>
      <c r="K147" s="6">
        <v>99</v>
      </c>
      <c r="L147" s="2">
        <f>Table14[[#This Row],[Likes]]+Table14[[#This Row],[Shares]]+Table14[[#This Row],[Comments]]+Table14[[#This Row],[Clicks]]</f>
        <v>1373</v>
      </c>
      <c r="M147" s="11">
        <f>(Table14[[#This Row],[Likes]]+Table14[[#This Row],[Shares]]+Table14[[#This Row],[Comments]])/Table14[[#This Row],[Impressions]]</f>
        <v>8.1177520071364848E-2</v>
      </c>
      <c r="N147" s="9" t="s">
        <v>27</v>
      </c>
      <c r="O147" s="1"/>
      <c r="P147" s="1"/>
      <c r="Q147" s="1" t="s">
        <v>35</v>
      </c>
    </row>
    <row r="148" spans="1:17" hidden="1" x14ac:dyDescent="0.3">
      <c r="A148" s="1" t="s">
        <v>230</v>
      </c>
      <c r="B148" s="9" t="s">
        <v>30</v>
      </c>
      <c r="C148" s="5" t="s">
        <v>198</v>
      </c>
      <c r="D148" s="9" t="s">
        <v>48</v>
      </c>
      <c r="E148" s="9" t="s">
        <v>208</v>
      </c>
      <c r="F148" s="2">
        <v>2647</v>
      </c>
      <c r="G148" s="2">
        <v>304</v>
      </c>
      <c r="H148" s="2">
        <v>170</v>
      </c>
      <c r="I148" s="2">
        <v>18529</v>
      </c>
      <c r="J148" s="2">
        <v>17841</v>
      </c>
      <c r="K148" s="6">
        <v>46</v>
      </c>
      <c r="L148" s="2">
        <f>Table14[[#This Row],[Likes]]+Table14[[#This Row],[Shares]]+Table14[[#This Row],[Comments]]+Table14[[#This Row],[Clicks]]</f>
        <v>3167</v>
      </c>
      <c r="M148" s="11">
        <f>(Table14[[#This Row],[Likes]]+Table14[[#This Row],[Shares]]+Table14[[#This Row],[Comments]])/Table14[[#This Row],[Impressions]]</f>
        <v>0.16843866371633656</v>
      </c>
      <c r="N148" s="9" t="s">
        <v>58</v>
      </c>
      <c r="O148" s="1"/>
      <c r="P148" s="1"/>
      <c r="Q148" s="1" t="s">
        <v>28</v>
      </c>
    </row>
    <row r="149" spans="1:17" x14ac:dyDescent="0.3">
      <c r="A149" s="1" t="s">
        <v>368</v>
      </c>
      <c r="B149" s="9" t="s">
        <v>30</v>
      </c>
      <c r="C149" s="5" t="s">
        <v>198</v>
      </c>
      <c r="D149" s="9" t="s">
        <v>70</v>
      </c>
      <c r="E149" s="9" t="s">
        <v>81</v>
      </c>
      <c r="F149" s="2">
        <v>129</v>
      </c>
      <c r="G149" s="2">
        <v>643</v>
      </c>
      <c r="H149" s="2">
        <v>136</v>
      </c>
      <c r="I149" s="2">
        <v>1290</v>
      </c>
      <c r="J149" s="2">
        <v>839</v>
      </c>
      <c r="K149" s="6">
        <v>238</v>
      </c>
      <c r="L149" s="2">
        <f>Table14[[#This Row],[Likes]]+Table14[[#This Row],[Shares]]+Table14[[#This Row],[Comments]]+Table14[[#This Row],[Clicks]]</f>
        <v>1146</v>
      </c>
      <c r="M149" s="40">
        <f>(Table14[[#This Row],[Likes]]+Table14[[#This Row],[Shares]]+Table14[[#This Row],[Comments]])/Table14[[#This Row],[Impressions]]</f>
        <v>0.70387596899224802</v>
      </c>
      <c r="N149" s="9" t="s">
        <v>27</v>
      </c>
      <c r="O149" s="1"/>
      <c r="P149" s="1"/>
      <c r="Q149" s="1" t="s">
        <v>35</v>
      </c>
    </row>
    <row r="150" spans="1:17" hidden="1" x14ac:dyDescent="0.3">
      <c r="A150" s="1" t="s">
        <v>231</v>
      </c>
      <c r="B150" s="9" t="s">
        <v>30</v>
      </c>
      <c r="C150" s="5" t="s">
        <v>232</v>
      </c>
      <c r="D150" s="9" t="s">
        <v>20</v>
      </c>
      <c r="E150" s="9" t="s">
        <v>108</v>
      </c>
      <c r="F150" s="2">
        <v>3182</v>
      </c>
      <c r="G150" s="2">
        <v>559</v>
      </c>
      <c r="H150" s="2">
        <v>160</v>
      </c>
      <c r="I150" s="2">
        <v>57276</v>
      </c>
      <c r="J150" s="2">
        <v>56890</v>
      </c>
      <c r="K150" s="6">
        <v>163</v>
      </c>
      <c r="L150" s="2">
        <f>Table14[[#This Row],[Likes]]+Table14[[#This Row],[Shares]]+Table14[[#This Row],[Comments]]+Table14[[#This Row],[Clicks]]</f>
        <v>4064</v>
      </c>
      <c r="M150" s="11">
        <f>(Table14[[#This Row],[Likes]]+Table14[[#This Row],[Shares]]+Table14[[#This Row],[Comments]])/Table14[[#This Row],[Impressions]]</f>
        <v>6.8108806480899509E-2</v>
      </c>
      <c r="N150" s="9" t="s">
        <v>58</v>
      </c>
      <c r="O150" s="1"/>
      <c r="P150" s="1"/>
      <c r="Q150" s="1" t="s">
        <v>35</v>
      </c>
    </row>
    <row r="151" spans="1:17" hidden="1" x14ac:dyDescent="0.3">
      <c r="A151" s="1" t="s">
        <v>434</v>
      </c>
      <c r="B151" s="9" t="s">
        <v>13</v>
      </c>
      <c r="C151" s="5" t="s">
        <v>350</v>
      </c>
      <c r="D151" s="9" t="s">
        <v>48</v>
      </c>
      <c r="E151" s="9" t="s">
        <v>127</v>
      </c>
      <c r="F151" s="2">
        <v>3338</v>
      </c>
      <c r="G151" s="2">
        <v>277</v>
      </c>
      <c r="H151" s="2">
        <v>118</v>
      </c>
      <c r="I151" s="2">
        <v>60084</v>
      </c>
      <c r="J151" s="2">
        <v>59842</v>
      </c>
      <c r="K151" s="6">
        <v>252</v>
      </c>
      <c r="L151" s="2">
        <f>Table14[[#This Row],[Likes]]+Table14[[#This Row],[Shares]]+Table14[[#This Row],[Comments]]+Table14[[#This Row],[Clicks]]</f>
        <v>3985</v>
      </c>
      <c r="M151" s="11">
        <f>(Table14[[#This Row],[Likes]]+Table14[[#This Row],[Shares]]+Table14[[#This Row],[Comments]])/Table14[[#This Row],[Impressions]]</f>
        <v>6.2129685107516146E-2</v>
      </c>
      <c r="N151" s="9" t="s">
        <v>27</v>
      </c>
      <c r="O151" s="1"/>
      <c r="P151" s="1"/>
    </row>
    <row r="152" spans="1:17" hidden="1" x14ac:dyDescent="0.3">
      <c r="A152" s="1" t="s">
        <v>349</v>
      </c>
      <c r="B152" s="9" t="s">
        <v>39</v>
      </c>
      <c r="C152" s="5" t="s">
        <v>350</v>
      </c>
      <c r="D152" s="9" t="s">
        <v>20</v>
      </c>
      <c r="E152" s="9" t="s">
        <v>52</v>
      </c>
      <c r="F152" s="2">
        <v>2418</v>
      </c>
      <c r="G152" s="2">
        <v>754</v>
      </c>
      <c r="H152" s="2">
        <v>54</v>
      </c>
      <c r="I152" s="2">
        <v>43524</v>
      </c>
      <c r="J152" s="2">
        <v>42743</v>
      </c>
      <c r="K152" s="6">
        <v>182</v>
      </c>
      <c r="L152" s="2">
        <f>Table14[[#This Row],[Likes]]+Table14[[#This Row],[Shares]]+Table14[[#This Row],[Comments]]+Table14[[#This Row],[Clicks]]</f>
        <v>3408</v>
      </c>
      <c r="M152" s="11">
        <f>(Table14[[#This Row],[Likes]]+Table14[[#This Row],[Shares]]+Table14[[#This Row],[Comments]])/Table14[[#This Row],[Impressions]]</f>
        <v>7.412002573292896E-2</v>
      </c>
      <c r="N152" s="9" t="s">
        <v>34</v>
      </c>
      <c r="O152" s="1"/>
      <c r="P152" s="1"/>
      <c r="Q152" s="1" t="s">
        <v>17</v>
      </c>
    </row>
    <row r="153" spans="1:17" hidden="1" x14ac:dyDescent="0.3">
      <c r="A153" s="1" t="s">
        <v>267</v>
      </c>
      <c r="B153" s="9" t="s">
        <v>13</v>
      </c>
      <c r="C153" s="5" t="s">
        <v>268</v>
      </c>
      <c r="D153" s="9" t="s">
        <v>32</v>
      </c>
      <c r="E153" s="9" t="s">
        <v>144</v>
      </c>
      <c r="F153" s="2">
        <v>4000</v>
      </c>
      <c r="G153" s="2">
        <v>689</v>
      </c>
      <c r="H153" s="2">
        <v>488</v>
      </c>
      <c r="I153" s="2">
        <v>40000</v>
      </c>
      <c r="J153" s="2">
        <v>39569</v>
      </c>
      <c r="K153" s="6">
        <v>44</v>
      </c>
      <c r="L153" s="2">
        <f>Table14[[#This Row],[Likes]]+Table14[[#This Row],[Shares]]+Table14[[#This Row],[Comments]]+Table14[[#This Row],[Clicks]]</f>
        <v>5221</v>
      </c>
      <c r="M153" s="11">
        <f>(Table14[[#This Row],[Likes]]+Table14[[#This Row],[Shares]]+Table14[[#This Row],[Comments]])/Table14[[#This Row],[Impressions]]</f>
        <v>0.12942500000000001</v>
      </c>
      <c r="N153" s="9" t="s">
        <v>58</v>
      </c>
      <c r="O153" s="1"/>
      <c r="P153" s="1"/>
      <c r="Q153" s="1" t="s">
        <v>17</v>
      </c>
    </row>
    <row r="154" spans="1:17" hidden="1" x14ac:dyDescent="0.3">
      <c r="A154" s="1" t="s">
        <v>537</v>
      </c>
      <c r="B154" s="9" t="s">
        <v>39</v>
      </c>
      <c r="C154" s="5" t="s">
        <v>538</v>
      </c>
      <c r="D154" s="9" t="s">
        <v>20</v>
      </c>
      <c r="E154" s="9" t="s">
        <v>52</v>
      </c>
      <c r="F154" s="2">
        <v>880</v>
      </c>
      <c r="G154" s="2">
        <v>297</v>
      </c>
      <c r="H154" s="2">
        <v>345</v>
      </c>
      <c r="I154" s="2">
        <v>12320</v>
      </c>
      <c r="J154" s="2">
        <v>11978</v>
      </c>
      <c r="K154" s="6">
        <v>238</v>
      </c>
      <c r="L154" s="2">
        <f>Table14[[#This Row],[Likes]]+Table14[[#This Row],[Shares]]+Table14[[#This Row],[Comments]]+Table14[[#This Row],[Clicks]]</f>
        <v>1760</v>
      </c>
      <c r="M154" s="11">
        <f>(Table14[[#This Row],[Likes]]+Table14[[#This Row],[Shares]]+Table14[[#This Row],[Comments]])/Table14[[#This Row],[Impressions]]</f>
        <v>0.12353896103896105</v>
      </c>
      <c r="N154" s="9" t="s">
        <v>27</v>
      </c>
      <c r="O154" s="1" t="s">
        <v>551</v>
      </c>
      <c r="P154" s="1"/>
    </row>
    <row r="155" spans="1:17" hidden="1" x14ac:dyDescent="0.3">
      <c r="A155" s="1" t="s">
        <v>62</v>
      </c>
      <c r="B155" s="9" t="s">
        <v>24</v>
      </c>
      <c r="C155" s="5" t="s">
        <v>63</v>
      </c>
      <c r="D155" s="9" t="s">
        <v>41</v>
      </c>
      <c r="E155" s="9" t="s">
        <v>64</v>
      </c>
      <c r="F155" s="2">
        <v>1171</v>
      </c>
      <c r="G155" s="2">
        <v>286</v>
      </c>
      <c r="H155" s="2">
        <v>231</v>
      </c>
      <c r="I155" s="2">
        <v>22249</v>
      </c>
      <c r="J155" s="2">
        <v>21282</v>
      </c>
      <c r="K155" s="6">
        <v>114</v>
      </c>
      <c r="L155" s="2">
        <f>Table14[[#This Row],[Likes]]+Table14[[#This Row],[Shares]]+Table14[[#This Row],[Comments]]+Table14[[#This Row],[Clicks]]</f>
        <v>1802</v>
      </c>
      <c r="M155" s="11">
        <f>(Table14[[#This Row],[Likes]]+Table14[[#This Row],[Shares]]+Table14[[#This Row],[Comments]])/Table14[[#This Row],[Impressions]]</f>
        <v>7.5868578363072495E-2</v>
      </c>
      <c r="N155" s="9" t="s">
        <v>34</v>
      </c>
      <c r="O155" s="1"/>
      <c r="P155" s="1"/>
      <c r="Q155" s="1" t="s">
        <v>17</v>
      </c>
    </row>
    <row r="156" spans="1:17" hidden="1" x14ac:dyDescent="0.3">
      <c r="A156" s="1" t="s">
        <v>407</v>
      </c>
      <c r="B156" s="9" t="s">
        <v>30</v>
      </c>
      <c r="C156" s="5" t="s">
        <v>408</v>
      </c>
      <c r="D156" s="9" t="s">
        <v>41</v>
      </c>
      <c r="E156" s="9" t="s">
        <v>84</v>
      </c>
      <c r="F156" s="2">
        <v>3773</v>
      </c>
      <c r="G156" s="2">
        <v>299</v>
      </c>
      <c r="H156" s="2">
        <v>38</v>
      </c>
      <c r="I156" s="2">
        <v>71687</v>
      </c>
      <c r="J156" s="2">
        <v>71447</v>
      </c>
      <c r="K156" s="6">
        <v>286</v>
      </c>
      <c r="L156" s="2">
        <f>Table14[[#This Row],[Likes]]+Table14[[#This Row],[Shares]]+Table14[[#This Row],[Comments]]+Table14[[#This Row],[Clicks]]</f>
        <v>4396</v>
      </c>
      <c r="M156" s="11">
        <f>(Table14[[#This Row],[Likes]]+Table14[[#This Row],[Shares]]+Table14[[#This Row],[Comments]])/Table14[[#This Row],[Impressions]]</f>
        <v>5.7332570758993957E-2</v>
      </c>
      <c r="N156" s="9" t="s">
        <v>58</v>
      </c>
      <c r="O156" s="1"/>
      <c r="P156" s="1"/>
      <c r="Q156" s="1" t="s">
        <v>17</v>
      </c>
    </row>
    <row r="157" spans="1:17" ht="20.399999999999999" customHeight="1" x14ac:dyDescent="0.3">
      <c r="A157" s="1" t="s">
        <v>171</v>
      </c>
      <c r="B157" s="9" t="s">
        <v>13</v>
      </c>
      <c r="C157" s="5" t="s">
        <v>172</v>
      </c>
      <c r="D157" s="9" t="s">
        <v>41</v>
      </c>
      <c r="E157" s="9" t="s">
        <v>45</v>
      </c>
      <c r="F157" s="2">
        <v>53</v>
      </c>
      <c r="G157" s="2">
        <v>81</v>
      </c>
      <c r="H157" s="2">
        <v>379</v>
      </c>
      <c r="I157" s="2">
        <v>954</v>
      </c>
      <c r="J157" s="2">
        <v>7</v>
      </c>
      <c r="K157" s="6">
        <v>148</v>
      </c>
      <c r="L157" s="2">
        <f>Table14[[#This Row],[Likes]]+Table14[[#This Row],[Shares]]+Table14[[#This Row],[Comments]]+Table14[[#This Row],[Clicks]]</f>
        <v>661</v>
      </c>
      <c r="M157" s="40">
        <f>(Table14[[#This Row],[Likes]]+Table14[[#This Row],[Shares]]+Table14[[#This Row],[Comments]])/Table14[[#This Row],[Impressions]]</f>
        <v>0.53773584905660377</v>
      </c>
      <c r="N157" s="9" t="s">
        <v>27</v>
      </c>
      <c r="O157" s="1"/>
      <c r="P157" s="1"/>
      <c r="Q157" s="1" t="s">
        <v>28</v>
      </c>
    </row>
    <row r="158" spans="1:17" ht="14.4" hidden="1" customHeight="1" x14ac:dyDescent="0.3">
      <c r="A158" s="1" t="s">
        <v>261</v>
      </c>
      <c r="B158" s="9" t="s">
        <v>24</v>
      </c>
      <c r="C158" s="5" t="s">
        <v>262</v>
      </c>
      <c r="D158" s="9" t="s">
        <v>48</v>
      </c>
      <c r="E158" s="9" t="s">
        <v>49</v>
      </c>
      <c r="F158" s="2">
        <v>2719</v>
      </c>
      <c r="G158" s="2">
        <v>17</v>
      </c>
      <c r="H158" s="2">
        <v>285</v>
      </c>
      <c r="I158" s="2">
        <v>40785</v>
      </c>
      <c r="J158" s="2">
        <v>40281</v>
      </c>
      <c r="K158" s="6">
        <v>40</v>
      </c>
      <c r="L158" s="2">
        <f>Table14[[#This Row],[Likes]]+Table14[[#This Row],[Shares]]+Table14[[#This Row],[Comments]]+Table14[[#This Row],[Clicks]]</f>
        <v>3061</v>
      </c>
      <c r="M158" s="11">
        <f>(Table14[[#This Row],[Likes]]+Table14[[#This Row],[Shares]]+Table14[[#This Row],[Comments]])/Table14[[#This Row],[Impressions]]</f>
        <v>7.4071349760941527E-2</v>
      </c>
      <c r="N158" s="9" t="s">
        <v>27</v>
      </c>
      <c r="O158" s="1"/>
      <c r="P158" s="1"/>
      <c r="Q158" s="1" t="s">
        <v>22</v>
      </c>
    </row>
    <row r="159" spans="1:17" ht="14.4" hidden="1" customHeight="1" x14ac:dyDescent="0.3">
      <c r="A159" s="1" t="s">
        <v>123</v>
      </c>
      <c r="B159" s="9" t="s">
        <v>39</v>
      </c>
      <c r="C159" s="5" t="s">
        <v>124</v>
      </c>
      <c r="D159" s="9" t="s">
        <v>48</v>
      </c>
      <c r="E159" s="9" t="s">
        <v>55</v>
      </c>
      <c r="F159" s="2">
        <v>3564</v>
      </c>
      <c r="G159" s="2">
        <v>629</v>
      </c>
      <c r="H159" s="2">
        <v>177</v>
      </c>
      <c r="I159" s="2">
        <v>60588</v>
      </c>
      <c r="J159" s="2">
        <v>59627</v>
      </c>
      <c r="K159" s="6">
        <v>92</v>
      </c>
      <c r="L159" s="2">
        <f>Table14[[#This Row],[Likes]]+Table14[[#This Row],[Shares]]+Table14[[#This Row],[Comments]]+Table14[[#This Row],[Clicks]]</f>
        <v>4462</v>
      </c>
      <c r="M159" s="11">
        <f>(Table14[[#This Row],[Likes]]+Table14[[#This Row],[Shares]]+Table14[[#This Row],[Comments]])/Table14[[#This Row],[Impressions]]</f>
        <v>7.2126493695121141E-2</v>
      </c>
      <c r="N159" s="9" t="s">
        <v>27</v>
      </c>
      <c r="O159" s="1"/>
      <c r="P159" s="1"/>
    </row>
    <row r="160" spans="1:17" ht="14.4" hidden="1" customHeight="1" x14ac:dyDescent="0.3">
      <c r="A160" s="1" t="s">
        <v>499</v>
      </c>
      <c r="B160" s="9" t="s">
        <v>39</v>
      </c>
      <c r="C160" s="5" t="s">
        <v>124</v>
      </c>
      <c r="D160" s="9" t="s">
        <v>32</v>
      </c>
      <c r="E160" s="9" t="s">
        <v>67</v>
      </c>
      <c r="F160" s="2">
        <v>4182</v>
      </c>
      <c r="G160" s="2">
        <v>640</v>
      </c>
      <c r="H160" s="2">
        <v>240</v>
      </c>
      <c r="I160" s="2">
        <v>50184</v>
      </c>
      <c r="J160" s="2">
        <v>49351</v>
      </c>
      <c r="K160" s="6">
        <v>10</v>
      </c>
      <c r="L160" s="2">
        <f>Table14[[#This Row],[Likes]]+Table14[[#This Row],[Shares]]+Table14[[#This Row],[Comments]]+Table14[[#This Row],[Clicks]]</f>
        <v>5072</v>
      </c>
      <c r="M160" s="11">
        <f>(Table14[[#This Row],[Likes]]+Table14[[#This Row],[Shares]]+Table14[[#This Row],[Comments]])/Table14[[#This Row],[Impressions]]</f>
        <v>0.10086880280567512</v>
      </c>
      <c r="N160" s="9" t="s">
        <v>27</v>
      </c>
      <c r="O160" s="1"/>
      <c r="P160" s="1"/>
      <c r="Q160" s="1" t="s">
        <v>28</v>
      </c>
    </row>
    <row r="161" spans="1:17" ht="14.4" hidden="1" customHeight="1" x14ac:dyDescent="0.3">
      <c r="A161" s="1" t="s">
        <v>336</v>
      </c>
      <c r="B161" s="9" t="s">
        <v>39</v>
      </c>
      <c r="C161" s="5" t="s">
        <v>124</v>
      </c>
      <c r="D161" s="9" t="s">
        <v>32</v>
      </c>
      <c r="E161" s="9" t="s">
        <v>67</v>
      </c>
      <c r="F161" s="2">
        <v>2120</v>
      </c>
      <c r="G161" s="2">
        <v>158</v>
      </c>
      <c r="H161" s="2">
        <v>488</v>
      </c>
      <c r="I161" s="2">
        <v>12720</v>
      </c>
      <c r="J161" s="2">
        <v>12085</v>
      </c>
      <c r="K161" s="6">
        <v>17</v>
      </c>
      <c r="L161" s="2">
        <f>Table14[[#This Row],[Likes]]+Table14[[#This Row],[Shares]]+Table14[[#This Row],[Comments]]+Table14[[#This Row],[Clicks]]</f>
        <v>2783</v>
      </c>
      <c r="M161" s="11">
        <f>(Table14[[#This Row],[Likes]]+Table14[[#This Row],[Shares]]+Table14[[#This Row],[Comments]])/Table14[[#This Row],[Impressions]]</f>
        <v>0.21745283018867925</v>
      </c>
      <c r="N161" s="9" t="s">
        <v>58</v>
      </c>
      <c r="O161" s="1"/>
      <c r="P161" s="1"/>
      <c r="Q161" s="1" t="s">
        <v>22</v>
      </c>
    </row>
    <row r="162" spans="1:17" ht="14.4" hidden="1" customHeight="1" x14ac:dyDescent="0.3">
      <c r="A162" s="1" t="s">
        <v>516</v>
      </c>
      <c r="B162" s="9" t="s">
        <v>13</v>
      </c>
      <c r="C162" s="5" t="s">
        <v>517</v>
      </c>
      <c r="D162" s="9" t="s">
        <v>20</v>
      </c>
      <c r="E162" s="9" t="s">
        <v>21</v>
      </c>
      <c r="F162" s="2">
        <v>4516</v>
      </c>
      <c r="G162" s="2">
        <v>836</v>
      </c>
      <c r="H162" s="2">
        <v>169</v>
      </c>
      <c r="I162" s="2">
        <v>49676</v>
      </c>
      <c r="J162" s="2">
        <v>49257</v>
      </c>
      <c r="K162" s="6">
        <v>282</v>
      </c>
      <c r="L162" s="2">
        <f>Table14[[#This Row],[Likes]]+Table14[[#This Row],[Shares]]+Table14[[#This Row],[Comments]]+Table14[[#This Row],[Clicks]]</f>
        <v>5803</v>
      </c>
      <c r="M162" s="11">
        <f>(Table14[[#This Row],[Likes]]+Table14[[#This Row],[Shares]]+Table14[[#This Row],[Comments]])/Table14[[#This Row],[Impressions]]</f>
        <v>0.11114018842096787</v>
      </c>
      <c r="N162" s="9" t="s">
        <v>34</v>
      </c>
      <c r="O162" s="1"/>
      <c r="P162" s="1"/>
      <c r="Q162" s="1" t="s">
        <v>35</v>
      </c>
    </row>
    <row r="163" spans="1:17" ht="14.4" hidden="1" customHeight="1" x14ac:dyDescent="0.3">
      <c r="A163" s="1" t="s">
        <v>298</v>
      </c>
      <c r="B163" s="9" t="s">
        <v>39</v>
      </c>
      <c r="C163" s="5" t="s">
        <v>299</v>
      </c>
      <c r="D163" s="9" t="s">
        <v>20</v>
      </c>
      <c r="E163" s="9" t="s">
        <v>52</v>
      </c>
      <c r="F163" s="2">
        <v>4213</v>
      </c>
      <c r="G163" s="2">
        <v>253</v>
      </c>
      <c r="H163" s="2">
        <v>434</v>
      </c>
      <c r="I163" s="2">
        <v>75834</v>
      </c>
      <c r="J163" s="2">
        <v>75437</v>
      </c>
      <c r="K163" s="6">
        <v>272</v>
      </c>
      <c r="L163" s="2">
        <f>Table14[[#This Row],[Likes]]+Table14[[#This Row],[Shares]]+Table14[[#This Row],[Comments]]+Table14[[#This Row],[Clicks]]</f>
        <v>5172</v>
      </c>
      <c r="M163" s="11">
        <f>(Table14[[#This Row],[Likes]]+Table14[[#This Row],[Shares]]+Table14[[#This Row],[Comments]])/Table14[[#This Row],[Impressions]]</f>
        <v>6.461481657304112E-2</v>
      </c>
      <c r="N163" s="9" t="s">
        <v>58</v>
      </c>
      <c r="O163" s="1"/>
      <c r="P163" s="1"/>
      <c r="Q163" s="1" t="s">
        <v>35</v>
      </c>
    </row>
    <row r="164" spans="1:17" hidden="1" x14ac:dyDescent="0.3">
      <c r="A164" s="1" t="s">
        <v>533</v>
      </c>
      <c r="B164" s="9" t="s">
        <v>39</v>
      </c>
      <c r="C164" s="5" t="s">
        <v>299</v>
      </c>
      <c r="D164" s="9" t="s">
        <v>41</v>
      </c>
      <c r="E164" s="9" t="s">
        <v>42</v>
      </c>
      <c r="F164" s="2">
        <v>2751</v>
      </c>
      <c r="G164" s="2">
        <v>33</v>
      </c>
      <c r="H164" s="2">
        <v>430</v>
      </c>
      <c r="I164" s="2">
        <v>44016</v>
      </c>
      <c r="J164" s="2">
        <v>43415</v>
      </c>
      <c r="K164" s="6">
        <v>129</v>
      </c>
      <c r="L164" s="2">
        <f>Table14[[#This Row],[Likes]]+Table14[[#This Row],[Shares]]+Table14[[#This Row],[Comments]]+Table14[[#This Row],[Clicks]]</f>
        <v>3343</v>
      </c>
      <c r="M164" s="11">
        <f>(Table14[[#This Row],[Likes]]+Table14[[#This Row],[Shares]]+Table14[[#This Row],[Comments]])/Table14[[#This Row],[Impressions]]</f>
        <v>7.3018902217375503E-2</v>
      </c>
      <c r="N164" s="9" t="s">
        <v>58</v>
      </c>
      <c r="O164" s="1"/>
      <c r="P164" s="1"/>
    </row>
    <row r="165" spans="1:17" hidden="1" x14ac:dyDescent="0.3">
      <c r="A165" s="1" t="s">
        <v>348</v>
      </c>
      <c r="B165" s="9" t="s">
        <v>30</v>
      </c>
      <c r="C165" s="5" t="s">
        <v>299</v>
      </c>
      <c r="D165" s="9" t="s">
        <v>20</v>
      </c>
      <c r="E165" s="9" t="s">
        <v>108</v>
      </c>
      <c r="F165" s="2">
        <v>4771</v>
      </c>
      <c r="G165" s="2">
        <v>818</v>
      </c>
      <c r="H165" s="2">
        <v>56</v>
      </c>
      <c r="I165" s="2">
        <v>57252</v>
      </c>
      <c r="J165" s="2">
        <v>56378</v>
      </c>
      <c r="K165" s="6">
        <v>150</v>
      </c>
      <c r="L165" s="2">
        <f>Table14[[#This Row],[Likes]]+Table14[[#This Row],[Shares]]+Table14[[#This Row],[Comments]]+Table14[[#This Row],[Clicks]]</f>
        <v>5795</v>
      </c>
      <c r="M165" s="11">
        <f>(Table14[[#This Row],[Likes]]+Table14[[#This Row],[Shares]]+Table14[[#This Row],[Comments]])/Table14[[#This Row],[Impressions]]</f>
        <v>9.859917557465242E-2</v>
      </c>
      <c r="N165" s="9" t="s">
        <v>58</v>
      </c>
      <c r="O165" s="1"/>
      <c r="P165" s="1"/>
    </row>
    <row r="166" spans="1:17" hidden="1" x14ac:dyDescent="0.3">
      <c r="A166" s="1" t="s">
        <v>388</v>
      </c>
      <c r="B166" s="9" t="s">
        <v>30</v>
      </c>
      <c r="C166" s="5" t="s">
        <v>389</v>
      </c>
      <c r="D166" s="9" t="s">
        <v>70</v>
      </c>
      <c r="E166" s="9" t="s">
        <v>81</v>
      </c>
      <c r="F166" s="2">
        <v>1176</v>
      </c>
      <c r="G166" s="2">
        <v>464</v>
      </c>
      <c r="H166" s="2">
        <v>394</v>
      </c>
      <c r="I166" s="2">
        <v>14112</v>
      </c>
      <c r="J166" s="2">
        <v>13588</v>
      </c>
      <c r="K166" s="6">
        <v>272</v>
      </c>
      <c r="L166" s="2">
        <f>Table14[[#This Row],[Likes]]+Table14[[#This Row],[Shares]]+Table14[[#This Row],[Comments]]+Table14[[#This Row],[Clicks]]</f>
        <v>2306</v>
      </c>
      <c r="M166" s="11">
        <f>(Table14[[#This Row],[Likes]]+Table14[[#This Row],[Shares]]+Table14[[#This Row],[Comments]])/Table14[[#This Row],[Impressions]]</f>
        <v>0.1441326530612245</v>
      </c>
      <c r="N166" s="9" t="s">
        <v>34</v>
      </c>
      <c r="O166" s="1"/>
      <c r="P166" s="1"/>
    </row>
    <row r="167" spans="1:17" hidden="1" x14ac:dyDescent="0.3">
      <c r="A167" s="1" t="s">
        <v>400</v>
      </c>
      <c r="B167" s="9" t="s">
        <v>24</v>
      </c>
      <c r="C167" s="5" t="s">
        <v>116</v>
      </c>
      <c r="D167" s="9" t="s">
        <v>41</v>
      </c>
      <c r="E167" s="9" t="s">
        <v>64</v>
      </c>
      <c r="F167" s="2">
        <v>2509</v>
      </c>
      <c r="G167" s="2">
        <v>324</v>
      </c>
      <c r="H167" s="2">
        <v>171</v>
      </c>
      <c r="I167" s="2">
        <v>35126</v>
      </c>
      <c r="J167" s="2">
        <v>34685</v>
      </c>
      <c r="K167" s="6">
        <v>277</v>
      </c>
      <c r="L167" s="2">
        <f>Table14[[#This Row],[Likes]]+Table14[[#This Row],[Shares]]+Table14[[#This Row],[Comments]]+Table14[[#This Row],[Clicks]]</f>
        <v>3281</v>
      </c>
      <c r="M167" s="11">
        <f>(Table14[[#This Row],[Likes]]+Table14[[#This Row],[Shares]]+Table14[[#This Row],[Comments]])/Table14[[#This Row],[Impressions]]</f>
        <v>8.5520696919660646E-2</v>
      </c>
      <c r="N167" s="9" t="s">
        <v>27</v>
      </c>
      <c r="O167" s="1"/>
      <c r="P167" s="1"/>
      <c r="Q167" s="1" t="s">
        <v>22</v>
      </c>
    </row>
    <row r="168" spans="1:17" hidden="1" x14ac:dyDescent="0.3">
      <c r="A168" s="1" t="s">
        <v>115</v>
      </c>
      <c r="B168" s="9" t="s">
        <v>30</v>
      </c>
      <c r="C168" s="5" t="s">
        <v>116</v>
      </c>
      <c r="D168" s="9" t="s">
        <v>70</v>
      </c>
      <c r="E168" s="9" t="s">
        <v>81</v>
      </c>
      <c r="F168" s="2">
        <v>3775</v>
      </c>
      <c r="G168" s="2">
        <v>16</v>
      </c>
      <c r="H168" s="2">
        <v>239</v>
      </c>
      <c r="I168" s="2">
        <v>33975</v>
      </c>
      <c r="J168" s="2">
        <v>33310</v>
      </c>
      <c r="K168" s="6">
        <v>271</v>
      </c>
      <c r="L168" s="2">
        <f>Table14[[#This Row],[Likes]]+Table14[[#This Row],[Shares]]+Table14[[#This Row],[Comments]]+Table14[[#This Row],[Clicks]]</f>
        <v>4301</v>
      </c>
      <c r="M168" s="11">
        <f>(Table14[[#This Row],[Likes]]+Table14[[#This Row],[Shares]]+Table14[[#This Row],[Comments]])/Table14[[#This Row],[Impressions]]</f>
        <v>0.11861662987490802</v>
      </c>
      <c r="N168" s="9" t="s">
        <v>58</v>
      </c>
      <c r="O168" s="1"/>
      <c r="P168" s="1"/>
      <c r="Q168" s="1" t="s">
        <v>22</v>
      </c>
    </row>
    <row r="169" spans="1:17" hidden="1" x14ac:dyDescent="0.3">
      <c r="A169" s="1" t="s">
        <v>427</v>
      </c>
      <c r="B169" s="9" t="s">
        <v>39</v>
      </c>
      <c r="C169" s="5" t="s">
        <v>352</v>
      </c>
      <c r="D169" s="9" t="s">
        <v>48</v>
      </c>
      <c r="E169" s="9" t="s">
        <v>55</v>
      </c>
      <c r="F169" s="2">
        <v>4606</v>
      </c>
      <c r="G169" s="2">
        <v>931</v>
      </c>
      <c r="H169" s="2">
        <v>230</v>
      </c>
      <c r="I169" s="2">
        <v>92120</v>
      </c>
      <c r="J169" s="2">
        <v>91440</v>
      </c>
      <c r="K169" s="6">
        <v>56</v>
      </c>
      <c r="L169" s="2">
        <f>Table14[[#This Row],[Likes]]+Table14[[#This Row],[Shares]]+Table14[[#This Row],[Comments]]+Table14[[#This Row],[Clicks]]</f>
        <v>5823</v>
      </c>
      <c r="M169" s="11">
        <f>(Table14[[#This Row],[Likes]]+Table14[[#This Row],[Shares]]+Table14[[#This Row],[Comments]])/Table14[[#This Row],[Impressions]]</f>
        <v>6.2603126356925748E-2</v>
      </c>
      <c r="N169" s="9" t="s">
        <v>27</v>
      </c>
      <c r="O169" s="1"/>
      <c r="P169" s="1"/>
    </row>
    <row r="170" spans="1:17" hidden="1" x14ac:dyDescent="0.3">
      <c r="A170" s="1" t="s">
        <v>370</v>
      </c>
      <c r="B170" s="9" t="s">
        <v>24</v>
      </c>
      <c r="C170" s="5" t="s">
        <v>352</v>
      </c>
      <c r="D170" s="9" t="s">
        <v>20</v>
      </c>
      <c r="E170" s="9" t="s">
        <v>99</v>
      </c>
      <c r="F170" s="2">
        <v>3711</v>
      </c>
      <c r="G170" s="2">
        <v>352</v>
      </c>
      <c r="H170" s="2">
        <v>290</v>
      </c>
      <c r="I170" s="2">
        <v>48243</v>
      </c>
      <c r="J170" s="2">
        <v>47579</v>
      </c>
      <c r="K170" s="6">
        <v>11</v>
      </c>
      <c r="L170" s="2">
        <f>Table14[[#This Row],[Likes]]+Table14[[#This Row],[Shares]]+Table14[[#This Row],[Comments]]+Table14[[#This Row],[Clicks]]</f>
        <v>4364</v>
      </c>
      <c r="M170" s="11">
        <f>(Table14[[#This Row],[Likes]]+Table14[[#This Row],[Shares]]+Table14[[#This Row],[Comments]])/Table14[[#This Row],[Impressions]]</f>
        <v>9.023070704558174E-2</v>
      </c>
      <c r="N170" s="9" t="s">
        <v>27</v>
      </c>
      <c r="O170" s="1"/>
      <c r="P170" s="1"/>
      <c r="Q170" s="1" t="s">
        <v>17</v>
      </c>
    </row>
    <row r="171" spans="1:17" hidden="1" x14ac:dyDescent="0.3">
      <c r="A171" s="1" t="s">
        <v>387</v>
      </c>
      <c r="B171" s="9" t="s">
        <v>24</v>
      </c>
      <c r="C171" s="5" t="s">
        <v>352</v>
      </c>
      <c r="D171" s="9" t="s">
        <v>32</v>
      </c>
      <c r="E171" s="9" t="s">
        <v>149</v>
      </c>
      <c r="F171" s="2">
        <v>4285</v>
      </c>
      <c r="G171" s="2">
        <v>886</v>
      </c>
      <c r="H171" s="2">
        <v>376</v>
      </c>
      <c r="I171" s="2">
        <v>55705</v>
      </c>
      <c r="J171" s="2">
        <v>55556</v>
      </c>
      <c r="K171" s="6">
        <v>51</v>
      </c>
      <c r="L171" s="2">
        <f>Table14[[#This Row],[Likes]]+Table14[[#This Row],[Shares]]+Table14[[#This Row],[Comments]]+Table14[[#This Row],[Clicks]]</f>
        <v>5598</v>
      </c>
      <c r="M171" s="11">
        <f>(Table14[[#This Row],[Likes]]+Table14[[#This Row],[Shares]]+Table14[[#This Row],[Comments]])/Table14[[#This Row],[Impressions]]</f>
        <v>9.9578134817341346E-2</v>
      </c>
      <c r="N171" s="9" t="s">
        <v>58</v>
      </c>
      <c r="O171" s="1"/>
      <c r="P171" s="1"/>
      <c r="Q171" s="1" t="s">
        <v>28</v>
      </c>
    </row>
    <row r="172" spans="1:17" hidden="1" x14ac:dyDescent="0.3">
      <c r="A172" s="1" t="s">
        <v>351</v>
      </c>
      <c r="B172" s="9" t="s">
        <v>24</v>
      </c>
      <c r="C172" s="5" t="s">
        <v>352</v>
      </c>
      <c r="D172" s="9" t="s">
        <v>70</v>
      </c>
      <c r="E172" s="9" t="s">
        <v>211</v>
      </c>
      <c r="F172" s="2">
        <v>3809</v>
      </c>
      <c r="G172" s="2">
        <v>273</v>
      </c>
      <c r="H172" s="2">
        <v>200</v>
      </c>
      <c r="I172" s="2">
        <v>34281</v>
      </c>
      <c r="J172" s="2">
        <v>33534</v>
      </c>
      <c r="K172" s="6">
        <v>83</v>
      </c>
      <c r="L172" s="2">
        <f>Table14[[#This Row],[Likes]]+Table14[[#This Row],[Shares]]+Table14[[#This Row],[Comments]]+Table14[[#This Row],[Clicks]]</f>
        <v>4365</v>
      </c>
      <c r="M172" s="11">
        <f>(Table14[[#This Row],[Likes]]+Table14[[#This Row],[Shares]]+Table14[[#This Row],[Comments]])/Table14[[#This Row],[Impressions]]</f>
        <v>0.12490884163239112</v>
      </c>
      <c r="N172" s="9" t="s">
        <v>34</v>
      </c>
      <c r="O172" s="1"/>
      <c r="P172" s="1"/>
      <c r="Q172" s="1" t="s">
        <v>17</v>
      </c>
    </row>
    <row r="173" spans="1:17" hidden="1" x14ac:dyDescent="0.3">
      <c r="A173" s="1" t="s">
        <v>359</v>
      </c>
      <c r="B173" s="9" t="s">
        <v>13</v>
      </c>
      <c r="C173" s="5" t="s">
        <v>360</v>
      </c>
      <c r="D173" s="9" t="s">
        <v>70</v>
      </c>
      <c r="E173" s="9" t="s">
        <v>140</v>
      </c>
      <c r="F173" s="2">
        <v>1330</v>
      </c>
      <c r="G173" s="2">
        <v>925</v>
      </c>
      <c r="H173" s="2">
        <v>35</v>
      </c>
      <c r="I173" s="2">
        <v>15960</v>
      </c>
      <c r="J173" s="2">
        <v>15379</v>
      </c>
      <c r="K173" s="6">
        <v>229</v>
      </c>
      <c r="L173" s="2">
        <f>Table14[[#This Row],[Likes]]+Table14[[#This Row],[Shares]]+Table14[[#This Row],[Comments]]+Table14[[#This Row],[Clicks]]</f>
        <v>2519</v>
      </c>
      <c r="M173" s="11">
        <f>(Table14[[#This Row],[Likes]]+Table14[[#This Row],[Shares]]+Table14[[#This Row],[Comments]])/Table14[[#This Row],[Impressions]]</f>
        <v>0.14348370927318296</v>
      </c>
      <c r="N173" s="9" t="s">
        <v>58</v>
      </c>
      <c r="O173" s="1"/>
      <c r="P173" s="1"/>
      <c r="Q173" s="1" t="s">
        <v>28</v>
      </c>
    </row>
    <row r="174" spans="1:17" hidden="1" x14ac:dyDescent="0.3">
      <c r="A174" s="1" t="s">
        <v>182</v>
      </c>
      <c r="B174" s="9" t="s">
        <v>30</v>
      </c>
      <c r="C174" s="5" t="s">
        <v>183</v>
      </c>
      <c r="D174" s="9" t="s">
        <v>32</v>
      </c>
      <c r="E174" s="9" t="s">
        <v>33</v>
      </c>
      <c r="F174" s="2">
        <v>2610</v>
      </c>
      <c r="G174" s="2">
        <v>126</v>
      </c>
      <c r="H174" s="2">
        <v>288</v>
      </c>
      <c r="I174" s="2">
        <v>15660</v>
      </c>
      <c r="J174" s="2">
        <v>15145</v>
      </c>
      <c r="K174" s="6">
        <v>73</v>
      </c>
      <c r="L174" s="2">
        <f>Table14[[#This Row],[Likes]]+Table14[[#This Row],[Shares]]+Table14[[#This Row],[Comments]]+Table14[[#This Row],[Clicks]]</f>
        <v>3097</v>
      </c>
      <c r="M174" s="11">
        <f>(Table14[[#This Row],[Likes]]+Table14[[#This Row],[Shares]]+Table14[[#This Row],[Comments]])/Table14[[#This Row],[Impressions]]</f>
        <v>0.19310344827586207</v>
      </c>
      <c r="N174" s="9" t="s">
        <v>34</v>
      </c>
      <c r="O174" s="1"/>
      <c r="P174" s="1"/>
    </row>
    <row r="175" spans="1:17" hidden="1" x14ac:dyDescent="0.3">
      <c r="A175" s="1" t="s">
        <v>212</v>
      </c>
      <c r="B175" s="9" t="s">
        <v>39</v>
      </c>
      <c r="C175" s="5" t="s">
        <v>213</v>
      </c>
      <c r="D175" s="9" t="s">
        <v>48</v>
      </c>
      <c r="E175" s="9" t="s">
        <v>55</v>
      </c>
      <c r="F175" s="2">
        <v>1841</v>
      </c>
      <c r="G175" s="2">
        <v>851</v>
      </c>
      <c r="H175" s="2">
        <v>342</v>
      </c>
      <c r="I175" s="2">
        <v>34979</v>
      </c>
      <c r="J175" s="2">
        <v>34154</v>
      </c>
      <c r="K175" s="6">
        <v>255</v>
      </c>
      <c r="L175" s="2">
        <f>Table14[[#This Row],[Likes]]+Table14[[#This Row],[Shares]]+Table14[[#This Row],[Comments]]+Table14[[#This Row],[Clicks]]</f>
        <v>3289</v>
      </c>
      <c r="M175" s="11">
        <f>(Table14[[#This Row],[Likes]]+Table14[[#This Row],[Shares]]+Table14[[#This Row],[Comments]])/Table14[[#This Row],[Impressions]]</f>
        <v>8.6737756939878216E-2</v>
      </c>
      <c r="N175" s="9" t="s">
        <v>58</v>
      </c>
      <c r="O175" s="1"/>
      <c r="P175" s="1"/>
      <c r="Q175" s="1" t="s">
        <v>35</v>
      </c>
    </row>
    <row r="176" spans="1:17" hidden="1" x14ac:dyDescent="0.3">
      <c r="A176" s="1" t="s">
        <v>346</v>
      </c>
      <c r="B176" s="9" t="s">
        <v>13</v>
      </c>
      <c r="C176" s="5" t="s">
        <v>229</v>
      </c>
      <c r="D176" s="9" t="s">
        <v>20</v>
      </c>
      <c r="E176" s="9" t="s">
        <v>21</v>
      </c>
      <c r="F176" s="2">
        <v>3239</v>
      </c>
      <c r="G176" s="2">
        <v>43</v>
      </c>
      <c r="H176" s="2">
        <v>211</v>
      </c>
      <c r="I176" s="2">
        <v>22673</v>
      </c>
      <c r="J176" s="2">
        <v>22171</v>
      </c>
      <c r="K176" s="6">
        <v>230</v>
      </c>
      <c r="L176" s="2">
        <f>Table14[[#This Row],[Likes]]+Table14[[#This Row],[Shares]]+Table14[[#This Row],[Comments]]+Table14[[#This Row],[Clicks]]</f>
        <v>3723</v>
      </c>
      <c r="M176" s="11">
        <f>(Table14[[#This Row],[Likes]]+Table14[[#This Row],[Shares]]+Table14[[#This Row],[Comments]])/Table14[[#This Row],[Impressions]]</f>
        <v>0.15405989502933004</v>
      </c>
      <c r="N176" s="9" t="s">
        <v>27</v>
      </c>
      <c r="O176" s="1"/>
      <c r="P176" s="1"/>
      <c r="Q176" s="1" t="s">
        <v>22</v>
      </c>
    </row>
    <row r="177" spans="1:17" hidden="1" x14ac:dyDescent="0.3">
      <c r="A177" s="1" t="s">
        <v>228</v>
      </c>
      <c r="B177" s="9" t="s">
        <v>30</v>
      </c>
      <c r="C177" s="5" t="s">
        <v>229</v>
      </c>
      <c r="D177" s="9" t="s">
        <v>70</v>
      </c>
      <c r="E177" s="9" t="s">
        <v>81</v>
      </c>
      <c r="F177" s="2">
        <v>1431</v>
      </c>
      <c r="G177" s="2">
        <v>951</v>
      </c>
      <c r="H177" s="2">
        <v>26</v>
      </c>
      <c r="I177" s="2">
        <v>8586</v>
      </c>
      <c r="J177" s="2">
        <v>8396</v>
      </c>
      <c r="K177" s="6">
        <v>150</v>
      </c>
      <c r="L177" s="2">
        <f>Table14[[#This Row],[Likes]]+Table14[[#This Row],[Shares]]+Table14[[#This Row],[Comments]]+Table14[[#This Row],[Clicks]]</f>
        <v>2558</v>
      </c>
      <c r="M177" s="11">
        <f>(Table14[[#This Row],[Likes]]+Table14[[#This Row],[Shares]]+Table14[[#This Row],[Comments]])/Table14[[#This Row],[Impressions]]</f>
        <v>0.28045655718611695</v>
      </c>
      <c r="N177" s="9" t="s">
        <v>34</v>
      </c>
      <c r="O177" s="1"/>
      <c r="P177" s="1"/>
      <c r="Q177" s="1" t="s">
        <v>28</v>
      </c>
    </row>
    <row r="178" spans="1:17" hidden="1" x14ac:dyDescent="0.3">
      <c r="A178" s="1" t="s">
        <v>132</v>
      </c>
      <c r="B178" s="9" t="s">
        <v>30</v>
      </c>
      <c r="C178" s="5" t="s">
        <v>133</v>
      </c>
      <c r="D178" s="9" t="s">
        <v>41</v>
      </c>
      <c r="E178" s="9" t="s">
        <v>84</v>
      </c>
      <c r="F178" s="2">
        <v>2174</v>
      </c>
      <c r="G178" s="2">
        <v>658</v>
      </c>
      <c r="H178" s="2">
        <v>15</v>
      </c>
      <c r="I178" s="2">
        <v>13044</v>
      </c>
      <c r="J178" s="2">
        <v>12206</v>
      </c>
      <c r="K178" s="6">
        <v>137</v>
      </c>
      <c r="L178" s="2">
        <f>Table14[[#This Row],[Likes]]+Table14[[#This Row],[Shares]]+Table14[[#This Row],[Comments]]+Table14[[#This Row],[Clicks]]</f>
        <v>2984</v>
      </c>
      <c r="M178" s="11">
        <f>(Table14[[#This Row],[Likes]]+Table14[[#This Row],[Shares]]+Table14[[#This Row],[Comments]])/Table14[[#This Row],[Impressions]]</f>
        <v>0.21826126954921804</v>
      </c>
      <c r="N178" s="9" t="s">
        <v>27</v>
      </c>
      <c r="O178" s="1"/>
      <c r="P178" s="1"/>
      <c r="Q178" s="1" t="s">
        <v>28</v>
      </c>
    </row>
    <row r="179" spans="1:17" hidden="1" x14ac:dyDescent="0.3">
      <c r="A179" s="1" t="s">
        <v>106</v>
      </c>
      <c r="B179" s="9" t="s">
        <v>30</v>
      </c>
      <c r="C179" s="5" t="s">
        <v>107</v>
      </c>
      <c r="D179" s="9" t="s">
        <v>20</v>
      </c>
      <c r="E179" s="9" t="s">
        <v>108</v>
      </c>
      <c r="F179" s="2">
        <v>438</v>
      </c>
      <c r="G179" s="2">
        <v>153</v>
      </c>
      <c r="H179" s="2">
        <v>275</v>
      </c>
      <c r="I179" s="2">
        <v>3066</v>
      </c>
      <c r="J179" s="2">
        <v>2701</v>
      </c>
      <c r="K179" s="6">
        <v>282</v>
      </c>
      <c r="L179" s="2">
        <f>Table14[[#This Row],[Likes]]+Table14[[#This Row],[Shares]]+Table14[[#This Row],[Comments]]+Table14[[#This Row],[Clicks]]</f>
        <v>1148</v>
      </c>
      <c r="M179" s="11">
        <f>(Table14[[#This Row],[Likes]]+Table14[[#This Row],[Shares]]+Table14[[#This Row],[Comments]])/Table14[[#This Row],[Impressions]]</f>
        <v>0.28245270711024134</v>
      </c>
      <c r="N179" s="9" t="s">
        <v>27</v>
      </c>
      <c r="O179" s="1"/>
      <c r="P179" s="1"/>
      <c r="Q179" s="1" t="s">
        <v>22</v>
      </c>
    </row>
    <row r="180" spans="1:17" hidden="1" x14ac:dyDescent="0.3">
      <c r="A180" s="1" t="s">
        <v>374</v>
      </c>
      <c r="B180" s="9" t="s">
        <v>30</v>
      </c>
      <c r="C180" s="5" t="s">
        <v>375</v>
      </c>
      <c r="D180" s="9" t="s">
        <v>32</v>
      </c>
      <c r="E180" s="9" t="s">
        <v>33</v>
      </c>
      <c r="F180" s="2">
        <v>360</v>
      </c>
      <c r="G180" s="2">
        <v>590</v>
      </c>
      <c r="H180" s="2">
        <v>393</v>
      </c>
      <c r="I180" s="2">
        <v>4680</v>
      </c>
      <c r="J180" s="2">
        <v>4322</v>
      </c>
      <c r="K180" s="6">
        <v>208</v>
      </c>
      <c r="L180" s="2">
        <f>Table14[[#This Row],[Likes]]+Table14[[#This Row],[Shares]]+Table14[[#This Row],[Comments]]+Table14[[#This Row],[Clicks]]</f>
        <v>1551</v>
      </c>
      <c r="M180" s="11">
        <f>(Table14[[#This Row],[Likes]]+Table14[[#This Row],[Shares]]+Table14[[#This Row],[Comments]])/Table14[[#This Row],[Impressions]]</f>
        <v>0.28696581196581195</v>
      </c>
      <c r="N180" s="9" t="s">
        <v>58</v>
      </c>
      <c r="O180" s="1"/>
      <c r="P180" s="1"/>
      <c r="Q180" s="1" t="s">
        <v>22</v>
      </c>
    </row>
    <row r="181" spans="1:17" hidden="1" x14ac:dyDescent="0.3">
      <c r="A181" s="1" t="s">
        <v>159</v>
      </c>
      <c r="B181" s="9" t="s">
        <v>39</v>
      </c>
      <c r="C181" s="5" t="s">
        <v>160</v>
      </c>
      <c r="D181" s="9" t="s">
        <v>41</v>
      </c>
      <c r="E181" s="9" t="s">
        <v>42</v>
      </c>
      <c r="F181" s="2">
        <v>2946</v>
      </c>
      <c r="G181" s="2">
        <v>498</v>
      </c>
      <c r="H181" s="2">
        <v>367</v>
      </c>
      <c r="I181" s="2">
        <v>29460</v>
      </c>
      <c r="J181" s="2">
        <v>28527</v>
      </c>
      <c r="K181" s="6">
        <v>60</v>
      </c>
      <c r="L181" s="2">
        <f>Table14[[#This Row],[Likes]]+Table14[[#This Row],[Shares]]+Table14[[#This Row],[Comments]]+Table14[[#This Row],[Clicks]]</f>
        <v>3871</v>
      </c>
      <c r="M181" s="11">
        <f>(Table14[[#This Row],[Likes]]+Table14[[#This Row],[Shares]]+Table14[[#This Row],[Comments]])/Table14[[#This Row],[Impressions]]</f>
        <v>0.12936184657162253</v>
      </c>
      <c r="N181" s="9" t="s">
        <v>58</v>
      </c>
      <c r="O181" s="1"/>
      <c r="P181" s="1"/>
      <c r="Q181" s="1" t="s">
        <v>28</v>
      </c>
    </row>
    <row r="182" spans="1:17" hidden="1" x14ac:dyDescent="0.3">
      <c r="A182" s="1" t="s">
        <v>395</v>
      </c>
      <c r="B182" s="9" t="s">
        <v>30</v>
      </c>
      <c r="C182" s="5" t="s">
        <v>396</v>
      </c>
      <c r="D182" s="9" t="s">
        <v>20</v>
      </c>
      <c r="E182" s="9" t="s">
        <v>108</v>
      </c>
      <c r="F182" s="2">
        <v>1813</v>
      </c>
      <c r="G182" s="2">
        <v>623</v>
      </c>
      <c r="H182" s="2">
        <v>72</v>
      </c>
      <c r="I182" s="2">
        <v>19943</v>
      </c>
      <c r="J182" s="2">
        <v>18959</v>
      </c>
      <c r="K182" s="6">
        <v>85</v>
      </c>
      <c r="L182" s="2">
        <f>Table14[[#This Row],[Likes]]+Table14[[#This Row],[Shares]]+Table14[[#This Row],[Comments]]+Table14[[#This Row],[Clicks]]</f>
        <v>2593</v>
      </c>
      <c r="M182" s="11">
        <f>(Table14[[#This Row],[Likes]]+Table14[[#This Row],[Shares]]+Table14[[#This Row],[Comments]])/Table14[[#This Row],[Impressions]]</f>
        <v>0.12575841147269717</v>
      </c>
      <c r="N182" s="9" t="s">
        <v>34</v>
      </c>
      <c r="O182" s="1"/>
      <c r="P182" s="1"/>
      <c r="Q182" s="1" t="s">
        <v>28</v>
      </c>
    </row>
    <row r="183" spans="1:17" hidden="1" x14ac:dyDescent="0.3">
      <c r="A183" s="1" t="s">
        <v>534</v>
      </c>
      <c r="B183" s="9" t="s">
        <v>30</v>
      </c>
      <c r="C183" s="5" t="s">
        <v>535</v>
      </c>
      <c r="D183" s="9" t="s">
        <v>41</v>
      </c>
      <c r="E183" s="9" t="s">
        <v>84</v>
      </c>
      <c r="F183" s="2">
        <v>2107</v>
      </c>
      <c r="G183" s="2">
        <v>550</v>
      </c>
      <c r="H183" s="2">
        <v>349</v>
      </c>
      <c r="I183" s="2">
        <v>35819</v>
      </c>
      <c r="J183" s="2">
        <v>35340</v>
      </c>
      <c r="K183" s="6">
        <v>191</v>
      </c>
      <c r="L183" s="2">
        <f>Table14[[#This Row],[Likes]]+Table14[[#This Row],[Shares]]+Table14[[#This Row],[Comments]]+Table14[[#This Row],[Clicks]]</f>
        <v>3197</v>
      </c>
      <c r="M183" s="11">
        <f>(Table14[[#This Row],[Likes]]+Table14[[#This Row],[Shares]]+Table14[[#This Row],[Comments]])/Table14[[#This Row],[Impressions]]</f>
        <v>8.3921940869371006E-2</v>
      </c>
      <c r="N183" s="9" t="s">
        <v>34</v>
      </c>
      <c r="O183" s="1"/>
      <c r="P183" s="1"/>
      <c r="Q183" s="1" t="s">
        <v>35</v>
      </c>
    </row>
    <row r="184" spans="1:17" hidden="1" x14ac:dyDescent="0.3">
      <c r="A184" s="1" t="s">
        <v>328</v>
      </c>
      <c r="B184" s="9" t="s">
        <v>24</v>
      </c>
      <c r="C184" s="5" t="s">
        <v>329</v>
      </c>
      <c r="D184" s="9" t="s">
        <v>48</v>
      </c>
      <c r="E184" s="9" t="s">
        <v>49</v>
      </c>
      <c r="F184" s="2">
        <v>2283</v>
      </c>
      <c r="G184" s="2">
        <v>210</v>
      </c>
      <c r="H184" s="2">
        <v>130</v>
      </c>
      <c r="I184" s="2">
        <v>22830</v>
      </c>
      <c r="J184" s="2">
        <v>22617</v>
      </c>
      <c r="K184" s="6">
        <v>143</v>
      </c>
      <c r="L184" s="2">
        <f>Table14[[#This Row],[Likes]]+Table14[[#This Row],[Shares]]+Table14[[#This Row],[Comments]]+Table14[[#This Row],[Clicks]]</f>
        <v>2766</v>
      </c>
      <c r="M184" s="11">
        <f>(Table14[[#This Row],[Likes]]+Table14[[#This Row],[Shares]]+Table14[[#This Row],[Comments]])/Table14[[#This Row],[Impressions]]</f>
        <v>0.11489268506351293</v>
      </c>
      <c r="N184" s="9" t="s">
        <v>58</v>
      </c>
      <c r="O184" s="1"/>
      <c r="P184" s="1"/>
      <c r="Q184" s="1" t="s">
        <v>22</v>
      </c>
    </row>
    <row r="185" spans="1:17" hidden="1" x14ac:dyDescent="0.3">
      <c r="A185" s="1" t="s">
        <v>381</v>
      </c>
      <c r="B185" s="9" t="s">
        <v>13</v>
      </c>
      <c r="C185" s="5" t="s">
        <v>382</v>
      </c>
      <c r="D185" s="9" t="s">
        <v>15</v>
      </c>
      <c r="E185" s="9" t="s">
        <v>16</v>
      </c>
      <c r="F185" s="2">
        <v>1644</v>
      </c>
      <c r="G185" s="2">
        <v>546</v>
      </c>
      <c r="H185" s="2">
        <v>150</v>
      </c>
      <c r="I185" s="2">
        <v>27948</v>
      </c>
      <c r="J185" s="2">
        <v>27184</v>
      </c>
      <c r="K185" s="6">
        <v>300</v>
      </c>
      <c r="L185" s="2">
        <f>Table14[[#This Row],[Likes]]+Table14[[#This Row],[Shares]]+Table14[[#This Row],[Comments]]+Table14[[#This Row],[Clicks]]</f>
        <v>2640</v>
      </c>
      <c r="M185" s="11">
        <f>(Table14[[#This Row],[Likes]]+Table14[[#This Row],[Shares]]+Table14[[#This Row],[Comments]])/Table14[[#This Row],[Impressions]]</f>
        <v>8.3726921425504502E-2</v>
      </c>
      <c r="N185" s="9" t="s">
        <v>34</v>
      </c>
      <c r="O185" s="1"/>
      <c r="P185" s="1"/>
      <c r="Q185" s="1" t="s">
        <v>28</v>
      </c>
    </row>
    <row r="186" spans="1:17" hidden="1" x14ac:dyDescent="0.3">
      <c r="A186" s="1" t="s">
        <v>452</v>
      </c>
      <c r="B186" s="9" t="s">
        <v>39</v>
      </c>
      <c r="C186" s="5" t="s">
        <v>382</v>
      </c>
      <c r="D186" s="9" t="s">
        <v>48</v>
      </c>
      <c r="E186" s="9" t="s">
        <v>55</v>
      </c>
      <c r="F186" s="2">
        <v>3196</v>
      </c>
      <c r="G186" s="2">
        <v>941</v>
      </c>
      <c r="H186" s="2">
        <v>376</v>
      </c>
      <c r="I186" s="2">
        <v>35156</v>
      </c>
      <c r="J186" s="2">
        <v>34444</v>
      </c>
      <c r="K186" s="6">
        <v>241</v>
      </c>
      <c r="L186" s="2">
        <f>Table14[[#This Row],[Likes]]+Table14[[#This Row],[Shares]]+Table14[[#This Row],[Comments]]+Table14[[#This Row],[Clicks]]</f>
        <v>4754</v>
      </c>
      <c r="M186" s="11">
        <f>(Table14[[#This Row],[Likes]]+Table14[[#This Row],[Shares]]+Table14[[#This Row],[Comments]])/Table14[[#This Row],[Impressions]]</f>
        <v>0.1283706906360223</v>
      </c>
      <c r="N186" s="9" t="s">
        <v>27</v>
      </c>
      <c r="O186" s="1"/>
      <c r="P186" s="1"/>
      <c r="Q186" s="1" t="s">
        <v>28</v>
      </c>
    </row>
    <row r="187" spans="1:17" hidden="1" x14ac:dyDescent="0.3">
      <c r="A187" s="1" t="s">
        <v>12</v>
      </c>
      <c r="B187" s="9" t="s">
        <v>13</v>
      </c>
      <c r="C187" s="5" t="s">
        <v>14</v>
      </c>
      <c r="D187" s="9" t="s">
        <v>15</v>
      </c>
      <c r="E187" s="9" t="s">
        <v>16</v>
      </c>
      <c r="F187" s="2">
        <v>1461</v>
      </c>
      <c r="G187" s="2">
        <v>184</v>
      </c>
      <c r="H187" s="2">
        <v>344</v>
      </c>
      <c r="I187" s="2">
        <v>21915</v>
      </c>
      <c r="J187" s="2">
        <v>21675</v>
      </c>
      <c r="K187" s="6">
        <v>15</v>
      </c>
      <c r="L187" s="2">
        <f>Table14[[#This Row],[Likes]]+Table14[[#This Row],[Shares]]+Table14[[#This Row],[Comments]]+Table14[[#This Row],[Clicks]]</f>
        <v>2004</v>
      </c>
      <c r="M187" s="11">
        <f>(Table14[[#This Row],[Likes]]+Table14[[#This Row],[Shares]]+Table14[[#This Row],[Comments]])/Table14[[#This Row],[Impressions]]</f>
        <v>9.0759753593429152E-2</v>
      </c>
      <c r="N187" s="9" t="s">
        <v>58</v>
      </c>
      <c r="O187" s="1" t="s">
        <v>551</v>
      </c>
      <c r="P187" s="1"/>
      <c r="Q187" s="1" t="s">
        <v>17</v>
      </c>
    </row>
    <row r="188" spans="1:17" hidden="1" x14ac:dyDescent="0.3">
      <c r="A188" s="1" t="s">
        <v>423</v>
      </c>
      <c r="B188" s="9" t="s">
        <v>30</v>
      </c>
      <c r="C188" s="5" t="s">
        <v>14</v>
      </c>
      <c r="D188" s="9" t="s">
        <v>48</v>
      </c>
      <c r="E188" s="9" t="s">
        <v>208</v>
      </c>
      <c r="F188" s="2">
        <v>521</v>
      </c>
      <c r="G188" s="2">
        <v>746</v>
      </c>
      <c r="H188" s="2">
        <v>315</v>
      </c>
      <c r="I188" s="2">
        <v>4168</v>
      </c>
      <c r="J188" s="2">
        <v>3399</v>
      </c>
      <c r="K188" s="6">
        <v>282</v>
      </c>
      <c r="L188" s="2">
        <f>Table14[[#This Row],[Likes]]+Table14[[#This Row],[Shares]]+Table14[[#This Row],[Comments]]+Table14[[#This Row],[Clicks]]</f>
        <v>1864</v>
      </c>
      <c r="M188" s="11">
        <f>(Table14[[#This Row],[Likes]]+Table14[[#This Row],[Shares]]+Table14[[#This Row],[Comments]])/Table14[[#This Row],[Impressions]]</f>
        <v>0.37955854126679461</v>
      </c>
      <c r="N188" s="9" t="s">
        <v>58</v>
      </c>
      <c r="O188" s="1"/>
      <c r="P188" s="1"/>
      <c r="Q188" s="1" t="s">
        <v>22</v>
      </c>
    </row>
    <row r="189" spans="1:17" hidden="1" x14ac:dyDescent="0.3">
      <c r="A189" s="1" t="s">
        <v>546</v>
      </c>
      <c r="B189" s="9" t="s">
        <v>13</v>
      </c>
      <c r="C189" s="5" t="s">
        <v>547</v>
      </c>
      <c r="D189" s="9" t="s">
        <v>20</v>
      </c>
      <c r="E189" s="9" t="s">
        <v>21</v>
      </c>
      <c r="F189" s="2">
        <v>2166</v>
      </c>
      <c r="G189" s="2">
        <v>354</v>
      </c>
      <c r="H189" s="2">
        <v>117</v>
      </c>
      <c r="I189" s="2">
        <v>10830</v>
      </c>
      <c r="J189" s="2">
        <v>10245</v>
      </c>
      <c r="K189" s="6">
        <v>24</v>
      </c>
      <c r="L189" s="2">
        <f>Table14[[#This Row],[Likes]]+Table14[[#This Row],[Shares]]+Table14[[#This Row],[Comments]]+Table14[[#This Row],[Clicks]]</f>
        <v>2661</v>
      </c>
      <c r="M189" s="11">
        <f>(Table14[[#This Row],[Likes]]+Table14[[#This Row],[Shares]]+Table14[[#This Row],[Comments]])/Table14[[#This Row],[Impressions]]</f>
        <v>0.24349030470914126</v>
      </c>
      <c r="N189" s="9" t="s">
        <v>34</v>
      </c>
      <c r="O189" s="1"/>
      <c r="P189" s="1"/>
      <c r="Q189" s="1" t="s">
        <v>35</v>
      </c>
    </row>
    <row r="190" spans="1:17" hidden="1" x14ac:dyDescent="0.3">
      <c r="A190" s="1" t="s">
        <v>412</v>
      </c>
      <c r="B190" s="9" t="s">
        <v>13</v>
      </c>
      <c r="C190" s="5" t="s">
        <v>413</v>
      </c>
      <c r="D190" s="9" t="s">
        <v>41</v>
      </c>
      <c r="E190" s="9" t="s">
        <v>45</v>
      </c>
      <c r="F190" s="2">
        <v>4274</v>
      </c>
      <c r="G190" s="2">
        <v>340</v>
      </c>
      <c r="H190" s="2">
        <v>281</v>
      </c>
      <c r="I190" s="2">
        <v>34192</v>
      </c>
      <c r="J190" s="2">
        <v>33446</v>
      </c>
      <c r="K190" s="6">
        <v>129</v>
      </c>
      <c r="L190" s="2">
        <f>Table14[[#This Row],[Likes]]+Table14[[#This Row],[Shares]]+Table14[[#This Row],[Comments]]+Table14[[#This Row],[Clicks]]</f>
        <v>5024</v>
      </c>
      <c r="M190" s="11">
        <f>(Table14[[#This Row],[Likes]]+Table14[[#This Row],[Shares]]+Table14[[#This Row],[Comments]])/Table14[[#This Row],[Impressions]]</f>
        <v>0.14316214319138981</v>
      </c>
      <c r="N190" s="9" t="s">
        <v>27</v>
      </c>
      <c r="O190" s="1" t="s">
        <v>552</v>
      </c>
      <c r="P190" s="1"/>
      <c r="Q190" s="1" t="s">
        <v>28</v>
      </c>
    </row>
    <row r="191" spans="1:17" hidden="1" x14ac:dyDescent="0.3">
      <c r="A191" s="1" t="s">
        <v>355</v>
      </c>
      <c r="B191" s="9" t="s">
        <v>24</v>
      </c>
      <c r="C191" s="5" t="s">
        <v>356</v>
      </c>
      <c r="D191" s="9" t="s">
        <v>70</v>
      </c>
      <c r="E191" s="9" t="s">
        <v>211</v>
      </c>
      <c r="F191" s="2">
        <v>1018</v>
      </c>
      <c r="G191" s="2">
        <v>447</v>
      </c>
      <c r="H191" s="2">
        <v>332</v>
      </c>
      <c r="I191" s="2">
        <v>18324</v>
      </c>
      <c r="J191" s="2">
        <v>18164</v>
      </c>
      <c r="K191" s="6">
        <v>38</v>
      </c>
      <c r="L191" s="2">
        <f>Table14[[#This Row],[Likes]]+Table14[[#This Row],[Shares]]+Table14[[#This Row],[Comments]]+Table14[[#This Row],[Clicks]]</f>
        <v>1835</v>
      </c>
      <c r="M191" s="11">
        <f>(Table14[[#This Row],[Likes]]+Table14[[#This Row],[Shares]]+Table14[[#This Row],[Comments]])/Table14[[#This Row],[Impressions]]</f>
        <v>9.8068107400130972E-2</v>
      </c>
      <c r="N191" s="9" t="s">
        <v>58</v>
      </c>
      <c r="O191" s="1"/>
      <c r="P191" s="1"/>
      <c r="Q191" s="1" t="s">
        <v>22</v>
      </c>
    </row>
    <row r="192" spans="1:17" hidden="1" x14ac:dyDescent="0.3">
      <c r="A192" s="1" t="s">
        <v>511</v>
      </c>
      <c r="B192" s="9" t="s">
        <v>13</v>
      </c>
      <c r="C192" s="5" t="s">
        <v>326</v>
      </c>
      <c r="D192" s="9" t="s">
        <v>41</v>
      </c>
      <c r="E192" s="9" t="s">
        <v>45</v>
      </c>
      <c r="F192" s="2">
        <v>3535</v>
      </c>
      <c r="G192" s="2">
        <v>494</v>
      </c>
      <c r="H192" s="2">
        <v>152</v>
      </c>
      <c r="I192" s="2">
        <v>53025</v>
      </c>
      <c r="J192" s="2">
        <v>52791</v>
      </c>
      <c r="K192" s="6">
        <v>44</v>
      </c>
      <c r="L192" s="2">
        <f>Table14[[#This Row],[Likes]]+Table14[[#This Row],[Shares]]+Table14[[#This Row],[Comments]]+Table14[[#This Row],[Clicks]]</f>
        <v>4225</v>
      </c>
      <c r="M192" s="11">
        <f>(Table14[[#This Row],[Likes]]+Table14[[#This Row],[Shares]]+Table14[[#This Row],[Comments]])/Table14[[#This Row],[Impressions]]</f>
        <v>7.8849599245638849E-2</v>
      </c>
      <c r="N192" s="9" t="s">
        <v>27</v>
      </c>
      <c r="O192" s="1"/>
      <c r="P192" s="1"/>
      <c r="Q192" s="1" t="s">
        <v>35</v>
      </c>
    </row>
    <row r="193" spans="1:17" hidden="1" x14ac:dyDescent="0.3">
      <c r="A193" s="1" t="s">
        <v>325</v>
      </c>
      <c r="B193" s="9" t="s">
        <v>13</v>
      </c>
      <c r="C193" s="5" t="s">
        <v>326</v>
      </c>
      <c r="D193" s="9" t="s">
        <v>70</v>
      </c>
      <c r="E193" s="9" t="s">
        <v>140</v>
      </c>
      <c r="F193" s="2">
        <v>754</v>
      </c>
      <c r="G193" s="2">
        <v>197</v>
      </c>
      <c r="H193" s="2">
        <v>257</v>
      </c>
      <c r="I193" s="2">
        <v>6786</v>
      </c>
      <c r="J193" s="2">
        <v>6221</v>
      </c>
      <c r="K193" s="6">
        <v>212</v>
      </c>
      <c r="L193" s="2">
        <f>Table14[[#This Row],[Likes]]+Table14[[#This Row],[Shares]]+Table14[[#This Row],[Comments]]+Table14[[#This Row],[Clicks]]</f>
        <v>1420</v>
      </c>
      <c r="M193" s="11">
        <f>(Table14[[#This Row],[Likes]]+Table14[[#This Row],[Shares]]+Table14[[#This Row],[Comments]])/Table14[[#This Row],[Impressions]]</f>
        <v>0.17801355732390214</v>
      </c>
      <c r="N193" s="9" t="s">
        <v>27</v>
      </c>
      <c r="O193" s="1"/>
      <c r="P193" s="1"/>
      <c r="Q193" s="1" t="s">
        <v>28</v>
      </c>
    </row>
    <row r="194" spans="1:17" hidden="1" x14ac:dyDescent="0.3">
      <c r="A194" s="1" t="s">
        <v>409</v>
      </c>
      <c r="B194" s="9" t="s">
        <v>30</v>
      </c>
      <c r="C194" s="5" t="s">
        <v>326</v>
      </c>
      <c r="D194" s="9" t="s">
        <v>41</v>
      </c>
      <c r="E194" s="9" t="s">
        <v>84</v>
      </c>
      <c r="F194" s="2">
        <v>2234</v>
      </c>
      <c r="G194" s="2">
        <v>653</v>
      </c>
      <c r="H194" s="2">
        <v>432</v>
      </c>
      <c r="I194" s="2">
        <v>11170</v>
      </c>
      <c r="J194" s="2">
        <v>10569</v>
      </c>
      <c r="K194" s="6">
        <v>198</v>
      </c>
      <c r="L194" s="2">
        <f>Table14[[#This Row],[Likes]]+Table14[[#This Row],[Shares]]+Table14[[#This Row],[Comments]]+Table14[[#This Row],[Clicks]]</f>
        <v>3517</v>
      </c>
      <c r="M194" s="11">
        <f>(Table14[[#This Row],[Likes]]+Table14[[#This Row],[Shares]]+Table14[[#This Row],[Comments]])/Table14[[#This Row],[Impressions]]</f>
        <v>0.29713518352730528</v>
      </c>
      <c r="N194" s="9" t="s">
        <v>58</v>
      </c>
      <c r="O194" s="1"/>
      <c r="P194" s="1"/>
      <c r="Q194" s="1" t="s">
        <v>28</v>
      </c>
    </row>
    <row r="195" spans="1:17" hidden="1" x14ac:dyDescent="0.3">
      <c r="A195" s="1" t="s">
        <v>152</v>
      </c>
      <c r="B195" s="9" t="s">
        <v>39</v>
      </c>
      <c r="C195" s="5" t="s">
        <v>153</v>
      </c>
      <c r="D195" s="9" t="s">
        <v>48</v>
      </c>
      <c r="E195" s="9" t="s">
        <v>55</v>
      </c>
      <c r="F195" s="2">
        <v>947</v>
      </c>
      <c r="G195" s="2">
        <v>338</v>
      </c>
      <c r="H195" s="2">
        <v>350</v>
      </c>
      <c r="I195" s="2">
        <v>10417</v>
      </c>
      <c r="J195" s="2">
        <v>9730</v>
      </c>
      <c r="K195" s="6">
        <v>34</v>
      </c>
      <c r="L195" s="2">
        <f>Table14[[#This Row],[Likes]]+Table14[[#This Row],[Shares]]+Table14[[#This Row],[Comments]]+Table14[[#This Row],[Clicks]]</f>
        <v>1669</v>
      </c>
      <c r="M195" s="11">
        <f>(Table14[[#This Row],[Likes]]+Table14[[#This Row],[Shares]]+Table14[[#This Row],[Comments]])/Table14[[#This Row],[Impressions]]</f>
        <v>0.1569549774407219</v>
      </c>
      <c r="N195" s="9" t="s">
        <v>27</v>
      </c>
      <c r="O195" s="1"/>
      <c r="P195" s="1"/>
      <c r="Q195" s="1" t="s">
        <v>35</v>
      </c>
    </row>
    <row r="196" spans="1:17" hidden="1" x14ac:dyDescent="0.3">
      <c r="A196" s="1" t="s">
        <v>85</v>
      </c>
      <c r="B196" s="9" t="s">
        <v>30</v>
      </c>
      <c r="C196" s="5" t="s">
        <v>86</v>
      </c>
      <c r="D196" s="9" t="s">
        <v>15</v>
      </c>
      <c r="E196" s="9" t="s">
        <v>78</v>
      </c>
      <c r="F196" s="2">
        <v>4838</v>
      </c>
      <c r="G196" s="2">
        <v>640</v>
      </c>
      <c r="H196" s="2">
        <v>128</v>
      </c>
      <c r="I196" s="2">
        <v>72570</v>
      </c>
      <c r="J196" s="2">
        <v>72396</v>
      </c>
      <c r="K196" s="6">
        <v>83</v>
      </c>
      <c r="L196" s="2">
        <f>Table14[[#This Row],[Likes]]+Table14[[#This Row],[Shares]]+Table14[[#This Row],[Comments]]+Table14[[#This Row],[Clicks]]</f>
        <v>5689</v>
      </c>
      <c r="M196" s="11">
        <f>(Table14[[#This Row],[Likes]]+Table14[[#This Row],[Shares]]+Table14[[#This Row],[Comments]])/Table14[[#This Row],[Impressions]]</f>
        <v>7.7249552156538517E-2</v>
      </c>
      <c r="N196" s="9" t="s">
        <v>58</v>
      </c>
      <c r="O196" s="1"/>
      <c r="P196" s="1"/>
      <c r="Q196" s="1" t="s">
        <v>35</v>
      </c>
    </row>
    <row r="197" spans="1:17" hidden="1" x14ac:dyDescent="0.3">
      <c r="A197" s="1" t="s">
        <v>119</v>
      </c>
      <c r="B197" s="9" t="s">
        <v>39</v>
      </c>
      <c r="C197" s="5" t="s">
        <v>120</v>
      </c>
      <c r="D197" s="9" t="s">
        <v>41</v>
      </c>
      <c r="E197" s="9" t="s">
        <v>42</v>
      </c>
      <c r="F197" s="2">
        <v>3024</v>
      </c>
      <c r="G197" s="2">
        <v>925</v>
      </c>
      <c r="H197" s="2">
        <v>350</v>
      </c>
      <c r="I197" s="2">
        <v>24192</v>
      </c>
      <c r="J197" s="2">
        <v>23518</v>
      </c>
      <c r="K197" s="6">
        <v>36</v>
      </c>
      <c r="L197" s="2">
        <f>Table14[[#This Row],[Likes]]+Table14[[#This Row],[Shares]]+Table14[[#This Row],[Comments]]+Table14[[#This Row],[Clicks]]</f>
        <v>4335</v>
      </c>
      <c r="M197" s="11">
        <f>(Table14[[#This Row],[Likes]]+Table14[[#This Row],[Shares]]+Table14[[#This Row],[Comments]])/Table14[[#This Row],[Impressions]]</f>
        <v>0.17770337301587302</v>
      </c>
      <c r="N197" s="9" t="s">
        <v>34</v>
      </c>
      <c r="O197" s="1"/>
      <c r="P197" s="1"/>
      <c r="Q197" s="1" t="s">
        <v>22</v>
      </c>
    </row>
    <row r="198" spans="1:17" hidden="1" x14ac:dyDescent="0.3">
      <c r="A198" s="1" t="s">
        <v>288</v>
      </c>
      <c r="B198" s="9" t="s">
        <v>13</v>
      </c>
      <c r="C198" s="5" t="s">
        <v>222</v>
      </c>
      <c r="D198" s="9" t="s">
        <v>48</v>
      </c>
      <c r="E198" s="9" t="s">
        <v>127</v>
      </c>
      <c r="F198" s="2">
        <v>3092</v>
      </c>
      <c r="G198" s="2">
        <v>106</v>
      </c>
      <c r="H198" s="2">
        <v>291</v>
      </c>
      <c r="I198" s="2">
        <v>27828</v>
      </c>
      <c r="J198" s="2">
        <v>27217</v>
      </c>
      <c r="K198" s="6">
        <v>102</v>
      </c>
      <c r="L198" s="2">
        <f>Table14[[#This Row],[Likes]]+Table14[[#This Row],[Shares]]+Table14[[#This Row],[Comments]]+Table14[[#This Row],[Clicks]]</f>
        <v>3591</v>
      </c>
      <c r="M198" s="11">
        <f>(Table14[[#This Row],[Likes]]+Table14[[#This Row],[Shares]]+Table14[[#This Row],[Comments]])/Table14[[#This Row],[Impressions]]</f>
        <v>0.12537731780940059</v>
      </c>
      <c r="N198" s="9" t="s">
        <v>58</v>
      </c>
      <c r="O198" s="1"/>
      <c r="P198" s="1"/>
    </row>
    <row r="199" spans="1:17" hidden="1" x14ac:dyDescent="0.3">
      <c r="A199" s="1" t="s">
        <v>221</v>
      </c>
      <c r="B199" s="9" t="s">
        <v>13</v>
      </c>
      <c r="C199" s="5" t="s">
        <v>222</v>
      </c>
      <c r="D199" s="9" t="s">
        <v>48</v>
      </c>
      <c r="E199" s="9" t="s">
        <v>127</v>
      </c>
      <c r="F199" s="2">
        <v>2214</v>
      </c>
      <c r="G199" s="2">
        <v>249</v>
      </c>
      <c r="H199" s="2">
        <v>152</v>
      </c>
      <c r="I199" s="2">
        <v>15498</v>
      </c>
      <c r="J199" s="2">
        <v>14800</v>
      </c>
      <c r="K199" s="6">
        <v>180</v>
      </c>
      <c r="L199" s="2">
        <f>Table14[[#This Row],[Likes]]+Table14[[#This Row],[Shares]]+Table14[[#This Row],[Comments]]+Table14[[#This Row],[Clicks]]</f>
        <v>2795</v>
      </c>
      <c r="M199" s="11">
        <f>(Table14[[#This Row],[Likes]]+Table14[[#This Row],[Shares]]+Table14[[#This Row],[Comments]])/Table14[[#This Row],[Impressions]]</f>
        <v>0.16873144921925409</v>
      </c>
      <c r="N199" s="9" t="s">
        <v>34</v>
      </c>
      <c r="O199" s="1"/>
      <c r="P199" s="1"/>
    </row>
    <row r="200" spans="1:17" hidden="1" x14ac:dyDescent="0.3">
      <c r="A200" s="1" t="s">
        <v>378</v>
      </c>
      <c r="B200" s="9" t="s">
        <v>30</v>
      </c>
      <c r="C200" s="5" t="s">
        <v>379</v>
      </c>
      <c r="D200" s="9" t="s">
        <v>41</v>
      </c>
      <c r="E200" s="9" t="s">
        <v>84</v>
      </c>
      <c r="F200" s="2">
        <v>4523</v>
      </c>
      <c r="G200" s="2">
        <v>61</v>
      </c>
      <c r="H200" s="2">
        <v>157</v>
      </c>
      <c r="I200" s="2">
        <v>49753</v>
      </c>
      <c r="J200" s="2">
        <v>49329</v>
      </c>
      <c r="K200" s="6">
        <v>71</v>
      </c>
      <c r="L200" s="2">
        <f>Table14[[#This Row],[Likes]]+Table14[[#This Row],[Shares]]+Table14[[#This Row],[Comments]]+Table14[[#This Row],[Clicks]]</f>
        <v>4812</v>
      </c>
      <c r="M200" s="11">
        <f>(Table14[[#This Row],[Likes]]+Table14[[#This Row],[Shares]]+Table14[[#This Row],[Comments]])/Table14[[#This Row],[Impressions]]</f>
        <v>9.5290736237010829E-2</v>
      </c>
      <c r="N200" s="9" t="s">
        <v>34</v>
      </c>
      <c r="O200" s="1"/>
      <c r="P200" s="1"/>
    </row>
    <row r="201" spans="1:17" hidden="1" x14ac:dyDescent="0.3">
      <c r="A201" s="1" t="s">
        <v>466</v>
      </c>
      <c r="B201" s="9" t="s">
        <v>39</v>
      </c>
      <c r="C201" s="5" t="s">
        <v>467</v>
      </c>
      <c r="D201" s="9" t="s">
        <v>15</v>
      </c>
      <c r="E201" s="9" t="s">
        <v>61</v>
      </c>
      <c r="F201" s="2">
        <v>4134</v>
      </c>
      <c r="G201" s="2">
        <v>824</v>
      </c>
      <c r="H201" s="2">
        <v>99</v>
      </c>
      <c r="I201" s="2">
        <v>41340</v>
      </c>
      <c r="J201" s="2">
        <v>41050</v>
      </c>
      <c r="K201" s="6">
        <v>177</v>
      </c>
      <c r="L201" s="2">
        <f>Table14[[#This Row],[Likes]]+Table14[[#This Row],[Shares]]+Table14[[#This Row],[Comments]]+Table14[[#This Row],[Clicks]]</f>
        <v>5234</v>
      </c>
      <c r="M201" s="11">
        <f>(Table14[[#This Row],[Likes]]+Table14[[#This Row],[Shares]]+Table14[[#This Row],[Comments]])/Table14[[#This Row],[Impressions]]</f>
        <v>0.12232704402515723</v>
      </c>
      <c r="N201" s="9" t="s">
        <v>34</v>
      </c>
      <c r="O201" s="1"/>
      <c r="P201" s="1"/>
      <c r="Q201" s="1" t="s">
        <v>17</v>
      </c>
    </row>
    <row r="202" spans="1:17" hidden="1" x14ac:dyDescent="0.3">
      <c r="A202" s="1" t="s">
        <v>480</v>
      </c>
      <c r="B202" s="9" t="s">
        <v>13</v>
      </c>
      <c r="C202" s="5" t="s">
        <v>481</v>
      </c>
      <c r="D202" s="9" t="s">
        <v>48</v>
      </c>
      <c r="E202" s="9" t="s">
        <v>127</v>
      </c>
      <c r="F202" s="2">
        <v>2692</v>
      </c>
      <c r="G202" s="2">
        <v>115</v>
      </c>
      <c r="H202" s="2">
        <v>64</v>
      </c>
      <c r="I202" s="2">
        <v>21536</v>
      </c>
      <c r="J202" s="2">
        <v>21120</v>
      </c>
      <c r="K202" s="6">
        <v>224</v>
      </c>
      <c r="L202" s="2">
        <f>Table14[[#This Row],[Likes]]+Table14[[#This Row],[Shares]]+Table14[[#This Row],[Comments]]+Table14[[#This Row],[Clicks]]</f>
        <v>3095</v>
      </c>
      <c r="M202" s="11">
        <f>(Table14[[#This Row],[Likes]]+Table14[[#This Row],[Shares]]+Table14[[#This Row],[Comments]])/Table14[[#This Row],[Impressions]]</f>
        <v>0.13331166419019316</v>
      </c>
      <c r="N202" s="9" t="s">
        <v>58</v>
      </c>
      <c r="O202" s="1"/>
      <c r="P202" s="1"/>
      <c r="Q202" s="1" t="s">
        <v>22</v>
      </c>
    </row>
    <row r="203" spans="1:17" hidden="1" x14ac:dyDescent="0.3">
      <c r="A203" s="1" t="s">
        <v>505</v>
      </c>
      <c r="B203" s="9" t="s">
        <v>24</v>
      </c>
      <c r="C203" s="5" t="s">
        <v>404</v>
      </c>
      <c r="D203" s="9" t="s">
        <v>15</v>
      </c>
      <c r="E203" s="9" t="s">
        <v>26</v>
      </c>
      <c r="F203" s="2">
        <v>3774</v>
      </c>
      <c r="G203" s="2">
        <v>239</v>
      </c>
      <c r="H203" s="2">
        <v>39</v>
      </c>
      <c r="I203" s="2">
        <v>60384</v>
      </c>
      <c r="J203" s="2">
        <v>59490</v>
      </c>
      <c r="K203" s="6">
        <v>241</v>
      </c>
      <c r="L203" s="2">
        <f>Table14[[#This Row],[Likes]]+Table14[[#This Row],[Shares]]+Table14[[#This Row],[Comments]]+Table14[[#This Row],[Clicks]]</f>
        <v>4293</v>
      </c>
      <c r="M203" s="11">
        <f>(Table14[[#This Row],[Likes]]+Table14[[#This Row],[Shares]]+Table14[[#This Row],[Comments]])/Table14[[#This Row],[Impressions]]</f>
        <v>6.7103868574456813E-2</v>
      </c>
      <c r="N203" s="9" t="s">
        <v>27</v>
      </c>
      <c r="O203" s="1"/>
      <c r="P203" s="1"/>
      <c r="Q203" s="1" t="s">
        <v>28</v>
      </c>
    </row>
    <row r="204" spans="1:17" hidden="1" x14ac:dyDescent="0.3">
      <c r="A204" s="1" t="s">
        <v>403</v>
      </c>
      <c r="B204" s="9" t="s">
        <v>13</v>
      </c>
      <c r="C204" s="5" t="s">
        <v>404</v>
      </c>
      <c r="D204" s="9" t="s">
        <v>15</v>
      </c>
      <c r="E204" s="9" t="s">
        <v>16</v>
      </c>
      <c r="F204" s="2">
        <v>802</v>
      </c>
      <c r="G204" s="2">
        <v>262</v>
      </c>
      <c r="H204" s="2">
        <v>244</v>
      </c>
      <c r="I204" s="2">
        <v>14436</v>
      </c>
      <c r="J204" s="2">
        <v>14280</v>
      </c>
      <c r="K204" s="6">
        <v>49</v>
      </c>
      <c r="L204" s="2">
        <f>Table14[[#This Row],[Likes]]+Table14[[#This Row],[Shares]]+Table14[[#This Row],[Comments]]+Table14[[#This Row],[Clicks]]</f>
        <v>1357</v>
      </c>
      <c r="M204" s="11">
        <f>(Table14[[#This Row],[Likes]]+Table14[[#This Row],[Shares]]+Table14[[#This Row],[Comments]])/Table14[[#This Row],[Impressions]]</f>
        <v>9.0606816292601824E-2</v>
      </c>
      <c r="N204" s="9" t="s">
        <v>34</v>
      </c>
      <c r="O204" s="1"/>
      <c r="P204" s="1"/>
      <c r="Q204" s="1" t="s">
        <v>17</v>
      </c>
    </row>
    <row r="205" spans="1:17" ht="20.399999999999999" customHeight="1" x14ac:dyDescent="0.3">
      <c r="A205" s="1" t="s">
        <v>362</v>
      </c>
      <c r="B205" s="9" t="s">
        <v>30</v>
      </c>
      <c r="C205" s="5" t="s">
        <v>363</v>
      </c>
      <c r="D205" s="9" t="s">
        <v>15</v>
      </c>
      <c r="E205" s="9" t="s">
        <v>78</v>
      </c>
      <c r="F205" s="2">
        <v>142</v>
      </c>
      <c r="G205" s="2">
        <v>784</v>
      </c>
      <c r="H205" s="2">
        <v>183</v>
      </c>
      <c r="I205" s="2">
        <v>1704</v>
      </c>
      <c r="J205" s="2">
        <v>995</v>
      </c>
      <c r="K205" s="6">
        <v>154</v>
      </c>
      <c r="L205" s="2">
        <f>Table14[[#This Row],[Likes]]+Table14[[#This Row],[Shares]]+Table14[[#This Row],[Comments]]+Table14[[#This Row],[Clicks]]</f>
        <v>1263</v>
      </c>
      <c r="M205" s="40">
        <f>(Table14[[#This Row],[Likes]]+Table14[[#This Row],[Shares]]+Table14[[#This Row],[Comments]])/Table14[[#This Row],[Impressions]]</f>
        <v>0.6508215962441315</v>
      </c>
      <c r="N205" s="9" t="s">
        <v>58</v>
      </c>
      <c r="O205" s="1"/>
      <c r="P205" s="1"/>
      <c r="Q205" s="1" t="s">
        <v>35</v>
      </c>
    </row>
    <row r="206" spans="1:17" hidden="1" x14ac:dyDescent="0.3">
      <c r="A206" s="1" t="s">
        <v>492</v>
      </c>
      <c r="B206" s="9" t="s">
        <v>24</v>
      </c>
      <c r="C206" s="5" t="s">
        <v>460</v>
      </c>
      <c r="D206" s="9" t="s">
        <v>48</v>
      </c>
      <c r="E206" s="9" t="s">
        <v>49</v>
      </c>
      <c r="F206" s="2">
        <v>1206</v>
      </c>
      <c r="G206" s="2">
        <v>238</v>
      </c>
      <c r="H206" s="2">
        <v>36</v>
      </c>
      <c r="I206" s="2">
        <v>9648</v>
      </c>
      <c r="J206" s="2">
        <v>9417</v>
      </c>
      <c r="K206" s="6">
        <v>237</v>
      </c>
      <c r="L206" s="2">
        <f>Table14[[#This Row],[Likes]]+Table14[[#This Row],[Shares]]+Table14[[#This Row],[Comments]]+Table14[[#This Row],[Clicks]]</f>
        <v>1717</v>
      </c>
      <c r="M206" s="11">
        <f>(Table14[[#This Row],[Likes]]+Table14[[#This Row],[Shares]]+Table14[[#This Row],[Comments]])/Table14[[#This Row],[Impressions]]</f>
        <v>0.15339966832504145</v>
      </c>
      <c r="N206" s="9" t="s">
        <v>27</v>
      </c>
      <c r="O206" s="1"/>
      <c r="P206" s="1"/>
    </row>
    <row r="207" spans="1:17" hidden="1" x14ac:dyDescent="0.3">
      <c r="A207" s="1" t="s">
        <v>459</v>
      </c>
      <c r="B207" s="9" t="s">
        <v>39</v>
      </c>
      <c r="C207" s="5" t="s">
        <v>460</v>
      </c>
      <c r="D207" s="9" t="s">
        <v>32</v>
      </c>
      <c r="E207" s="9" t="s">
        <v>67</v>
      </c>
      <c r="F207" s="2">
        <v>4321</v>
      </c>
      <c r="G207" s="2">
        <v>874</v>
      </c>
      <c r="H207" s="2">
        <v>172</v>
      </c>
      <c r="I207" s="2">
        <v>30247</v>
      </c>
      <c r="J207" s="2">
        <v>29254</v>
      </c>
      <c r="K207" s="6">
        <v>122</v>
      </c>
      <c r="L207" s="2">
        <f>Table14[[#This Row],[Likes]]+Table14[[#This Row],[Shares]]+Table14[[#This Row],[Comments]]+Table14[[#This Row],[Clicks]]</f>
        <v>5489</v>
      </c>
      <c r="M207" s="11">
        <f>(Table14[[#This Row],[Likes]]+Table14[[#This Row],[Shares]]+Table14[[#This Row],[Comments]])/Table14[[#This Row],[Impressions]]</f>
        <v>0.17743908486792079</v>
      </c>
      <c r="N207" s="9" t="s">
        <v>27</v>
      </c>
      <c r="O207" s="1"/>
      <c r="P207" s="1"/>
      <c r="Q207" s="1" t="s">
        <v>35</v>
      </c>
    </row>
    <row r="208" spans="1:17" hidden="1" x14ac:dyDescent="0.3">
      <c r="A208" s="1" t="s">
        <v>91</v>
      </c>
      <c r="B208" s="9" t="s">
        <v>39</v>
      </c>
      <c r="C208" s="5" t="s">
        <v>92</v>
      </c>
      <c r="D208" s="9" t="s">
        <v>70</v>
      </c>
      <c r="E208" s="9" t="s">
        <v>71</v>
      </c>
      <c r="F208" s="2">
        <v>3961</v>
      </c>
      <c r="G208" s="2">
        <v>761</v>
      </c>
      <c r="H208" s="2">
        <v>131</v>
      </c>
      <c r="I208" s="2">
        <v>67337</v>
      </c>
      <c r="J208" s="2">
        <v>66615</v>
      </c>
      <c r="K208" s="6">
        <v>161</v>
      </c>
      <c r="L208" s="2">
        <f>Table14[[#This Row],[Likes]]+Table14[[#This Row],[Shares]]+Table14[[#This Row],[Comments]]+Table14[[#This Row],[Clicks]]</f>
        <v>5014</v>
      </c>
      <c r="M208" s="11">
        <f>(Table14[[#This Row],[Likes]]+Table14[[#This Row],[Shares]]+Table14[[#This Row],[Comments]])/Table14[[#This Row],[Impressions]]</f>
        <v>7.2070332803659209E-2</v>
      </c>
      <c r="N208" s="9" t="s">
        <v>58</v>
      </c>
      <c r="O208" s="1"/>
      <c r="P208" s="1"/>
      <c r="Q208" s="1" t="s">
        <v>28</v>
      </c>
    </row>
    <row r="209" spans="1:17" hidden="1" x14ac:dyDescent="0.3">
      <c r="A209" s="1" t="s">
        <v>215</v>
      </c>
      <c r="B209" s="9" t="s">
        <v>24</v>
      </c>
      <c r="C209" s="5" t="s">
        <v>216</v>
      </c>
      <c r="D209" s="9" t="s">
        <v>20</v>
      </c>
      <c r="E209" s="9" t="s">
        <v>99</v>
      </c>
      <c r="F209" s="2">
        <v>3428</v>
      </c>
      <c r="G209" s="2">
        <v>305</v>
      </c>
      <c r="H209" s="2">
        <v>85</v>
      </c>
      <c r="I209" s="2">
        <v>58276</v>
      </c>
      <c r="J209" s="2">
        <v>58052</v>
      </c>
      <c r="K209" s="6">
        <v>242</v>
      </c>
      <c r="L209" s="2">
        <f>Table14[[#This Row],[Likes]]+Table14[[#This Row],[Shares]]+Table14[[#This Row],[Comments]]+Table14[[#This Row],[Clicks]]</f>
        <v>4060</v>
      </c>
      <c r="M209" s="11">
        <f>(Table14[[#This Row],[Likes]]+Table14[[#This Row],[Shares]]+Table14[[#This Row],[Comments]])/Table14[[#This Row],[Impressions]]</f>
        <v>6.5515821264328367E-2</v>
      </c>
      <c r="N209" s="9" t="s">
        <v>34</v>
      </c>
      <c r="O209" s="1" t="s">
        <v>553</v>
      </c>
      <c r="P209" s="1"/>
      <c r="Q209" s="1" t="s">
        <v>35</v>
      </c>
    </row>
    <row r="210" spans="1:17" hidden="1" x14ac:dyDescent="0.3">
      <c r="A210" s="1" t="s">
        <v>287</v>
      </c>
      <c r="B210" s="9" t="s">
        <v>39</v>
      </c>
      <c r="C210" s="5" t="s">
        <v>216</v>
      </c>
      <c r="D210" s="9" t="s">
        <v>15</v>
      </c>
      <c r="E210" s="9" t="s">
        <v>61</v>
      </c>
      <c r="F210" s="2">
        <v>3452</v>
      </c>
      <c r="G210" s="2">
        <v>652</v>
      </c>
      <c r="H210" s="2">
        <v>442</v>
      </c>
      <c r="I210" s="2">
        <v>65588</v>
      </c>
      <c r="J210" s="2">
        <v>65049</v>
      </c>
      <c r="K210" s="6">
        <v>158</v>
      </c>
      <c r="L210" s="2">
        <f>Table14[[#This Row],[Likes]]+Table14[[#This Row],[Shares]]+Table14[[#This Row],[Comments]]+Table14[[#This Row],[Clicks]]</f>
        <v>4704</v>
      </c>
      <c r="M210" s="11">
        <f>(Table14[[#This Row],[Likes]]+Table14[[#This Row],[Shares]]+Table14[[#This Row],[Comments]])/Table14[[#This Row],[Impressions]]</f>
        <v>6.9311459413307311E-2</v>
      </c>
      <c r="N210" s="9" t="s">
        <v>58</v>
      </c>
      <c r="O210" s="1"/>
      <c r="P210" s="1"/>
      <c r="Q210" s="1" t="s">
        <v>28</v>
      </c>
    </row>
    <row r="211" spans="1:17" hidden="1" x14ac:dyDescent="0.3">
      <c r="A211" s="1" t="s">
        <v>167</v>
      </c>
      <c r="B211" s="9" t="s">
        <v>30</v>
      </c>
      <c r="C211" s="5" t="s">
        <v>168</v>
      </c>
      <c r="D211" s="9" t="s">
        <v>70</v>
      </c>
      <c r="E211" s="9" t="s">
        <v>81</v>
      </c>
      <c r="F211" s="2">
        <v>904</v>
      </c>
      <c r="G211" s="2">
        <v>973</v>
      </c>
      <c r="H211" s="2">
        <v>63</v>
      </c>
      <c r="I211" s="2">
        <v>11752</v>
      </c>
      <c r="J211" s="2">
        <v>11580</v>
      </c>
      <c r="K211" s="6">
        <v>84</v>
      </c>
      <c r="L211" s="2">
        <f>Table14[[#This Row],[Likes]]+Table14[[#This Row],[Shares]]+Table14[[#This Row],[Comments]]+Table14[[#This Row],[Clicks]]</f>
        <v>2024</v>
      </c>
      <c r="M211" s="11">
        <f>(Table14[[#This Row],[Likes]]+Table14[[#This Row],[Shares]]+Table14[[#This Row],[Comments]])/Table14[[#This Row],[Impressions]]</f>
        <v>0.1650782845473111</v>
      </c>
      <c r="N211" s="9" t="s">
        <v>34</v>
      </c>
      <c r="O211" s="1" t="s">
        <v>27</v>
      </c>
      <c r="P211" s="1" t="s">
        <v>551</v>
      </c>
      <c r="Q211" s="1" t="s">
        <v>28</v>
      </c>
    </row>
    <row r="212" spans="1:17" hidden="1" x14ac:dyDescent="0.3">
      <c r="A212" s="1" t="s">
        <v>429</v>
      </c>
      <c r="B212" s="9" t="s">
        <v>13</v>
      </c>
      <c r="C212" s="5" t="s">
        <v>168</v>
      </c>
      <c r="D212" s="9" t="s">
        <v>15</v>
      </c>
      <c r="E212" s="9" t="s">
        <v>16</v>
      </c>
      <c r="F212" s="2">
        <v>1188</v>
      </c>
      <c r="G212" s="2">
        <v>470</v>
      </c>
      <c r="H212" s="2">
        <v>174</v>
      </c>
      <c r="I212" s="2">
        <v>7128</v>
      </c>
      <c r="J212" s="2">
        <v>6145</v>
      </c>
      <c r="K212" s="6">
        <v>270</v>
      </c>
      <c r="L212" s="2">
        <f>Table14[[#This Row],[Likes]]+Table14[[#This Row],[Shares]]+Table14[[#This Row],[Comments]]+Table14[[#This Row],[Clicks]]</f>
        <v>2102</v>
      </c>
      <c r="M212" s="11">
        <f>(Table14[[#This Row],[Likes]]+Table14[[#This Row],[Shares]]+Table14[[#This Row],[Comments]])/Table14[[#This Row],[Impressions]]</f>
        <v>0.25701459034792368</v>
      </c>
      <c r="N212" s="9" t="s">
        <v>27</v>
      </c>
      <c r="O212" s="1"/>
      <c r="P212" s="1"/>
      <c r="Q212" s="1" t="s">
        <v>35</v>
      </c>
    </row>
    <row r="213" spans="1:17" ht="20.399999999999999" customHeight="1" x14ac:dyDescent="0.3">
      <c r="A213" s="1" t="s">
        <v>495</v>
      </c>
      <c r="B213" s="9" t="s">
        <v>13</v>
      </c>
      <c r="C213" s="5" t="s">
        <v>496</v>
      </c>
      <c r="D213" s="9" t="s">
        <v>48</v>
      </c>
      <c r="E213" s="9" t="s">
        <v>127</v>
      </c>
      <c r="F213" s="2">
        <v>59</v>
      </c>
      <c r="G213" s="2">
        <v>163</v>
      </c>
      <c r="H213" s="2">
        <v>93</v>
      </c>
      <c r="I213" s="2">
        <v>590</v>
      </c>
      <c r="J213" s="2">
        <v>475</v>
      </c>
      <c r="K213" s="6">
        <v>293</v>
      </c>
      <c r="L213" s="2">
        <f>Table14[[#This Row],[Likes]]+Table14[[#This Row],[Shares]]+Table14[[#This Row],[Comments]]+Table14[[#This Row],[Clicks]]</f>
        <v>608</v>
      </c>
      <c r="M213" s="40">
        <f>(Table14[[#This Row],[Likes]]+Table14[[#This Row],[Shares]]+Table14[[#This Row],[Comments]])/Table14[[#This Row],[Impressions]]</f>
        <v>0.53389830508474578</v>
      </c>
      <c r="N213" s="9" t="s">
        <v>27</v>
      </c>
      <c r="O213" s="1"/>
      <c r="P213" s="1"/>
      <c r="Q213" s="1" t="s">
        <v>22</v>
      </c>
    </row>
    <row r="214" spans="1:17" hidden="1" x14ac:dyDescent="0.3">
      <c r="A214" s="1" t="s">
        <v>102</v>
      </c>
      <c r="B214" s="9" t="s">
        <v>30</v>
      </c>
      <c r="C214" s="5" t="s">
        <v>103</v>
      </c>
      <c r="D214" s="9" t="s">
        <v>41</v>
      </c>
      <c r="E214" s="9" t="s">
        <v>84</v>
      </c>
      <c r="F214" s="2">
        <v>2566</v>
      </c>
      <c r="G214" s="2">
        <v>118</v>
      </c>
      <c r="H214" s="2">
        <v>37</v>
      </c>
      <c r="I214" s="2">
        <v>12830</v>
      </c>
      <c r="J214" s="2">
        <v>12264</v>
      </c>
      <c r="K214" s="6">
        <v>221</v>
      </c>
      <c r="L214" s="2">
        <f>Table14[[#This Row],[Likes]]+Table14[[#This Row],[Shares]]+Table14[[#This Row],[Comments]]+Table14[[#This Row],[Clicks]]</f>
        <v>2942</v>
      </c>
      <c r="M214" s="11">
        <f>(Table14[[#This Row],[Likes]]+Table14[[#This Row],[Shares]]+Table14[[#This Row],[Comments]])/Table14[[#This Row],[Impressions]]</f>
        <v>0.21208106001558846</v>
      </c>
      <c r="N214" s="9" t="s">
        <v>58</v>
      </c>
      <c r="O214" s="1"/>
      <c r="P214" s="1"/>
      <c r="Q214" s="1" t="s">
        <v>28</v>
      </c>
    </row>
    <row r="215" spans="1:17" hidden="1" x14ac:dyDescent="0.3">
      <c r="A215" s="1" t="s">
        <v>56</v>
      </c>
      <c r="B215" s="9" t="s">
        <v>30</v>
      </c>
      <c r="C215" s="5" t="s">
        <v>57</v>
      </c>
      <c r="D215" s="9" t="s">
        <v>32</v>
      </c>
      <c r="E215" s="9" t="s">
        <v>33</v>
      </c>
      <c r="F215" s="2">
        <v>1792</v>
      </c>
      <c r="G215" s="2">
        <v>614</v>
      </c>
      <c r="H215" s="2">
        <v>497</v>
      </c>
      <c r="I215" s="2">
        <v>25088</v>
      </c>
      <c r="J215" s="2">
        <v>24675</v>
      </c>
      <c r="K215" s="6">
        <v>65</v>
      </c>
      <c r="L215" s="2">
        <f>Table14[[#This Row],[Likes]]+Table14[[#This Row],[Shares]]+Table14[[#This Row],[Comments]]+Table14[[#This Row],[Clicks]]</f>
        <v>2968</v>
      </c>
      <c r="M215" s="11">
        <f>(Table14[[#This Row],[Likes]]+Table14[[#This Row],[Shares]]+Table14[[#This Row],[Comments]])/Table14[[#This Row],[Impressions]]</f>
        <v>0.11571269132653061</v>
      </c>
      <c r="N215" s="9" t="s">
        <v>58</v>
      </c>
      <c r="O215" s="1"/>
      <c r="P215" s="1"/>
      <c r="Q215" s="1" t="s">
        <v>35</v>
      </c>
    </row>
    <row r="216" spans="1:17" hidden="1" x14ac:dyDescent="0.3">
      <c r="A216" s="1" t="s">
        <v>472</v>
      </c>
      <c r="B216" s="9" t="s">
        <v>39</v>
      </c>
      <c r="C216" s="5" t="s">
        <v>57</v>
      </c>
      <c r="D216" s="9" t="s">
        <v>32</v>
      </c>
      <c r="E216" s="9" t="s">
        <v>67</v>
      </c>
      <c r="F216" s="2">
        <v>886</v>
      </c>
      <c r="G216" s="2">
        <v>126</v>
      </c>
      <c r="H216" s="2">
        <v>153</v>
      </c>
      <c r="I216" s="2">
        <v>4430</v>
      </c>
      <c r="J216" s="2">
        <v>4037</v>
      </c>
      <c r="K216" s="6">
        <v>212</v>
      </c>
      <c r="L216" s="2">
        <f>Table14[[#This Row],[Likes]]+Table14[[#This Row],[Shares]]+Table14[[#This Row],[Comments]]+Table14[[#This Row],[Clicks]]</f>
        <v>1377</v>
      </c>
      <c r="M216" s="11">
        <f>(Table14[[#This Row],[Likes]]+Table14[[#This Row],[Shares]]+Table14[[#This Row],[Comments]])/Table14[[#This Row],[Impressions]]</f>
        <v>0.26297968397291194</v>
      </c>
      <c r="N216" s="9" t="s">
        <v>34</v>
      </c>
      <c r="O216" s="1"/>
      <c r="P216" s="1"/>
    </row>
    <row r="217" spans="1:17" hidden="1" x14ac:dyDescent="0.3">
      <c r="A217" s="1" t="s">
        <v>251</v>
      </c>
      <c r="B217" s="9" t="s">
        <v>30</v>
      </c>
      <c r="C217" s="5" t="s">
        <v>252</v>
      </c>
      <c r="D217" s="9" t="s">
        <v>48</v>
      </c>
      <c r="E217" s="9" t="s">
        <v>208</v>
      </c>
      <c r="F217" s="2">
        <v>4619</v>
      </c>
      <c r="G217" s="2">
        <v>821</v>
      </c>
      <c r="H217" s="2">
        <v>499</v>
      </c>
      <c r="I217" s="2">
        <v>69285</v>
      </c>
      <c r="J217" s="2">
        <v>69141</v>
      </c>
      <c r="K217" s="6">
        <v>298</v>
      </c>
      <c r="L217" s="2">
        <f>Table14[[#This Row],[Likes]]+Table14[[#This Row],[Shares]]+Table14[[#This Row],[Comments]]+Table14[[#This Row],[Clicks]]</f>
        <v>6237</v>
      </c>
      <c r="M217" s="11">
        <f>(Table14[[#This Row],[Likes]]+Table14[[#This Row],[Shares]]+Table14[[#This Row],[Comments]])/Table14[[#This Row],[Impressions]]</f>
        <v>8.5718409468138843E-2</v>
      </c>
      <c r="N217" s="9" t="s">
        <v>27</v>
      </c>
      <c r="O217" s="1"/>
      <c r="P217" s="1"/>
      <c r="Q217" s="1" t="s">
        <v>35</v>
      </c>
    </row>
    <row r="218" spans="1:17" hidden="1" x14ac:dyDescent="0.3">
      <c r="A218" s="1" t="s">
        <v>294</v>
      </c>
      <c r="B218" s="9" t="s">
        <v>39</v>
      </c>
      <c r="C218" s="5" t="s">
        <v>295</v>
      </c>
      <c r="D218" s="9" t="s">
        <v>48</v>
      </c>
      <c r="E218" s="9" t="s">
        <v>55</v>
      </c>
      <c r="F218" s="2">
        <v>2072</v>
      </c>
      <c r="G218" s="2">
        <v>532</v>
      </c>
      <c r="H218" s="2">
        <v>71</v>
      </c>
      <c r="I218" s="2">
        <v>37296</v>
      </c>
      <c r="J218" s="2">
        <v>36467</v>
      </c>
      <c r="K218" s="6">
        <v>25</v>
      </c>
      <c r="L218" s="2">
        <f>Table14[[#This Row],[Likes]]+Table14[[#This Row],[Shares]]+Table14[[#This Row],[Comments]]+Table14[[#This Row],[Clicks]]</f>
        <v>2700</v>
      </c>
      <c r="M218" s="11">
        <f>(Table14[[#This Row],[Likes]]+Table14[[#This Row],[Shares]]+Table14[[#This Row],[Comments]])/Table14[[#This Row],[Impressions]]</f>
        <v>7.172350922350923E-2</v>
      </c>
      <c r="N218" s="9" t="s">
        <v>27</v>
      </c>
      <c r="O218" s="1"/>
      <c r="P218" s="1"/>
      <c r="Q218" s="1" t="s">
        <v>35</v>
      </c>
    </row>
    <row r="219" spans="1:17" hidden="1" x14ac:dyDescent="0.3">
      <c r="A219" s="1" t="s">
        <v>276</v>
      </c>
      <c r="B219" s="9" t="s">
        <v>30</v>
      </c>
      <c r="C219" s="5" t="s">
        <v>277</v>
      </c>
      <c r="D219" s="9" t="s">
        <v>15</v>
      </c>
      <c r="E219" s="9" t="s">
        <v>78</v>
      </c>
      <c r="F219" s="2">
        <v>1970</v>
      </c>
      <c r="G219" s="2">
        <v>675</v>
      </c>
      <c r="H219" s="2">
        <v>478</v>
      </c>
      <c r="I219" s="2">
        <v>9850</v>
      </c>
      <c r="J219" s="2">
        <v>8924</v>
      </c>
      <c r="K219" s="6">
        <v>117</v>
      </c>
      <c r="L219" s="2">
        <f>Table14[[#This Row],[Likes]]+Table14[[#This Row],[Shares]]+Table14[[#This Row],[Comments]]+Table14[[#This Row],[Clicks]]</f>
        <v>3240</v>
      </c>
      <c r="M219" s="11">
        <f>(Table14[[#This Row],[Likes]]+Table14[[#This Row],[Shares]]+Table14[[#This Row],[Comments]])/Table14[[#This Row],[Impressions]]</f>
        <v>0.31705583756345179</v>
      </c>
      <c r="N219" s="9" t="s">
        <v>58</v>
      </c>
      <c r="O219" s="1"/>
      <c r="P219" s="1"/>
    </row>
    <row r="220" spans="1:17" hidden="1" x14ac:dyDescent="0.3">
      <c r="A220" s="1" t="s">
        <v>240</v>
      </c>
      <c r="B220" s="9" t="s">
        <v>24</v>
      </c>
      <c r="C220" s="5" t="s">
        <v>241</v>
      </c>
      <c r="D220" s="9" t="s">
        <v>70</v>
      </c>
      <c r="E220" s="9" t="s">
        <v>211</v>
      </c>
      <c r="F220" s="2">
        <v>1766</v>
      </c>
      <c r="G220" s="2">
        <v>92</v>
      </c>
      <c r="H220" s="2">
        <v>424</v>
      </c>
      <c r="I220" s="2">
        <v>24724</v>
      </c>
      <c r="J220" s="2">
        <v>24333</v>
      </c>
      <c r="K220" s="6">
        <v>52</v>
      </c>
      <c r="L220" s="2">
        <f>Table14[[#This Row],[Likes]]+Table14[[#This Row],[Shares]]+Table14[[#This Row],[Comments]]+Table14[[#This Row],[Clicks]]</f>
        <v>2334</v>
      </c>
      <c r="M220" s="11">
        <f>(Table14[[#This Row],[Likes]]+Table14[[#This Row],[Shares]]+Table14[[#This Row],[Comments]])/Table14[[#This Row],[Impressions]]</f>
        <v>9.2298980747451867E-2</v>
      </c>
      <c r="N220" s="9" t="s">
        <v>34</v>
      </c>
      <c r="O220" s="1"/>
      <c r="P220" s="1"/>
    </row>
    <row r="221" spans="1:17" hidden="1" x14ac:dyDescent="0.3">
      <c r="A221" s="1" t="s">
        <v>487</v>
      </c>
      <c r="B221" s="9" t="s">
        <v>39</v>
      </c>
      <c r="C221" s="5" t="s">
        <v>241</v>
      </c>
      <c r="D221" s="9" t="s">
        <v>20</v>
      </c>
      <c r="E221" s="9" t="s">
        <v>52</v>
      </c>
      <c r="F221" s="2">
        <v>562</v>
      </c>
      <c r="G221" s="2">
        <v>158</v>
      </c>
      <c r="H221" s="2">
        <v>149</v>
      </c>
      <c r="I221" s="2">
        <v>3372</v>
      </c>
      <c r="J221" s="2">
        <v>2940</v>
      </c>
      <c r="K221" s="6">
        <v>93</v>
      </c>
      <c r="L221" s="2">
        <f>Table14[[#This Row],[Likes]]+Table14[[#This Row],[Shares]]+Table14[[#This Row],[Comments]]+Table14[[#This Row],[Clicks]]</f>
        <v>962</v>
      </c>
      <c r="M221" s="11">
        <f>(Table14[[#This Row],[Likes]]+Table14[[#This Row],[Shares]]+Table14[[#This Row],[Comments]])/Table14[[#This Row],[Impressions]]</f>
        <v>0.25771055753262156</v>
      </c>
      <c r="N221" s="9" t="s">
        <v>27</v>
      </c>
      <c r="O221" s="1"/>
      <c r="P221" s="1"/>
      <c r="Q221" s="1" t="s">
        <v>17</v>
      </c>
    </row>
    <row r="222" spans="1:17" hidden="1" x14ac:dyDescent="0.3">
      <c r="A222" s="1" t="s">
        <v>544</v>
      </c>
      <c r="B222" s="9" t="s">
        <v>13</v>
      </c>
      <c r="C222" s="5" t="s">
        <v>545</v>
      </c>
      <c r="D222" s="9" t="s">
        <v>70</v>
      </c>
      <c r="E222" s="9" t="s">
        <v>140</v>
      </c>
      <c r="F222" s="2">
        <v>3440</v>
      </c>
      <c r="G222" s="2">
        <v>13</v>
      </c>
      <c r="H222" s="2">
        <v>20</v>
      </c>
      <c r="I222" s="2">
        <v>58480</v>
      </c>
      <c r="J222" s="2">
        <v>58146</v>
      </c>
      <c r="K222" s="6">
        <v>210</v>
      </c>
      <c r="L222" s="2">
        <f>Table14[[#This Row],[Likes]]+Table14[[#This Row],[Shares]]+Table14[[#This Row],[Comments]]+Table14[[#This Row],[Clicks]]</f>
        <v>3683</v>
      </c>
      <c r="M222" s="11">
        <f>(Table14[[#This Row],[Likes]]+Table14[[#This Row],[Shares]]+Table14[[#This Row],[Comments]])/Table14[[#This Row],[Impressions]]</f>
        <v>5.9387824897400819E-2</v>
      </c>
      <c r="N222" s="9" t="s">
        <v>27</v>
      </c>
      <c r="O222" s="1" t="s">
        <v>552</v>
      </c>
      <c r="P222" s="1"/>
      <c r="Q222" s="1" t="s">
        <v>35</v>
      </c>
    </row>
    <row r="223" spans="1:17" hidden="1" x14ac:dyDescent="0.3">
      <c r="A223" s="1" t="s">
        <v>488</v>
      </c>
      <c r="B223" s="9" t="s">
        <v>30</v>
      </c>
      <c r="C223" s="5" t="s">
        <v>489</v>
      </c>
      <c r="D223" s="9" t="s">
        <v>32</v>
      </c>
      <c r="E223" s="9" t="s">
        <v>33</v>
      </c>
      <c r="F223" s="2">
        <v>4332</v>
      </c>
      <c r="G223" s="2">
        <v>771</v>
      </c>
      <c r="H223" s="2">
        <v>219</v>
      </c>
      <c r="I223" s="2">
        <v>60648</v>
      </c>
      <c r="J223" s="2">
        <v>60397</v>
      </c>
      <c r="K223" s="6">
        <v>10</v>
      </c>
      <c r="L223" s="2">
        <f>Table14[[#This Row],[Likes]]+Table14[[#This Row],[Shares]]+Table14[[#This Row],[Comments]]+Table14[[#This Row],[Clicks]]</f>
        <v>5332</v>
      </c>
      <c r="M223" s="11">
        <f>(Table14[[#This Row],[Likes]]+Table14[[#This Row],[Shares]]+Table14[[#This Row],[Comments]])/Table14[[#This Row],[Impressions]]</f>
        <v>8.7752275425405618E-2</v>
      </c>
      <c r="N223" s="9" t="s">
        <v>27</v>
      </c>
      <c r="O223" s="1" t="s">
        <v>34</v>
      </c>
      <c r="P223" s="1" t="s">
        <v>553</v>
      </c>
      <c r="Q223" s="1" t="s">
        <v>28</v>
      </c>
    </row>
    <row r="224" spans="1:17" hidden="1" x14ac:dyDescent="0.3">
      <c r="A224" s="1" t="s">
        <v>347</v>
      </c>
      <c r="B224" s="9" t="s">
        <v>13</v>
      </c>
      <c r="C224" s="5" t="s">
        <v>66</v>
      </c>
      <c r="D224" s="9" t="s">
        <v>15</v>
      </c>
      <c r="E224" s="9" t="s">
        <v>16</v>
      </c>
      <c r="F224" s="2">
        <v>1076</v>
      </c>
      <c r="G224" s="2">
        <v>313</v>
      </c>
      <c r="H224" s="2">
        <v>306</v>
      </c>
      <c r="I224" s="2">
        <v>11836</v>
      </c>
      <c r="J224" s="2">
        <v>11596</v>
      </c>
      <c r="K224" s="6">
        <v>104</v>
      </c>
      <c r="L224" s="2">
        <f>Table14[[#This Row],[Likes]]+Table14[[#This Row],[Shares]]+Table14[[#This Row],[Comments]]+Table14[[#This Row],[Clicks]]</f>
        <v>1799</v>
      </c>
      <c r="M224" s="11">
        <f>(Table14[[#This Row],[Likes]]+Table14[[#This Row],[Shares]]+Table14[[#This Row],[Comments]])/Table14[[#This Row],[Impressions]]</f>
        <v>0.14320716458262928</v>
      </c>
      <c r="N224" s="9" t="s">
        <v>58</v>
      </c>
      <c r="O224" s="1"/>
      <c r="P224" s="1"/>
      <c r="Q224" s="1" t="s">
        <v>17</v>
      </c>
    </row>
    <row r="225" spans="1:17" hidden="1" x14ac:dyDescent="0.3">
      <c r="A225" s="1" t="s">
        <v>65</v>
      </c>
      <c r="B225" s="9" t="s">
        <v>39</v>
      </c>
      <c r="C225" s="5" t="s">
        <v>66</v>
      </c>
      <c r="D225" s="9" t="s">
        <v>32</v>
      </c>
      <c r="E225" s="9" t="s">
        <v>67</v>
      </c>
      <c r="F225" s="2">
        <v>4242</v>
      </c>
      <c r="G225" s="2">
        <v>555</v>
      </c>
      <c r="H225" s="2">
        <v>131</v>
      </c>
      <c r="I225" s="2">
        <v>33936</v>
      </c>
      <c r="J225" s="2">
        <v>33802</v>
      </c>
      <c r="K225" s="6">
        <v>265</v>
      </c>
      <c r="L225" s="2">
        <f>Table14[[#This Row],[Likes]]+Table14[[#This Row],[Shares]]+Table14[[#This Row],[Comments]]+Table14[[#This Row],[Clicks]]</f>
        <v>5193</v>
      </c>
      <c r="M225" s="11">
        <f>(Table14[[#This Row],[Likes]]+Table14[[#This Row],[Shares]]+Table14[[#This Row],[Comments]])/Table14[[#This Row],[Impressions]]</f>
        <v>0.14521452145214522</v>
      </c>
      <c r="N225" s="9" t="s">
        <v>58</v>
      </c>
      <c r="O225" s="1"/>
      <c r="P225" s="1"/>
    </row>
    <row r="226" spans="1:17" hidden="1" x14ac:dyDescent="0.3">
      <c r="A226" s="1" t="s">
        <v>121</v>
      </c>
      <c r="B226" s="9" t="s">
        <v>24</v>
      </c>
      <c r="C226" s="5" t="s">
        <v>122</v>
      </c>
      <c r="D226" s="9" t="s">
        <v>15</v>
      </c>
      <c r="E226" s="9" t="s">
        <v>26</v>
      </c>
      <c r="F226" s="2">
        <v>3138</v>
      </c>
      <c r="G226" s="2">
        <v>123</v>
      </c>
      <c r="H226" s="2">
        <v>291</v>
      </c>
      <c r="I226" s="2">
        <v>28242</v>
      </c>
      <c r="J226" s="2">
        <v>27550</v>
      </c>
      <c r="K226" s="6">
        <v>87</v>
      </c>
      <c r="L226" s="2">
        <f>Table14[[#This Row],[Likes]]+Table14[[#This Row],[Shares]]+Table14[[#This Row],[Comments]]+Table14[[#This Row],[Clicks]]</f>
        <v>3639</v>
      </c>
      <c r="M226" s="11">
        <f>(Table14[[#This Row],[Likes]]+Table14[[#This Row],[Shares]]+Table14[[#This Row],[Comments]])/Table14[[#This Row],[Impressions]]</f>
        <v>0.12577012959422137</v>
      </c>
      <c r="N226" s="9" t="s">
        <v>27</v>
      </c>
      <c r="O226" s="1"/>
      <c r="P226" s="1"/>
      <c r="Q226" s="1" t="s">
        <v>35</v>
      </c>
    </row>
    <row r="227" spans="1:17" ht="20.399999999999999" hidden="1" customHeight="1" x14ac:dyDescent="0.3">
      <c r="A227" s="1" t="s">
        <v>339</v>
      </c>
      <c r="B227" s="9" t="s">
        <v>13</v>
      </c>
      <c r="C227" s="5" t="s">
        <v>340</v>
      </c>
      <c r="D227" s="9" t="s">
        <v>20</v>
      </c>
      <c r="E227" s="9" t="s">
        <v>21</v>
      </c>
      <c r="F227" s="2">
        <v>4671</v>
      </c>
      <c r="G227" s="2">
        <v>876</v>
      </c>
      <c r="H227" s="2">
        <v>366</v>
      </c>
      <c r="I227" s="2">
        <v>51381</v>
      </c>
      <c r="J227" s="2">
        <v>50565</v>
      </c>
      <c r="K227" s="6">
        <v>245</v>
      </c>
      <c r="L227" s="2">
        <f>Table14[[#This Row],[Likes]]+Table14[[#This Row],[Shares]]+Table14[[#This Row],[Comments]]+Table14[[#This Row],[Clicks]]</f>
        <v>6158</v>
      </c>
      <c r="M227" s="11">
        <f>(Table14[[#This Row],[Likes]]+Table14[[#This Row],[Shares]]+Table14[[#This Row],[Comments]])/Table14[[#This Row],[Impressions]]</f>
        <v>0.11508145034156594</v>
      </c>
      <c r="N227" s="9" t="s">
        <v>27</v>
      </c>
      <c r="O227" s="1"/>
      <c r="P227" s="1"/>
      <c r="Q227" s="1" t="s">
        <v>35</v>
      </c>
    </row>
    <row r="228" spans="1:17" x14ac:dyDescent="0.3">
      <c r="A228" s="1" t="s">
        <v>417</v>
      </c>
      <c r="B228" s="9" t="s">
        <v>24</v>
      </c>
      <c r="C228" s="5" t="s">
        <v>340</v>
      </c>
      <c r="D228" s="9" t="s">
        <v>48</v>
      </c>
      <c r="E228" s="9" t="s">
        <v>49</v>
      </c>
      <c r="F228" s="2">
        <v>257</v>
      </c>
      <c r="G228" s="2">
        <v>966</v>
      </c>
      <c r="H228" s="2">
        <v>398</v>
      </c>
      <c r="I228" s="2">
        <v>3341</v>
      </c>
      <c r="J228" s="2">
        <v>2753</v>
      </c>
      <c r="K228" s="6">
        <v>287</v>
      </c>
      <c r="L228" s="2">
        <f>Table14[[#This Row],[Likes]]+Table14[[#This Row],[Shares]]+Table14[[#This Row],[Comments]]+Table14[[#This Row],[Clicks]]</f>
        <v>1908</v>
      </c>
      <c r="M228" s="40">
        <f>(Table14[[#This Row],[Likes]]+Table14[[#This Row],[Shares]]+Table14[[#This Row],[Comments]])/Table14[[#This Row],[Impressions]]</f>
        <v>0.48518407662376534</v>
      </c>
      <c r="N228" s="9" t="s">
        <v>58</v>
      </c>
      <c r="O228" s="1"/>
      <c r="P228" s="1"/>
      <c r="Q228" s="1" t="s">
        <v>17</v>
      </c>
    </row>
    <row r="229" spans="1:17" hidden="1" x14ac:dyDescent="0.3">
      <c r="A229" s="1" t="s">
        <v>497</v>
      </c>
      <c r="B229" s="9" t="s">
        <v>13</v>
      </c>
      <c r="C229" s="5" t="s">
        <v>498</v>
      </c>
      <c r="D229" s="9" t="s">
        <v>41</v>
      </c>
      <c r="E229" s="9" t="s">
        <v>45</v>
      </c>
      <c r="F229" s="2">
        <v>1877</v>
      </c>
      <c r="G229" s="2">
        <v>745</v>
      </c>
      <c r="H229" s="2">
        <v>225</v>
      </c>
      <c r="I229" s="2">
        <v>11262</v>
      </c>
      <c r="J229" s="2">
        <v>10967</v>
      </c>
      <c r="K229" s="6">
        <v>41</v>
      </c>
      <c r="L229" s="2">
        <f>Table14[[#This Row],[Likes]]+Table14[[#This Row],[Shares]]+Table14[[#This Row],[Comments]]+Table14[[#This Row],[Clicks]]</f>
        <v>2888</v>
      </c>
      <c r="M229" s="11">
        <f>(Table14[[#This Row],[Likes]]+Table14[[#This Row],[Shares]]+Table14[[#This Row],[Comments]])/Table14[[#This Row],[Impressions]]</f>
        <v>0.25279701651571657</v>
      </c>
      <c r="N229" s="9" t="s">
        <v>34</v>
      </c>
      <c r="O229" s="1"/>
      <c r="P229" s="1"/>
      <c r="Q229" s="1" t="s">
        <v>35</v>
      </c>
    </row>
    <row r="230" spans="1:17" hidden="1" x14ac:dyDescent="0.3">
      <c r="A230" s="1" t="s">
        <v>141</v>
      </c>
      <c r="B230" s="9" t="s">
        <v>13</v>
      </c>
      <c r="C230" s="5" t="s">
        <v>142</v>
      </c>
      <c r="D230" s="9" t="s">
        <v>41</v>
      </c>
      <c r="E230" s="9" t="s">
        <v>45</v>
      </c>
      <c r="F230" s="2">
        <v>2704</v>
      </c>
      <c r="G230" s="2">
        <v>752</v>
      </c>
      <c r="H230" s="2">
        <v>153</v>
      </c>
      <c r="I230" s="2">
        <v>21632</v>
      </c>
      <c r="J230" s="2">
        <v>20792</v>
      </c>
      <c r="K230" s="6">
        <v>127</v>
      </c>
      <c r="L230" s="2">
        <f>Table14[[#This Row],[Likes]]+Table14[[#This Row],[Shares]]+Table14[[#This Row],[Comments]]+Table14[[#This Row],[Clicks]]</f>
        <v>3736</v>
      </c>
      <c r="M230" s="11">
        <f>(Table14[[#This Row],[Likes]]+Table14[[#This Row],[Shares]]+Table14[[#This Row],[Comments]])/Table14[[#This Row],[Impressions]]</f>
        <v>0.16683616863905326</v>
      </c>
      <c r="N230" s="9" t="s">
        <v>58</v>
      </c>
      <c r="O230" s="1"/>
      <c r="P230" s="1"/>
    </row>
    <row r="231" spans="1:17" hidden="1" x14ac:dyDescent="0.3">
      <c r="A231" s="1" t="s">
        <v>457</v>
      </c>
      <c r="B231" s="9" t="s">
        <v>24</v>
      </c>
      <c r="C231" s="5" t="s">
        <v>142</v>
      </c>
      <c r="D231" s="9" t="s">
        <v>20</v>
      </c>
      <c r="E231" s="9" t="s">
        <v>99</v>
      </c>
      <c r="F231" s="2">
        <v>4188</v>
      </c>
      <c r="G231" s="2">
        <v>942</v>
      </c>
      <c r="H231" s="2">
        <v>118</v>
      </c>
      <c r="I231" s="2">
        <v>20940</v>
      </c>
      <c r="J231" s="2">
        <v>20471</v>
      </c>
      <c r="K231" s="6">
        <v>102</v>
      </c>
      <c r="L231" s="2">
        <f>Table14[[#This Row],[Likes]]+Table14[[#This Row],[Shares]]+Table14[[#This Row],[Comments]]+Table14[[#This Row],[Clicks]]</f>
        <v>5350</v>
      </c>
      <c r="M231" s="11">
        <f>(Table14[[#This Row],[Likes]]+Table14[[#This Row],[Shares]]+Table14[[#This Row],[Comments]])/Table14[[#This Row],[Impressions]]</f>
        <v>0.25062082139446035</v>
      </c>
      <c r="N231" s="9" t="s">
        <v>58</v>
      </c>
      <c r="O231" s="1"/>
      <c r="P231" s="1"/>
    </row>
    <row r="232" spans="1:17" hidden="1" x14ac:dyDescent="0.3">
      <c r="A232" s="1" t="s">
        <v>154</v>
      </c>
      <c r="B232" s="9" t="s">
        <v>24</v>
      </c>
      <c r="C232" s="5" t="s">
        <v>142</v>
      </c>
      <c r="D232" s="9" t="s">
        <v>41</v>
      </c>
      <c r="E232" s="9" t="s">
        <v>64</v>
      </c>
      <c r="F232" s="2">
        <v>804</v>
      </c>
      <c r="G232" s="2">
        <v>639</v>
      </c>
      <c r="H232" s="2">
        <v>43</v>
      </c>
      <c r="I232" s="2">
        <v>4020</v>
      </c>
      <c r="J232" s="2">
        <v>3144</v>
      </c>
      <c r="K232" s="6">
        <v>11</v>
      </c>
      <c r="L232" s="2">
        <f>Table14[[#This Row],[Likes]]+Table14[[#This Row],[Shares]]+Table14[[#This Row],[Comments]]+Table14[[#This Row],[Clicks]]</f>
        <v>1497</v>
      </c>
      <c r="M232" s="11">
        <f>(Table14[[#This Row],[Likes]]+Table14[[#This Row],[Shares]]+Table14[[#This Row],[Comments]])/Table14[[#This Row],[Impressions]]</f>
        <v>0.36965174129353234</v>
      </c>
      <c r="N232" s="9" t="s">
        <v>34</v>
      </c>
      <c r="O232" s="1" t="s">
        <v>553</v>
      </c>
      <c r="P232" s="1"/>
    </row>
    <row r="233" spans="1:17" hidden="1" x14ac:dyDescent="0.3">
      <c r="A233" s="1" t="s">
        <v>104</v>
      </c>
      <c r="B233" s="9" t="s">
        <v>30</v>
      </c>
      <c r="C233" s="5" t="s">
        <v>105</v>
      </c>
      <c r="D233" s="9" t="s">
        <v>70</v>
      </c>
      <c r="E233" s="9" t="s">
        <v>81</v>
      </c>
      <c r="F233" s="2">
        <v>3095</v>
      </c>
      <c r="G233" s="2">
        <v>39</v>
      </c>
      <c r="H233" s="2">
        <v>78</v>
      </c>
      <c r="I233" s="2">
        <v>55710</v>
      </c>
      <c r="J233" s="2">
        <v>54808</v>
      </c>
      <c r="K233" s="6">
        <v>93</v>
      </c>
      <c r="L233" s="2">
        <f>Table14[[#This Row],[Likes]]+Table14[[#This Row],[Shares]]+Table14[[#This Row],[Comments]]+Table14[[#This Row],[Clicks]]</f>
        <v>3305</v>
      </c>
      <c r="M233" s="11">
        <f>(Table14[[#This Row],[Likes]]+Table14[[#This Row],[Shares]]+Table14[[#This Row],[Comments]])/Table14[[#This Row],[Impressions]]</f>
        <v>5.7655717106444085E-2</v>
      </c>
      <c r="N233" s="9" t="s">
        <v>34</v>
      </c>
      <c r="O233" s="1"/>
      <c r="P233" s="1"/>
    </row>
    <row r="234" spans="1:17" hidden="1" x14ac:dyDescent="0.3">
      <c r="A234" s="1" t="s">
        <v>87</v>
      </c>
      <c r="B234" s="9" t="s">
        <v>39</v>
      </c>
      <c r="C234" s="5" t="s">
        <v>88</v>
      </c>
      <c r="D234" s="9" t="s">
        <v>20</v>
      </c>
      <c r="E234" s="9" t="s">
        <v>52</v>
      </c>
      <c r="F234" s="2">
        <v>1570</v>
      </c>
      <c r="G234" s="2">
        <v>187</v>
      </c>
      <c r="H234" s="2">
        <v>260</v>
      </c>
      <c r="I234" s="2">
        <v>25120</v>
      </c>
      <c r="J234" s="2">
        <v>24613</v>
      </c>
      <c r="K234" s="6">
        <v>133</v>
      </c>
      <c r="L234" s="2">
        <f>Table14[[#This Row],[Likes]]+Table14[[#This Row],[Shares]]+Table14[[#This Row],[Comments]]+Table14[[#This Row],[Clicks]]</f>
        <v>2150</v>
      </c>
      <c r="M234" s="11">
        <f>(Table14[[#This Row],[Likes]]+Table14[[#This Row],[Shares]]+Table14[[#This Row],[Comments]])/Table14[[#This Row],[Impressions]]</f>
        <v>8.0294585987261149E-2</v>
      </c>
      <c r="N234" s="9" t="s">
        <v>27</v>
      </c>
      <c r="O234" s="1"/>
      <c r="P234" s="1"/>
      <c r="Q234" s="1" t="s">
        <v>35</v>
      </c>
    </row>
    <row r="235" spans="1:17" hidden="1" x14ac:dyDescent="0.3">
      <c r="A235" s="1" t="s">
        <v>345</v>
      </c>
      <c r="B235" s="9" t="s">
        <v>24</v>
      </c>
      <c r="C235" s="5" t="s">
        <v>88</v>
      </c>
      <c r="D235" s="9" t="s">
        <v>20</v>
      </c>
      <c r="E235" s="9" t="s">
        <v>99</v>
      </c>
      <c r="F235" s="2">
        <v>4934</v>
      </c>
      <c r="G235" s="2">
        <v>971</v>
      </c>
      <c r="H235" s="2">
        <v>156</v>
      </c>
      <c r="I235" s="2">
        <v>39472</v>
      </c>
      <c r="J235" s="2">
        <v>39025</v>
      </c>
      <c r="K235" s="6">
        <v>169</v>
      </c>
      <c r="L235" s="2">
        <f>Table14[[#This Row],[Likes]]+Table14[[#This Row],[Shares]]+Table14[[#This Row],[Comments]]+Table14[[#This Row],[Clicks]]</f>
        <v>6230</v>
      </c>
      <c r="M235" s="11">
        <f>(Table14[[#This Row],[Likes]]+Table14[[#This Row],[Shares]]+Table14[[#This Row],[Comments]])/Table14[[#This Row],[Impressions]]</f>
        <v>0.15355188488042157</v>
      </c>
      <c r="N235" s="9" t="s">
        <v>27</v>
      </c>
      <c r="O235" s="1" t="s">
        <v>551</v>
      </c>
      <c r="P235" s="1"/>
      <c r="Q235" s="1" t="s">
        <v>35</v>
      </c>
    </row>
    <row r="236" spans="1:17" hidden="1" x14ac:dyDescent="0.3">
      <c r="A236" s="1" t="s">
        <v>134</v>
      </c>
      <c r="B236" s="9" t="s">
        <v>13</v>
      </c>
      <c r="C236" s="5" t="s">
        <v>135</v>
      </c>
      <c r="D236" s="9" t="s">
        <v>48</v>
      </c>
      <c r="E236" s="9" t="s">
        <v>127</v>
      </c>
      <c r="F236" s="2">
        <v>2358</v>
      </c>
      <c r="G236" s="2">
        <v>784</v>
      </c>
      <c r="H236" s="2">
        <v>344</v>
      </c>
      <c r="I236" s="2">
        <v>35370</v>
      </c>
      <c r="J236" s="2">
        <v>34475</v>
      </c>
      <c r="K236" s="6">
        <v>216</v>
      </c>
      <c r="L236" s="2">
        <f>Table14[[#This Row],[Likes]]+Table14[[#This Row],[Shares]]+Table14[[#This Row],[Comments]]+Table14[[#This Row],[Clicks]]</f>
        <v>3702</v>
      </c>
      <c r="M236" s="11">
        <f>(Table14[[#This Row],[Likes]]+Table14[[#This Row],[Shares]]+Table14[[#This Row],[Comments]])/Table14[[#This Row],[Impressions]]</f>
        <v>9.8558100084817649E-2</v>
      </c>
      <c r="N236" s="9" t="s">
        <v>27</v>
      </c>
      <c r="O236" s="1"/>
      <c r="P236" s="1"/>
    </row>
    <row r="237" spans="1:17" hidden="1" x14ac:dyDescent="0.3">
      <c r="A237" s="1" t="s">
        <v>189</v>
      </c>
      <c r="B237" s="9" t="s">
        <v>24</v>
      </c>
      <c r="C237" s="5" t="s">
        <v>190</v>
      </c>
      <c r="D237" s="9" t="s">
        <v>15</v>
      </c>
      <c r="E237" s="9" t="s">
        <v>26</v>
      </c>
      <c r="F237" s="2">
        <v>296</v>
      </c>
      <c r="G237" s="2">
        <v>60</v>
      </c>
      <c r="H237" s="2">
        <v>141</v>
      </c>
      <c r="I237" s="2">
        <v>5624</v>
      </c>
      <c r="J237" s="2">
        <v>5239</v>
      </c>
      <c r="K237" s="6">
        <v>88</v>
      </c>
      <c r="L237" s="2">
        <f>Table14[[#This Row],[Likes]]+Table14[[#This Row],[Shares]]+Table14[[#This Row],[Comments]]+Table14[[#This Row],[Clicks]]</f>
        <v>585</v>
      </c>
      <c r="M237" s="11">
        <f>(Table14[[#This Row],[Likes]]+Table14[[#This Row],[Shares]]+Table14[[#This Row],[Comments]])/Table14[[#This Row],[Impressions]]</f>
        <v>8.837126600284495E-2</v>
      </c>
      <c r="N237" s="9" t="s">
        <v>34</v>
      </c>
      <c r="O237" s="1"/>
      <c r="P237" s="1"/>
      <c r="Q237" s="1" t="s">
        <v>22</v>
      </c>
    </row>
    <row r="238" spans="1:17" hidden="1" x14ac:dyDescent="0.3">
      <c r="A238" s="1" t="s">
        <v>420</v>
      </c>
      <c r="B238" s="9" t="s">
        <v>24</v>
      </c>
      <c r="C238" s="5" t="s">
        <v>190</v>
      </c>
      <c r="D238" s="9" t="s">
        <v>70</v>
      </c>
      <c r="E238" s="9" t="s">
        <v>211</v>
      </c>
      <c r="F238" s="2">
        <v>3874</v>
      </c>
      <c r="G238" s="2">
        <v>884</v>
      </c>
      <c r="H238" s="2">
        <v>19</v>
      </c>
      <c r="I238" s="2">
        <v>38740</v>
      </c>
      <c r="J238" s="2">
        <v>38552</v>
      </c>
      <c r="K238" s="6">
        <v>219</v>
      </c>
      <c r="L238" s="2">
        <f>Table14[[#This Row],[Likes]]+Table14[[#This Row],[Shares]]+Table14[[#This Row],[Comments]]+Table14[[#This Row],[Clicks]]</f>
        <v>4996</v>
      </c>
      <c r="M238" s="11">
        <f>(Table14[[#This Row],[Likes]]+Table14[[#This Row],[Shares]]+Table14[[#This Row],[Comments]])/Table14[[#This Row],[Impressions]]</f>
        <v>0.123309241094476</v>
      </c>
      <c r="N238" s="9" t="s">
        <v>27</v>
      </c>
      <c r="O238" s="1"/>
      <c r="P238" s="1"/>
      <c r="Q238" s="1" t="s">
        <v>22</v>
      </c>
    </row>
    <row r="239" spans="1:17" hidden="1" x14ac:dyDescent="0.3">
      <c r="A239" s="1" t="s">
        <v>293</v>
      </c>
      <c r="B239" s="9" t="s">
        <v>30</v>
      </c>
      <c r="C239" s="5" t="s">
        <v>101</v>
      </c>
      <c r="D239" s="9" t="s">
        <v>32</v>
      </c>
      <c r="E239" s="9" t="s">
        <v>33</v>
      </c>
      <c r="F239" s="2">
        <v>1947</v>
      </c>
      <c r="G239" s="2">
        <v>842</v>
      </c>
      <c r="H239" s="2">
        <v>101</v>
      </c>
      <c r="I239" s="2">
        <v>21417</v>
      </c>
      <c r="J239" s="2">
        <v>20967</v>
      </c>
      <c r="K239" s="6">
        <v>186</v>
      </c>
      <c r="L239" s="2">
        <f>Table14[[#This Row],[Likes]]+Table14[[#This Row],[Shares]]+Table14[[#This Row],[Comments]]+Table14[[#This Row],[Clicks]]</f>
        <v>3076</v>
      </c>
      <c r="M239" s="11">
        <f>(Table14[[#This Row],[Likes]]+Table14[[#This Row],[Shares]]+Table14[[#This Row],[Comments]])/Table14[[#This Row],[Impressions]]</f>
        <v>0.13493953401503478</v>
      </c>
      <c r="N239" s="9" t="s">
        <v>58</v>
      </c>
      <c r="O239" s="1"/>
      <c r="P239" s="1"/>
      <c r="Q239" s="1" t="s">
        <v>22</v>
      </c>
    </row>
    <row r="240" spans="1:17" hidden="1" x14ac:dyDescent="0.3">
      <c r="A240" s="1" t="s">
        <v>100</v>
      </c>
      <c r="B240" s="9" t="s">
        <v>30</v>
      </c>
      <c r="C240" s="5" t="s">
        <v>101</v>
      </c>
      <c r="D240" s="9" t="s">
        <v>70</v>
      </c>
      <c r="E240" s="9" t="s">
        <v>81</v>
      </c>
      <c r="F240" s="2">
        <v>432</v>
      </c>
      <c r="G240" s="2">
        <v>624</v>
      </c>
      <c r="H240" s="2">
        <v>123</v>
      </c>
      <c r="I240" s="2">
        <v>6912</v>
      </c>
      <c r="J240" s="2">
        <v>6259</v>
      </c>
      <c r="K240" s="6">
        <v>79</v>
      </c>
      <c r="L240" s="2">
        <f>Table14[[#This Row],[Likes]]+Table14[[#This Row],[Shares]]+Table14[[#This Row],[Comments]]+Table14[[#This Row],[Clicks]]</f>
        <v>1258</v>
      </c>
      <c r="M240" s="11">
        <f>(Table14[[#This Row],[Likes]]+Table14[[#This Row],[Shares]]+Table14[[#This Row],[Comments]])/Table14[[#This Row],[Impressions]]</f>
        <v>0.17057291666666666</v>
      </c>
      <c r="N240" s="9" t="s">
        <v>58</v>
      </c>
      <c r="O240" s="1"/>
      <c r="P240" s="1"/>
      <c r="Q240" s="1" t="s">
        <v>35</v>
      </c>
    </row>
    <row r="241" spans="1:17" hidden="1" x14ac:dyDescent="0.3">
      <c r="A241" s="1" t="s">
        <v>199</v>
      </c>
      <c r="B241" s="9" t="s">
        <v>39</v>
      </c>
      <c r="C241" s="5" t="s">
        <v>101</v>
      </c>
      <c r="D241" s="9" t="s">
        <v>32</v>
      </c>
      <c r="E241" s="9" t="s">
        <v>67</v>
      </c>
      <c r="F241" s="2">
        <v>1249</v>
      </c>
      <c r="G241" s="2">
        <v>116</v>
      </c>
      <c r="H241" s="2">
        <v>420</v>
      </c>
      <c r="I241" s="2">
        <v>8743</v>
      </c>
      <c r="J241" s="2">
        <v>8538</v>
      </c>
      <c r="K241" s="6">
        <v>63</v>
      </c>
      <c r="L241" s="2">
        <f>Table14[[#This Row],[Likes]]+Table14[[#This Row],[Shares]]+Table14[[#This Row],[Comments]]+Table14[[#This Row],[Clicks]]</f>
        <v>1848</v>
      </c>
      <c r="M241" s="11">
        <f>(Table14[[#This Row],[Likes]]+Table14[[#This Row],[Shares]]+Table14[[#This Row],[Comments]])/Table14[[#This Row],[Impressions]]</f>
        <v>0.20416333066453163</v>
      </c>
      <c r="N241" s="9" t="s">
        <v>27</v>
      </c>
      <c r="O241" s="1"/>
      <c r="P241" s="1"/>
    </row>
    <row r="242" spans="1:17" hidden="1" x14ac:dyDescent="0.3">
      <c r="A242" s="1" t="s">
        <v>130</v>
      </c>
      <c r="B242" s="9" t="s">
        <v>24</v>
      </c>
      <c r="C242" s="5" t="s">
        <v>131</v>
      </c>
      <c r="D242" s="9" t="s">
        <v>15</v>
      </c>
      <c r="E242" s="9" t="s">
        <v>26</v>
      </c>
      <c r="F242" s="2">
        <v>1543</v>
      </c>
      <c r="G242" s="2">
        <v>820</v>
      </c>
      <c r="H242" s="2">
        <v>333</v>
      </c>
      <c r="I242" s="2">
        <v>12344</v>
      </c>
      <c r="J242" s="2">
        <v>11496</v>
      </c>
      <c r="K242" s="6">
        <v>241</v>
      </c>
      <c r="L242" s="2">
        <f>Table14[[#This Row],[Likes]]+Table14[[#This Row],[Shares]]+Table14[[#This Row],[Comments]]+Table14[[#This Row],[Clicks]]</f>
        <v>2937</v>
      </c>
      <c r="M242" s="11">
        <f>(Table14[[#This Row],[Likes]]+Table14[[#This Row],[Shares]]+Table14[[#This Row],[Comments]])/Table14[[#This Row],[Impressions]]</f>
        <v>0.21840570317563188</v>
      </c>
      <c r="N242" s="9" t="s">
        <v>34</v>
      </c>
      <c r="O242" s="1"/>
      <c r="P242" s="1"/>
    </row>
    <row r="243" spans="1:17" hidden="1" x14ac:dyDescent="0.3">
      <c r="A243" s="1" t="s">
        <v>462</v>
      </c>
      <c r="B243" s="9" t="s">
        <v>13</v>
      </c>
      <c r="C243" s="5" t="s">
        <v>463</v>
      </c>
      <c r="D243" s="9" t="s">
        <v>48</v>
      </c>
      <c r="E243" s="9" t="s">
        <v>127</v>
      </c>
      <c r="F243" s="2">
        <v>3592</v>
      </c>
      <c r="G243" s="2">
        <v>911</v>
      </c>
      <c r="H243" s="2">
        <v>375</v>
      </c>
      <c r="I243" s="2">
        <v>50288</v>
      </c>
      <c r="J243" s="2">
        <v>49490</v>
      </c>
      <c r="K243" s="6">
        <v>32</v>
      </c>
      <c r="L243" s="2">
        <f>Table14[[#This Row],[Likes]]+Table14[[#This Row],[Shares]]+Table14[[#This Row],[Comments]]+Table14[[#This Row],[Clicks]]</f>
        <v>4910</v>
      </c>
      <c r="M243" s="11">
        <f>(Table14[[#This Row],[Likes]]+Table14[[#This Row],[Shares]]+Table14[[#This Row],[Comments]])/Table14[[#This Row],[Impressions]]</f>
        <v>9.7001272669424113E-2</v>
      </c>
      <c r="N243" s="9" t="s">
        <v>58</v>
      </c>
      <c r="O243" s="1"/>
      <c r="P243" s="1"/>
      <c r="Q243" s="1" t="s">
        <v>35</v>
      </c>
    </row>
    <row r="244" spans="1:17" hidden="1" x14ac:dyDescent="0.3">
      <c r="A244" s="1" t="s">
        <v>125</v>
      </c>
      <c r="B244" s="9" t="s">
        <v>13</v>
      </c>
      <c r="C244" s="5" t="s">
        <v>126</v>
      </c>
      <c r="D244" s="9" t="s">
        <v>48</v>
      </c>
      <c r="E244" s="9" t="s">
        <v>127</v>
      </c>
      <c r="F244" s="2">
        <v>4750</v>
      </c>
      <c r="G244" s="2">
        <v>151</v>
      </c>
      <c r="H244" s="2">
        <v>415</v>
      </c>
      <c r="I244" s="2">
        <v>38000</v>
      </c>
      <c r="J244" s="2">
        <v>37792</v>
      </c>
      <c r="K244" s="6">
        <v>299</v>
      </c>
      <c r="L244" s="2">
        <f>Table14[[#This Row],[Likes]]+Table14[[#This Row],[Shares]]+Table14[[#This Row],[Comments]]+Table14[[#This Row],[Clicks]]</f>
        <v>5615</v>
      </c>
      <c r="M244" s="11">
        <f>(Table14[[#This Row],[Likes]]+Table14[[#This Row],[Shares]]+Table14[[#This Row],[Comments]])/Table14[[#This Row],[Impressions]]</f>
        <v>0.13989473684210527</v>
      </c>
      <c r="N244" s="9" t="s">
        <v>34</v>
      </c>
      <c r="O244" s="1"/>
      <c r="P244" s="1"/>
      <c r="Q244" s="1" t="s">
        <v>35</v>
      </c>
    </row>
    <row r="245" spans="1:17" hidden="1" x14ac:dyDescent="0.3">
      <c r="A245" s="1" t="s">
        <v>449</v>
      </c>
      <c r="B245" s="9" t="s">
        <v>39</v>
      </c>
      <c r="C245" s="5" t="s">
        <v>129</v>
      </c>
      <c r="D245" s="9" t="s">
        <v>48</v>
      </c>
      <c r="E245" s="9" t="s">
        <v>55</v>
      </c>
      <c r="F245" s="2">
        <v>2382</v>
      </c>
      <c r="G245" s="2">
        <v>265</v>
      </c>
      <c r="H245" s="2">
        <v>134</v>
      </c>
      <c r="I245" s="2">
        <v>38112</v>
      </c>
      <c r="J245" s="2">
        <v>37437</v>
      </c>
      <c r="K245" s="6">
        <v>249</v>
      </c>
      <c r="L245" s="2">
        <f>Table14[[#This Row],[Likes]]+Table14[[#This Row],[Shares]]+Table14[[#This Row],[Comments]]+Table14[[#This Row],[Clicks]]</f>
        <v>3030</v>
      </c>
      <c r="M245" s="11">
        <f>(Table14[[#This Row],[Likes]]+Table14[[#This Row],[Shares]]+Table14[[#This Row],[Comments]])/Table14[[#This Row],[Impressions]]</f>
        <v>7.2969143576826198E-2</v>
      </c>
      <c r="N245" s="9" t="s">
        <v>58</v>
      </c>
      <c r="O245" s="1"/>
      <c r="P245" s="1"/>
      <c r="Q245" s="1" t="s">
        <v>35</v>
      </c>
    </row>
    <row r="246" spans="1:17" hidden="1" x14ac:dyDescent="0.3">
      <c r="A246" s="1" t="s">
        <v>184</v>
      </c>
      <c r="B246" s="9" t="s">
        <v>13</v>
      </c>
      <c r="C246" s="5" t="s">
        <v>129</v>
      </c>
      <c r="D246" s="9" t="s">
        <v>20</v>
      </c>
      <c r="E246" s="9" t="s">
        <v>21</v>
      </c>
      <c r="F246" s="2">
        <v>1292</v>
      </c>
      <c r="G246" s="2">
        <v>626</v>
      </c>
      <c r="H246" s="2">
        <v>496</v>
      </c>
      <c r="I246" s="2">
        <v>25840</v>
      </c>
      <c r="J246" s="2">
        <v>24916</v>
      </c>
      <c r="K246" s="6">
        <v>149</v>
      </c>
      <c r="L246" s="2">
        <f>Table14[[#This Row],[Likes]]+Table14[[#This Row],[Shares]]+Table14[[#This Row],[Comments]]+Table14[[#This Row],[Clicks]]</f>
        <v>2563</v>
      </c>
      <c r="M246" s="11">
        <f>(Table14[[#This Row],[Likes]]+Table14[[#This Row],[Shares]]+Table14[[#This Row],[Comments]])/Table14[[#This Row],[Impressions]]</f>
        <v>9.3421052631578946E-2</v>
      </c>
      <c r="N246" s="9" t="s">
        <v>58</v>
      </c>
      <c r="O246" s="1"/>
      <c r="P246" s="1"/>
      <c r="Q246" s="1" t="s">
        <v>28</v>
      </c>
    </row>
    <row r="247" spans="1:17" hidden="1" x14ac:dyDescent="0.3">
      <c r="A247" s="1" t="s">
        <v>128</v>
      </c>
      <c r="B247" s="9" t="s">
        <v>30</v>
      </c>
      <c r="C247" s="5" t="s">
        <v>129</v>
      </c>
      <c r="D247" s="9" t="s">
        <v>15</v>
      </c>
      <c r="E247" s="9" t="s">
        <v>78</v>
      </c>
      <c r="F247" s="2">
        <v>456</v>
      </c>
      <c r="G247" s="2">
        <v>629</v>
      </c>
      <c r="H247" s="2">
        <v>428</v>
      </c>
      <c r="I247" s="2">
        <v>8208</v>
      </c>
      <c r="J247" s="2">
        <v>7377</v>
      </c>
      <c r="K247" s="6">
        <v>205</v>
      </c>
      <c r="L247" s="2">
        <f>Table14[[#This Row],[Likes]]+Table14[[#This Row],[Shares]]+Table14[[#This Row],[Comments]]+Table14[[#This Row],[Clicks]]</f>
        <v>1718</v>
      </c>
      <c r="M247" s="11">
        <f>(Table14[[#This Row],[Likes]]+Table14[[#This Row],[Shares]]+Table14[[#This Row],[Comments]])/Table14[[#This Row],[Impressions]]</f>
        <v>0.18433235867446393</v>
      </c>
      <c r="N247" s="9" t="s">
        <v>58</v>
      </c>
      <c r="O247" s="1"/>
      <c r="P247" s="1"/>
      <c r="Q247" s="1" t="s">
        <v>35</v>
      </c>
    </row>
    <row r="248" spans="1:17" hidden="1" x14ac:dyDescent="0.3">
      <c r="A248" s="1" t="s">
        <v>53</v>
      </c>
      <c r="B248" s="9" t="s">
        <v>39</v>
      </c>
      <c r="C248" s="5" t="s">
        <v>54</v>
      </c>
      <c r="D248" s="9" t="s">
        <v>48</v>
      </c>
      <c r="E248" s="9" t="s">
        <v>55</v>
      </c>
      <c r="F248" s="2">
        <v>4241</v>
      </c>
      <c r="G248" s="2">
        <v>902</v>
      </c>
      <c r="H248" s="2">
        <v>47</v>
      </c>
      <c r="I248" s="2">
        <v>72097</v>
      </c>
      <c r="J248" s="2">
        <v>71598</v>
      </c>
      <c r="K248" s="6">
        <v>167</v>
      </c>
      <c r="L248" s="2">
        <f>Table14[[#This Row],[Likes]]+Table14[[#This Row],[Shares]]+Table14[[#This Row],[Comments]]+Table14[[#This Row],[Clicks]]</f>
        <v>5357</v>
      </c>
      <c r="M248" s="11">
        <f>(Table14[[#This Row],[Likes]]+Table14[[#This Row],[Shares]]+Table14[[#This Row],[Comments]])/Table14[[#This Row],[Impressions]]</f>
        <v>7.198635172059864E-2</v>
      </c>
      <c r="N248" s="9" t="s">
        <v>27</v>
      </c>
      <c r="O248" s="1"/>
      <c r="P248" s="1"/>
      <c r="Q248" s="1" t="s">
        <v>22</v>
      </c>
    </row>
    <row r="249" spans="1:17" hidden="1" x14ac:dyDescent="0.3">
      <c r="A249" s="1" t="s">
        <v>143</v>
      </c>
      <c r="B249" s="9" t="s">
        <v>13</v>
      </c>
      <c r="C249" s="5" t="s">
        <v>54</v>
      </c>
      <c r="D249" s="9" t="s">
        <v>32</v>
      </c>
      <c r="E249" s="9" t="s">
        <v>144</v>
      </c>
      <c r="F249" s="2">
        <v>1950</v>
      </c>
      <c r="G249" s="2">
        <v>295</v>
      </c>
      <c r="H249" s="2">
        <v>478</v>
      </c>
      <c r="I249" s="2">
        <v>37050</v>
      </c>
      <c r="J249" s="2">
        <v>36272</v>
      </c>
      <c r="K249" s="6">
        <v>119</v>
      </c>
      <c r="L249" s="2">
        <f>Table14[[#This Row],[Likes]]+Table14[[#This Row],[Shares]]+Table14[[#This Row],[Comments]]+Table14[[#This Row],[Clicks]]</f>
        <v>2842</v>
      </c>
      <c r="M249" s="11">
        <f>(Table14[[#This Row],[Likes]]+Table14[[#This Row],[Shares]]+Table14[[#This Row],[Comments]])/Table14[[#This Row],[Impressions]]</f>
        <v>7.349527665317139E-2</v>
      </c>
      <c r="N249" s="9" t="s">
        <v>27</v>
      </c>
      <c r="O249" s="1"/>
      <c r="P249" s="1"/>
    </row>
    <row r="250" spans="1:17" hidden="1" x14ac:dyDescent="0.3">
      <c r="A250" s="1" t="s">
        <v>155</v>
      </c>
      <c r="B250" s="9" t="s">
        <v>24</v>
      </c>
      <c r="C250" s="5" t="s">
        <v>156</v>
      </c>
      <c r="D250" s="9" t="s">
        <v>41</v>
      </c>
      <c r="E250" s="9" t="s">
        <v>64</v>
      </c>
      <c r="F250" s="2">
        <v>1686</v>
      </c>
      <c r="G250" s="2">
        <v>904</v>
      </c>
      <c r="H250" s="2">
        <v>472</v>
      </c>
      <c r="I250" s="2">
        <v>18546</v>
      </c>
      <c r="J250" s="2">
        <v>18171</v>
      </c>
      <c r="K250" s="6">
        <v>52</v>
      </c>
      <c r="L250" s="2">
        <f>Table14[[#This Row],[Likes]]+Table14[[#This Row],[Shares]]+Table14[[#This Row],[Comments]]+Table14[[#This Row],[Clicks]]</f>
        <v>3114</v>
      </c>
      <c r="M250" s="11">
        <f>(Table14[[#This Row],[Likes]]+Table14[[#This Row],[Shares]]+Table14[[#This Row],[Comments]])/Table14[[#This Row],[Impressions]]</f>
        <v>0.16510298716704411</v>
      </c>
      <c r="N250" s="9" t="s">
        <v>58</v>
      </c>
      <c r="O250" s="1"/>
      <c r="P250" s="1"/>
      <c r="Q250" s="1" t="s">
        <v>22</v>
      </c>
    </row>
    <row r="251" spans="1:17" hidden="1" x14ac:dyDescent="0.3">
      <c r="A251" s="1" t="s">
        <v>271</v>
      </c>
      <c r="B251" s="9" t="s">
        <v>24</v>
      </c>
      <c r="C251" s="5" t="s">
        <v>272</v>
      </c>
      <c r="D251" s="9" t="s">
        <v>15</v>
      </c>
      <c r="E251" s="9" t="s">
        <v>26</v>
      </c>
      <c r="F251" s="2">
        <v>3704</v>
      </c>
      <c r="G251" s="2">
        <v>186</v>
      </c>
      <c r="H251" s="2">
        <v>458</v>
      </c>
      <c r="I251" s="2">
        <v>25928</v>
      </c>
      <c r="J251" s="2">
        <v>25081</v>
      </c>
      <c r="K251" s="6">
        <v>131</v>
      </c>
      <c r="L251" s="2">
        <f>Table14[[#This Row],[Likes]]+Table14[[#This Row],[Shares]]+Table14[[#This Row],[Comments]]+Table14[[#This Row],[Clicks]]</f>
        <v>4479</v>
      </c>
      <c r="M251" s="11">
        <f>(Table14[[#This Row],[Likes]]+Table14[[#This Row],[Shares]]+Table14[[#This Row],[Comments]])/Table14[[#This Row],[Impressions]]</f>
        <v>0.16769515581610614</v>
      </c>
      <c r="N251" s="9" t="s">
        <v>27</v>
      </c>
      <c r="O251" s="1"/>
      <c r="P251" s="1"/>
    </row>
    <row r="252" spans="1:17" hidden="1" x14ac:dyDescent="0.3">
      <c r="A252" s="1" t="s">
        <v>415</v>
      </c>
      <c r="B252" s="9" t="s">
        <v>13</v>
      </c>
      <c r="C252" s="5" t="s">
        <v>416</v>
      </c>
      <c r="D252" s="9" t="s">
        <v>70</v>
      </c>
      <c r="E252" s="9" t="s">
        <v>140</v>
      </c>
      <c r="F252" s="2">
        <v>3160</v>
      </c>
      <c r="G252" s="2">
        <v>204</v>
      </c>
      <c r="H252" s="2">
        <v>297</v>
      </c>
      <c r="I252" s="2">
        <v>44240</v>
      </c>
      <c r="J252" s="2">
        <v>43666</v>
      </c>
      <c r="K252" s="6">
        <v>49</v>
      </c>
      <c r="L252" s="2">
        <f>Table14[[#This Row],[Likes]]+Table14[[#This Row],[Shares]]+Table14[[#This Row],[Comments]]+Table14[[#This Row],[Clicks]]</f>
        <v>3710</v>
      </c>
      <c r="M252" s="11">
        <f>(Table14[[#This Row],[Likes]]+Table14[[#This Row],[Shares]]+Table14[[#This Row],[Comments]])/Table14[[#This Row],[Impressions]]</f>
        <v>8.2753164556962022E-2</v>
      </c>
      <c r="N252" s="9" t="s">
        <v>58</v>
      </c>
      <c r="O252" s="1" t="s">
        <v>551</v>
      </c>
      <c r="P252" s="1"/>
      <c r="Q252" s="1" t="s">
        <v>35</v>
      </c>
    </row>
    <row r="253" spans="1:17" hidden="1" x14ac:dyDescent="0.3">
      <c r="A253" s="1" t="s">
        <v>371</v>
      </c>
      <c r="B253" s="9" t="s">
        <v>24</v>
      </c>
      <c r="C253" s="5" t="s">
        <v>372</v>
      </c>
      <c r="D253" s="9" t="s">
        <v>48</v>
      </c>
      <c r="E253" s="9" t="s">
        <v>49</v>
      </c>
      <c r="F253" s="2">
        <v>606</v>
      </c>
      <c r="G253" s="2">
        <v>789</v>
      </c>
      <c r="H253" s="2">
        <v>470</v>
      </c>
      <c r="I253" s="2">
        <v>7878</v>
      </c>
      <c r="J253" s="2">
        <v>7389</v>
      </c>
      <c r="K253" s="6">
        <v>239</v>
      </c>
      <c r="L253" s="2">
        <f>Table14[[#This Row],[Likes]]+Table14[[#This Row],[Shares]]+Table14[[#This Row],[Comments]]+Table14[[#This Row],[Clicks]]</f>
        <v>2104</v>
      </c>
      <c r="M253" s="11">
        <f>(Table14[[#This Row],[Likes]]+Table14[[#This Row],[Shares]]+Table14[[#This Row],[Comments]])/Table14[[#This Row],[Impressions]]</f>
        <v>0.23673521198273673</v>
      </c>
      <c r="N253" s="9" t="s">
        <v>34</v>
      </c>
      <c r="O253" s="1"/>
      <c r="P253" s="1"/>
      <c r="Q253" s="1" t="s">
        <v>28</v>
      </c>
    </row>
    <row r="254" spans="1:17" hidden="1" x14ac:dyDescent="0.3">
      <c r="A254" s="1" t="s">
        <v>520</v>
      </c>
      <c r="B254" s="9" t="s">
        <v>24</v>
      </c>
      <c r="C254" s="5" t="s">
        <v>521</v>
      </c>
      <c r="D254" s="9" t="s">
        <v>48</v>
      </c>
      <c r="E254" s="9" t="s">
        <v>49</v>
      </c>
      <c r="F254" s="2">
        <v>3166</v>
      </c>
      <c r="G254" s="2">
        <v>90</v>
      </c>
      <c r="H254" s="2">
        <v>341</v>
      </c>
      <c r="I254" s="2">
        <v>56988</v>
      </c>
      <c r="J254" s="2">
        <v>56125</v>
      </c>
      <c r="K254" s="6">
        <v>135</v>
      </c>
      <c r="L254" s="2">
        <f>Table14[[#This Row],[Likes]]+Table14[[#This Row],[Shares]]+Table14[[#This Row],[Comments]]+Table14[[#This Row],[Clicks]]</f>
        <v>3732</v>
      </c>
      <c r="M254" s="11">
        <f>(Table14[[#This Row],[Likes]]+Table14[[#This Row],[Shares]]+Table14[[#This Row],[Comments]])/Table14[[#This Row],[Impressions]]</f>
        <v>6.3118551273952411E-2</v>
      </c>
      <c r="N254" s="9" t="s">
        <v>34</v>
      </c>
      <c r="O254" s="1"/>
      <c r="P254" s="1"/>
      <c r="Q254" s="1" t="s">
        <v>22</v>
      </c>
    </row>
    <row r="255" spans="1:17" hidden="1" x14ac:dyDescent="0.3">
      <c r="A255" s="1" t="s">
        <v>247</v>
      </c>
      <c r="B255" s="9" t="s">
        <v>24</v>
      </c>
      <c r="C255" s="5" t="s">
        <v>248</v>
      </c>
      <c r="D255" s="9" t="s">
        <v>32</v>
      </c>
      <c r="E255" s="9" t="s">
        <v>149</v>
      </c>
      <c r="F255" s="2">
        <v>3655</v>
      </c>
      <c r="G255" s="2">
        <v>568</v>
      </c>
      <c r="H255" s="2">
        <v>286</v>
      </c>
      <c r="I255" s="2">
        <v>32895</v>
      </c>
      <c r="J255" s="2">
        <v>32015</v>
      </c>
      <c r="K255" s="6">
        <v>199</v>
      </c>
      <c r="L255" s="2">
        <f>Table14[[#This Row],[Likes]]+Table14[[#This Row],[Shares]]+Table14[[#This Row],[Comments]]+Table14[[#This Row],[Clicks]]</f>
        <v>4708</v>
      </c>
      <c r="M255" s="11">
        <f>(Table14[[#This Row],[Likes]]+Table14[[#This Row],[Shares]]+Table14[[#This Row],[Comments]])/Table14[[#This Row],[Impressions]]</f>
        <v>0.13707250341997265</v>
      </c>
      <c r="N255" s="9" t="s">
        <v>27</v>
      </c>
      <c r="O255" s="1"/>
      <c r="P255" s="1"/>
      <c r="Q255" s="1" t="s">
        <v>28</v>
      </c>
    </row>
    <row r="256" spans="1:17" hidden="1" x14ac:dyDescent="0.3">
      <c r="A256" s="1" t="s">
        <v>431</v>
      </c>
      <c r="B256" s="9" t="s">
        <v>39</v>
      </c>
      <c r="C256" s="5" t="s">
        <v>248</v>
      </c>
      <c r="D256" s="9" t="s">
        <v>70</v>
      </c>
      <c r="E256" s="9" t="s">
        <v>71</v>
      </c>
      <c r="F256" s="2">
        <v>4453</v>
      </c>
      <c r="G256" s="2">
        <v>111</v>
      </c>
      <c r="H256" s="2">
        <v>420</v>
      </c>
      <c r="I256" s="2">
        <v>31171</v>
      </c>
      <c r="J256" s="2">
        <v>30565</v>
      </c>
      <c r="K256" s="6">
        <v>23</v>
      </c>
      <c r="L256" s="2">
        <f>Table14[[#This Row],[Likes]]+Table14[[#This Row],[Shares]]+Table14[[#This Row],[Comments]]+Table14[[#This Row],[Clicks]]</f>
        <v>5007</v>
      </c>
      <c r="M256" s="11">
        <f>(Table14[[#This Row],[Likes]]+Table14[[#This Row],[Shares]]+Table14[[#This Row],[Comments]])/Table14[[#This Row],[Impressions]]</f>
        <v>0.15989220750056141</v>
      </c>
      <c r="N256" s="9" t="s">
        <v>27</v>
      </c>
      <c r="O256" s="1"/>
      <c r="P256" s="1"/>
    </row>
    <row r="257" spans="1:17" hidden="1" x14ac:dyDescent="0.3">
      <c r="A257" s="1" t="s">
        <v>384</v>
      </c>
      <c r="B257" s="9" t="s">
        <v>39</v>
      </c>
      <c r="C257" s="5" t="s">
        <v>226</v>
      </c>
      <c r="D257" s="9" t="s">
        <v>15</v>
      </c>
      <c r="E257" s="9" t="s">
        <v>61</v>
      </c>
      <c r="F257" s="2">
        <v>3360</v>
      </c>
      <c r="G257" s="2">
        <v>525</v>
      </c>
      <c r="H257" s="2">
        <v>500</v>
      </c>
      <c r="I257" s="2">
        <v>60480</v>
      </c>
      <c r="J257" s="2">
        <v>59610</v>
      </c>
      <c r="K257" s="6">
        <v>192</v>
      </c>
      <c r="L257" s="2">
        <f>Table14[[#This Row],[Likes]]+Table14[[#This Row],[Shares]]+Table14[[#This Row],[Comments]]+Table14[[#This Row],[Clicks]]</f>
        <v>4577</v>
      </c>
      <c r="M257" s="11">
        <f>(Table14[[#This Row],[Likes]]+Table14[[#This Row],[Shares]]+Table14[[#This Row],[Comments]])/Table14[[#This Row],[Impressions]]</f>
        <v>7.2503306878306875E-2</v>
      </c>
      <c r="N257" s="9" t="s">
        <v>27</v>
      </c>
      <c r="O257" s="1"/>
      <c r="P257" s="1"/>
      <c r="Q257" s="1" t="s">
        <v>17</v>
      </c>
    </row>
    <row r="258" spans="1:17" hidden="1" x14ac:dyDescent="0.3">
      <c r="A258" s="1" t="s">
        <v>225</v>
      </c>
      <c r="B258" s="9" t="s">
        <v>39</v>
      </c>
      <c r="C258" s="5" t="s">
        <v>226</v>
      </c>
      <c r="D258" s="9" t="s">
        <v>48</v>
      </c>
      <c r="E258" s="9" t="s">
        <v>55</v>
      </c>
      <c r="F258" s="2">
        <v>1263</v>
      </c>
      <c r="G258" s="2">
        <v>397</v>
      </c>
      <c r="H258" s="2">
        <v>357</v>
      </c>
      <c r="I258" s="2">
        <v>25260</v>
      </c>
      <c r="J258" s="2">
        <v>24615</v>
      </c>
      <c r="K258" s="6">
        <v>137</v>
      </c>
      <c r="L258" s="2">
        <f>Table14[[#This Row],[Likes]]+Table14[[#This Row],[Shares]]+Table14[[#This Row],[Comments]]+Table14[[#This Row],[Clicks]]</f>
        <v>2154</v>
      </c>
      <c r="M258" s="11">
        <f>(Table14[[#This Row],[Likes]]+Table14[[#This Row],[Shares]]+Table14[[#This Row],[Comments]])/Table14[[#This Row],[Impressions]]</f>
        <v>7.984956452889945E-2</v>
      </c>
      <c r="N258" s="9" t="s">
        <v>34</v>
      </c>
      <c r="O258" s="1"/>
      <c r="P258" s="1"/>
      <c r="Q258" s="1" t="s">
        <v>35</v>
      </c>
    </row>
    <row r="259" spans="1:17" hidden="1" x14ac:dyDescent="0.3">
      <c r="A259" s="1" t="s">
        <v>310</v>
      </c>
      <c r="B259" s="9" t="s">
        <v>24</v>
      </c>
      <c r="C259" s="5" t="s">
        <v>256</v>
      </c>
      <c r="D259" s="9" t="s">
        <v>32</v>
      </c>
      <c r="E259" s="9" t="s">
        <v>149</v>
      </c>
      <c r="F259" s="2">
        <v>2070</v>
      </c>
      <c r="G259" s="2">
        <v>275</v>
      </c>
      <c r="H259" s="2">
        <v>386</v>
      </c>
      <c r="I259" s="2">
        <v>39330</v>
      </c>
      <c r="J259" s="2">
        <v>38627</v>
      </c>
      <c r="K259" s="6">
        <v>114</v>
      </c>
      <c r="L259" s="2">
        <f>Table14[[#This Row],[Likes]]+Table14[[#This Row],[Shares]]+Table14[[#This Row],[Comments]]+Table14[[#This Row],[Clicks]]</f>
        <v>2845</v>
      </c>
      <c r="M259" s="11">
        <f>(Table14[[#This Row],[Likes]]+Table14[[#This Row],[Shares]]+Table14[[#This Row],[Comments]])/Table14[[#This Row],[Impressions]]</f>
        <v>6.9438087973557078E-2</v>
      </c>
      <c r="N259" s="9" t="s">
        <v>58</v>
      </c>
      <c r="O259" s="1"/>
      <c r="P259" s="1"/>
      <c r="Q259" s="1" t="s">
        <v>35</v>
      </c>
    </row>
    <row r="260" spans="1:17" hidden="1" x14ac:dyDescent="0.3">
      <c r="A260" s="1" t="s">
        <v>255</v>
      </c>
      <c r="B260" s="9" t="s">
        <v>13</v>
      </c>
      <c r="C260" s="5" t="s">
        <v>256</v>
      </c>
      <c r="D260" s="9" t="s">
        <v>70</v>
      </c>
      <c r="E260" s="9" t="s">
        <v>140</v>
      </c>
      <c r="F260" s="2">
        <v>4050</v>
      </c>
      <c r="G260" s="2">
        <v>871</v>
      </c>
      <c r="H260" s="2">
        <v>347</v>
      </c>
      <c r="I260" s="2">
        <v>52650</v>
      </c>
      <c r="J260" s="2">
        <v>51755</v>
      </c>
      <c r="K260" s="6">
        <v>209</v>
      </c>
      <c r="L260" s="2">
        <f>Table14[[#This Row],[Likes]]+Table14[[#This Row],[Shares]]+Table14[[#This Row],[Comments]]+Table14[[#This Row],[Clicks]]</f>
        <v>5477</v>
      </c>
      <c r="M260" s="11">
        <f>(Table14[[#This Row],[Likes]]+Table14[[#This Row],[Shares]]+Table14[[#This Row],[Comments]])/Table14[[#This Row],[Impressions]]</f>
        <v>0.10005698005698006</v>
      </c>
      <c r="N260" s="9" t="s">
        <v>27</v>
      </c>
      <c r="O260" s="1"/>
      <c r="P260" s="1"/>
      <c r="Q260" s="1" t="s">
        <v>22</v>
      </c>
    </row>
    <row r="261" spans="1:17" hidden="1" x14ac:dyDescent="0.3">
      <c r="A261" s="1" t="s">
        <v>113</v>
      </c>
      <c r="B261" s="9" t="s">
        <v>39</v>
      </c>
      <c r="C261" s="5" t="s">
        <v>114</v>
      </c>
      <c r="D261" s="9" t="s">
        <v>20</v>
      </c>
      <c r="E261" s="9" t="s">
        <v>52</v>
      </c>
      <c r="F261" s="2">
        <v>1652</v>
      </c>
      <c r="G261" s="2">
        <v>89</v>
      </c>
      <c r="H261" s="2">
        <v>357</v>
      </c>
      <c r="I261" s="2">
        <v>29736</v>
      </c>
      <c r="J261" s="2">
        <v>28771</v>
      </c>
      <c r="K261" s="6">
        <v>215</v>
      </c>
      <c r="L261" s="2">
        <f>Table14[[#This Row],[Likes]]+Table14[[#This Row],[Shares]]+Table14[[#This Row],[Comments]]+Table14[[#This Row],[Clicks]]</f>
        <v>2313</v>
      </c>
      <c r="M261" s="11">
        <f>(Table14[[#This Row],[Likes]]+Table14[[#This Row],[Shares]]+Table14[[#This Row],[Comments]])/Table14[[#This Row],[Impressions]]</f>
        <v>7.055421038471886E-2</v>
      </c>
      <c r="N261" s="9" t="s">
        <v>27</v>
      </c>
      <c r="O261" s="1"/>
      <c r="P261" s="1"/>
      <c r="Q261" s="1" t="s">
        <v>28</v>
      </c>
    </row>
    <row r="262" spans="1:17" hidden="1" x14ac:dyDescent="0.3">
      <c r="A262" s="1" t="s">
        <v>475</v>
      </c>
      <c r="B262" s="9" t="s">
        <v>30</v>
      </c>
      <c r="C262" s="5" t="s">
        <v>476</v>
      </c>
      <c r="D262" s="9" t="s">
        <v>41</v>
      </c>
      <c r="E262" s="9" t="s">
        <v>84</v>
      </c>
      <c r="F262" s="2">
        <v>1377</v>
      </c>
      <c r="G262" s="2">
        <v>796</v>
      </c>
      <c r="H262" s="2">
        <v>387</v>
      </c>
      <c r="I262" s="2">
        <v>22032</v>
      </c>
      <c r="J262" s="2">
        <v>21869</v>
      </c>
      <c r="K262" s="6">
        <v>189</v>
      </c>
      <c r="L262" s="2">
        <f>Table14[[#This Row],[Likes]]+Table14[[#This Row],[Shares]]+Table14[[#This Row],[Comments]]+Table14[[#This Row],[Clicks]]</f>
        <v>2749</v>
      </c>
      <c r="M262" s="11">
        <f>(Table14[[#This Row],[Likes]]+Table14[[#This Row],[Shares]]+Table14[[#This Row],[Comments]])/Table14[[#This Row],[Impressions]]</f>
        <v>0.11619462599854757</v>
      </c>
      <c r="N262" s="9" t="s">
        <v>58</v>
      </c>
      <c r="O262" s="1"/>
      <c r="P262" s="1"/>
    </row>
    <row r="263" spans="1:17" hidden="1" x14ac:dyDescent="0.3">
      <c r="A263" s="1" t="s">
        <v>508</v>
      </c>
      <c r="B263" s="9" t="s">
        <v>30</v>
      </c>
      <c r="C263" s="5" t="s">
        <v>476</v>
      </c>
      <c r="D263" s="9" t="s">
        <v>20</v>
      </c>
      <c r="E263" s="9" t="s">
        <v>108</v>
      </c>
      <c r="F263" s="2">
        <v>4941</v>
      </c>
      <c r="G263" s="2">
        <v>414</v>
      </c>
      <c r="H263" s="2">
        <v>266</v>
      </c>
      <c r="I263" s="2">
        <v>39528</v>
      </c>
      <c r="J263" s="2">
        <v>39154</v>
      </c>
      <c r="K263" s="6">
        <v>217</v>
      </c>
      <c r="L263" s="2">
        <f>Table14[[#This Row],[Likes]]+Table14[[#This Row],[Shares]]+Table14[[#This Row],[Comments]]+Table14[[#This Row],[Clicks]]</f>
        <v>5838</v>
      </c>
      <c r="M263" s="11">
        <f>(Table14[[#This Row],[Likes]]+Table14[[#This Row],[Shares]]+Table14[[#This Row],[Comments]])/Table14[[#This Row],[Impressions]]</f>
        <v>0.14220299534507186</v>
      </c>
      <c r="N263" s="9" t="s">
        <v>27</v>
      </c>
      <c r="O263" s="1"/>
      <c r="P263" s="1"/>
      <c r="Q263" s="1" t="s">
        <v>28</v>
      </c>
    </row>
    <row r="264" spans="1:17" hidden="1" x14ac:dyDescent="0.3">
      <c r="A264" s="1" t="s">
        <v>286</v>
      </c>
      <c r="B264" s="9" t="s">
        <v>30</v>
      </c>
      <c r="C264" s="5" t="s">
        <v>177</v>
      </c>
      <c r="D264" s="9" t="s">
        <v>41</v>
      </c>
      <c r="E264" s="9" t="s">
        <v>84</v>
      </c>
      <c r="F264" s="2">
        <v>4158</v>
      </c>
      <c r="G264" s="2">
        <v>167</v>
      </c>
      <c r="H264" s="2">
        <v>241</v>
      </c>
      <c r="I264" s="2">
        <v>45738</v>
      </c>
      <c r="J264" s="2">
        <v>45183</v>
      </c>
      <c r="K264" s="6">
        <v>142</v>
      </c>
      <c r="L264" s="2">
        <f>Table14[[#This Row],[Likes]]+Table14[[#This Row],[Shares]]+Table14[[#This Row],[Comments]]+Table14[[#This Row],[Clicks]]</f>
        <v>4708</v>
      </c>
      <c r="M264" s="11">
        <f>(Table14[[#This Row],[Likes]]+Table14[[#This Row],[Shares]]+Table14[[#This Row],[Comments]])/Table14[[#This Row],[Impressions]]</f>
        <v>9.9829463465827106E-2</v>
      </c>
      <c r="N264" s="9" t="s">
        <v>58</v>
      </c>
      <c r="O264" s="1"/>
      <c r="P264" s="1"/>
    </row>
    <row r="265" spans="1:17" hidden="1" x14ac:dyDescent="0.3">
      <c r="A265" s="1" t="s">
        <v>176</v>
      </c>
      <c r="B265" s="9" t="s">
        <v>30</v>
      </c>
      <c r="C265" s="5" t="s">
        <v>177</v>
      </c>
      <c r="D265" s="9" t="s">
        <v>32</v>
      </c>
      <c r="E265" s="9" t="s">
        <v>33</v>
      </c>
      <c r="F265" s="2">
        <v>1881</v>
      </c>
      <c r="G265" s="2">
        <v>501</v>
      </c>
      <c r="H265" s="2">
        <v>99</v>
      </c>
      <c r="I265" s="2">
        <v>20691</v>
      </c>
      <c r="J265" s="2">
        <v>19987</v>
      </c>
      <c r="K265" s="6">
        <v>289</v>
      </c>
      <c r="L265" s="2">
        <f>Table14[[#This Row],[Likes]]+Table14[[#This Row],[Shares]]+Table14[[#This Row],[Comments]]+Table14[[#This Row],[Clicks]]</f>
        <v>2770</v>
      </c>
      <c r="M265" s="11">
        <f>(Table14[[#This Row],[Likes]]+Table14[[#This Row],[Shares]]+Table14[[#This Row],[Comments]])/Table14[[#This Row],[Impressions]]</f>
        <v>0.11990720603160794</v>
      </c>
      <c r="N265" s="9" t="s">
        <v>34</v>
      </c>
      <c r="O265" s="1"/>
      <c r="P265" s="1"/>
    </row>
    <row r="266" spans="1:17" hidden="1" x14ac:dyDescent="0.3">
      <c r="A266" s="1" t="s">
        <v>180</v>
      </c>
      <c r="B266" s="9" t="s">
        <v>39</v>
      </c>
      <c r="C266" s="5" t="s">
        <v>181</v>
      </c>
      <c r="D266" s="9" t="s">
        <v>41</v>
      </c>
      <c r="E266" s="9" t="s">
        <v>42</v>
      </c>
      <c r="F266" s="2">
        <v>4712</v>
      </c>
      <c r="G266" s="2">
        <v>568</v>
      </c>
      <c r="H266" s="2">
        <v>127</v>
      </c>
      <c r="I266" s="2">
        <v>84816</v>
      </c>
      <c r="J266" s="2">
        <v>84691</v>
      </c>
      <c r="K266" s="6">
        <v>100</v>
      </c>
      <c r="L266" s="2">
        <f>Table14[[#This Row],[Likes]]+Table14[[#This Row],[Shares]]+Table14[[#This Row],[Comments]]+Table14[[#This Row],[Clicks]]</f>
        <v>5507</v>
      </c>
      <c r="M266" s="11">
        <f>(Table14[[#This Row],[Likes]]+Table14[[#This Row],[Shares]]+Table14[[#This Row],[Comments]])/Table14[[#This Row],[Impressions]]</f>
        <v>6.3749764195434822E-2</v>
      </c>
      <c r="N266" s="9" t="s">
        <v>34</v>
      </c>
      <c r="O266" s="1"/>
      <c r="P266" s="1"/>
      <c r="Q266" s="1" t="s">
        <v>28</v>
      </c>
    </row>
    <row r="267" spans="1:17" hidden="1" x14ac:dyDescent="0.3">
      <c r="A267" s="1" t="s">
        <v>303</v>
      </c>
      <c r="B267" s="9" t="s">
        <v>13</v>
      </c>
      <c r="C267" s="5" t="s">
        <v>181</v>
      </c>
      <c r="D267" s="9" t="s">
        <v>48</v>
      </c>
      <c r="E267" s="9" t="s">
        <v>127</v>
      </c>
      <c r="F267" s="2">
        <v>305</v>
      </c>
      <c r="G267" s="2">
        <v>187</v>
      </c>
      <c r="H267" s="2">
        <v>243</v>
      </c>
      <c r="I267" s="2">
        <v>4575</v>
      </c>
      <c r="J267" s="2">
        <v>3704</v>
      </c>
      <c r="K267" s="6">
        <v>234</v>
      </c>
      <c r="L267" s="2">
        <f>Table14[[#This Row],[Likes]]+Table14[[#This Row],[Shares]]+Table14[[#This Row],[Comments]]+Table14[[#This Row],[Clicks]]</f>
        <v>969</v>
      </c>
      <c r="M267" s="11">
        <f>(Table14[[#This Row],[Likes]]+Table14[[#This Row],[Shares]]+Table14[[#This Row],[Comments]])/Table14[[#This Row],[Impressions]]</f>
        <v>0.16065573770491803</v>
      </c>
      <c r="N267" s="9" t="s">
        <v>58</v>
      </c>
      <c r="O267" s="1"/>
      <c r="P267" s="1"/>
      <c r="Q267" s="1" t="s">
        <v>28</v>
      </c>
    </row>
    <row r="268" spans="1:17" hidden="1" x14ac:dyDescent="0.3">
      <c r="A268" s="1" t="s">
        <v>341</v>
      </c>
      <c r="B268" s="9" t="s">
        <v>39</v>
      </c>
      <c r="C268" s="5" t="s">
        <v>342</v>
      </c>
      <c r="D268" s="9" t="s">
        <v>32</v>
      </c>
      <c r="E268" s="9" t="s">
        <v>67</v>
      </c>
      <c r="F268" s="2">
        <v>3430</v>
      </c>
      <c r="G268" s="2">
        <v>566</v>
      </c>
      <c r="H268" s="2">
        <v>164</v>
      </c>
      <c r="I268" s="2">
        <v>48020</v>
      </c>
      <c r="J268" s="2">
        <v>47305</v>
      </c>
      <c r="K268" s="6">
        <v>120</v>
      </c>
      <c r="L268" s="2">
        <f>Table14[[#This Row],[Likes]]+Table14[[#This Row],[Shares]]+Table14[[#This Row],[Comments]]+Table14[[#This Row],[Clicks]]</f>
        <v>4280</v>
      </c>
      <c r="M268" s="11">
        <f>(Table14[[#This Row],[Likes]]+Table14[[#This Row],[Shares]]+Table14[[#This Row],[Comments]])/Table14[[#This Row],[Impressions]]</f>
        <v>8.6630570595585168E-2</v>
      </c>
      <c r="N268" s="9" t="s">
        <v>58</v>
      </c>
      <c r="O268" s="1"/>
      <c r="P268" s="1"/>
    </row>
    <row r="269" spans="1:17" ht="20.399999999999999" customHeight="1" x14ac:dyDescent="0.3">
      <c r="A269" s="1" t="s">
        <v>185</v>
      </c>
      <c r="B269" s="9" t="s">
        <v>39</v>
      </c>
      <c r="C269" s="5" t="s">
        <v>186</v>
      </c>
      <c r="D269" s="9" t="s">
        <v>70</v>
      </c>
      <c r="E269" s="9" t="s">
        <v>71</v>
      </c>
      <c r="F269" s="2">
        <v>199</v>
      </c>
      <c r="G269" s="2">
        <v>772</v>
      </c>
      <c r="H269" s="2">
        <v>400</v>
      </c>
      <c r="I269" s="2">
        <v>3582</v>
      </c>
      <c r="J269" s="2">
        <v>2988</v>
      </c>
      <c r="K269" s="6">
        <v>43</v>
      </c>
      <c r="L269" s="2">
        <f>Table14[[#This Row],[Likes]]+Table14[[#This Row],[Shares]]+Table14[[#This Row],[Comments]]+Table14[[#This Row],[Clicks]]</f>
        <v>1414</v>
      </c>
      <c r="M269" s="40">
        <f>(Table14[[#This Row],[Likes]]+Table14[[#This Row],[Shares]]+Table14[[#This Row],[Comments]])/Table14[[#This Row],[Impressions]]</f>
        <v>0.38274706867671693</v>
      </c>
      <c r="N269" s="9" t="s">
        <v>27</v>
      </c>
      <c r="O269" s="1"/>
      <c r="P269" s="1"/>
    </row>
    <row r="270" spans="1:17" hidden="1" x14ac:dyDescent="0.3">
      <c r="A270" s="1" t="s">
        <v>18</v>
      </c>
      <c r="B270" s="9" t="s">
        <v>13</v>
      </c>
      <c r="C270" s="5" t="s">
        <v>19</v>
      </c>
      <c r="D270" s="9" t="s">
        <v>20</v>
      </c>
      <c r="E270" s="9" t="s">
        <v>21</v>
      </c>
      <c r="F270" s="2">
        <v>4054</v>
      </c>
      <c r="G270" s="2">
        <v>389</v>
      </c>
      <c r="H270" s="2">
        <v>493</v>
      </c>
      <c r="I270" s="2">
        <v>64864</v>
      </c>
      <c r="J270" s="2">
        <v>64383</v>
      </c>
      <c r="K270" s="6">
        <v>117</v>
      </c>
      <c r="L270" s="2">
        <f>Table14[[#This Row],[Likes]]+Table14[[#This Row],[Shares]]+Table14[[#This Row],[Comments]]+Table14[[#This Row],[Clicks]]</f>
        <v>5053</v>
      </c>
      <c r="M270" s="11">
        <f>(Table14[[#This Row],[Likes]]+Table14[[#This Row],[Shares]]+Table14[[#This Row],[Comments]])/Table14[[#This Row],[Impressions]]</f>
        <v>7.6097681302417369E-2</v>
      </c>
      <c r="N270" s="9" t="s">
        <v>27</v>
      </c>
      <c r="O270" s="1" t="s">
        <v>553</v>
      </c>
      <c r="P270" s="1"/>
      <c r="Q270" s="1" t="s">
        <v>22</v>
      </c>
    </row>
    <row r="271" spans="1:17" hidden="1" x14ac:dyDescent="0.3">
      <c r="A271" s="1" t="s">
        <v>482</v>
      </c>
      <c r="B271" s="9" t="s">
        <v>39</v>
      </c>
      <c r="C271" s="5" t="s">
        <v>19</v>
      </c>
      <c r="D271" s="9" t="s">
        <v>32</v>
      </c>
      <c r="E271" s="9" t="s">
        <v>67</v>
      </c>
      <c r="F271" s="2">
        <v>3767</v>
      </c>
      <c r="G271" s="2">
        <v>514</v>
      </c>
      <c r="H271" s="2">
        <v>238</v>
      </c>
      <c r="I271" s="2">
        <v>37670</v>
      </c>
      <c r="J271" s="2">
        <v>36807</v>
      </c>
      <c r="K271" s="6">
        <v>226</v>
      </c>
      <c r="L271" s="2">
        <f>Table14[[#This Row],[Likes]]+Table14[[#This Row],[Shares]]+Table14[[#This Row],[Comments]]+Table14[[#This Row],[Clicks]]</f>
        <v>4745</v>
      </c>
      <c r="M271" s="11">
        <f>(Table14[[#This Row],[Likes]]+Table14[[#This Row],[Shares]]+Table14[[#This Row],[Comments]])/Table14[[#This Row],[Impressions]]</f>
        <v>0.11996283514733209</v>
      </c>
      <c r="N271" s="9" t="s">
        <v>58</v>
      </c>
      <c r="O271" s="1"/>
      <c r="P271" s="1"/>
      <c r="Q271" s="1" t="s">
        <v>35</v>
      </c>
    </row>
    <row r="272" spans="1:17" hidden="1" x14ac:dyDescent="0.3">
      <c r="A272" s="1" t="s">
        <v>95</v>
      </c>
      <c r="B272" s="9" t="s">
        <v>24</v>
      </c>
      <c r="C272" s="5" t="s">
        <v>96</v>
      </c>
      <c r="D272" s="9" t="s">
        <v>15</v>
      </c>
      <c r="E272" s="9" t="s">
        <v>26</v>
      </c>
      <c r="F272" s="2">
        <v>3009</v>
      </c>
      <c r="G272" s="2">
        <v>413</v>
      </c>
      <c r="H272" s="2">
        <v>358</v>
      </c>
      <c r="I272" s="2">
        <v>42126</v>
      </c>
      <c r="J272" s="2">
        <v>41309</v>
      </c>
      <c r="K272" s="6">
        <v>211</v>
      </c>
      <c r="L272" s="2">
        <f>Table14[[#This Row],[Likes]]+Table14[[#This Row],[Shares]]+Table14[[#This Row],[Comments]]+Table14[[#This Row],[Clicks]]</f>
        <v>3991</v>
      </c>
      <c r="M272" s="11">
        <f>(Table14[[#This Row],[Likes]]+Table14[[#This Row],[Shares]]+Table14[[#This Row],[Comments]])/Table14[[#This Row],[Impressions]]</f>
        <v>8.9730807577268201E-2</v>
      </c>
      <c r="N272" s="9" t="s">
        <v>58</v>
      </c>
      <c r="O272" s="1"/>
      <c r="P272" s="1"/>
      <c r="Q272" s="1" t="s">
        <v>22</v>
      </c>
    </row>
    <row r="273" spans="1:17" hidden="1" x14ac:dyDescent="0.3">
      <c r="A273" s="1" t="s">
        <v>484</v>
      </c>
      <c r="B273" s="9" t="s">
        <v>39</v>
      </c>
      <c r="C273" s="5" t="s">
        <v>283</v>
      </c>
      <c r="D273" s="9" t="s">
        <v>48</v>
      </c>
      <c r="E273" s="9" t="s">
        <v>55</v>
      </c>
      <c r="F273" s="2">
        <v>3090</v>
      </c>
      <c r="G273" s="2">
        <v>697</v>
      </c>
      <c r="H273" s="2">
        <v>164</v>
      </c>
      <c r="I273" s="2">
        <v>49440</v>
      </c>
      <c r="J273" s="2">
        <v>48524</v>
      </c>
      <c r="K273" s="6">
        <v>25</v>
      </c>
      <c r="L273" s="2">
        <f>Table14[[#This Row],[Likes]]+Table14[[#This Row],[Shares]]+Table14[[#This Row],[Comments]]+Table14[[#This Row],[Clicks]]</f>
        <v>3976</v>
      </c>
      <c r="M273" s="11">
        <f>(Table14[[#This Row],[Likes]]+Table14[[#This Row],[Shares]]+Table14[[#This Row],[Comments]])/Table14[[#This Row],[Impressions]]</f>
        <v>7.9915048543689318E-2</v>
      </c>
      <c r="N273" s="9" t="s">
        <v>34</v>
      </c>
      <c r="O273" s="1" t="s">
        <v>34</v>
      </c>
      <c r="P273" s="1" t="s">
        <v>553</v>
      </c>
      <c r="Q273" s="1" t="s">
        <v>22</v>
      </c>
    </row>
    <row r="274" spans="1:17" hidden="1" x14ac:dyDescent="0.3">
      <c r="A274" s="1" t="s">
        <v>515</v>
      </c>
      <c r="B274" s="9" t="s">
        <v>39</v>
      </c>
      <c r="C274" s="5" t="s">
        <v>283</v>
      </c>
      <c r="D274" s="9" t="s">
        <v>48</v>
      </c>
      <c r="E274" s="9" t="s">
        <v>55</v>
      </c>
      <c r="F274" s="2">
        <v>4236</v>
      </c>
      <c r="G274" s="2">
        <v>711</v>
      </c>
      <c r="H274" s="2">
        <v>298</v>
      </c>
      <c r="I274" s="2">
        <v>21180</v>
      </c>
      <c r="J274" s="2">
        <v>20516</v>
      </c>
      <c r="K274" s="6">
        <v>238</v>
      </c>
      <c r="L274" s="2">
        <f>Table14[[#This Row],[Likes]]+Table14[[#This Row],[Shares]]+Table14[[#This Row],[Comments]]+Table14[[#This Row],[Clicks]]</f>
        <v>5483</v>
      </c>
      <c r="M274" s="11">
        <f>(Table14[[#This Row],[Likes]]+Table14[[#This Row],[Shares]]+Table14[[#This Row],[Comments]])/Table14[[#This Row],[Impressions]]</f>
        <v>0.24763928234183191</v>
      </c>
      <c r="N274" s="9" t="s">
        <v>58</v>
      </c>
      <c r="O274" s="1"/>
      <c r="P274" s="1"/>
      <c r="Q274" s="1" t="s">
        <v>17</v>
      </c>
    </row>
    <row r="275" spans="1:17" hidden="1" x14ac:dyDescent="0.3">
      <c r="A275" s="1" t="s">
        <v>282</v>
      </c>
      <c r="B275" s="9" t="s">
        <v>24</v>
      </c>
      <c r="C275" s="5" t="s">
        <v>283</v>
      </c>
      <c r="D275" s="9" t="s">
        <v>41</v>
      </c>
      <c r="E275" s="9" t="s">
        <v>64</v>
      </c>
      <c r="F275" s="2">
        <v>736</v>
      </c>
      <c r="G275" s="2">
        <v>771</v>
      </c>
      <c r="H275" s="2">
        <v>225</v>
      </c>
      <c r="I275" s="2">
        <v>5152</v>
      </c>
      <c r="J275" s="2">
        <v>4706</v>
      </c>
      <c r="K275" s="6">
        <v>19</v>
      </c>
      <c r="L275" s="2">
        <f>Table14[[#This Row],[Likes]]+Table14[[#This Row],[Shares]]+Table14[[#This Row],[Comments]]+Table14[[#This Row],[Clicks]]</f>
        <v>1751</v>
      </c>
      <c r="M275" s="11">
        <f>(Table14[[#This Row],[Likes]]+Table14[[#This Row],[Shares]]+Table14[[#This Row],[Comments]])/Table14[[#This Row],[Impressions]]</f>
        <v>0.33618012422360249</v>
      </c>
      <c r="N275" s="9" t="s">
        <v>34</v>
      </c>
      <c r="O275" s="1"/>
      <c r="P275" s="1"/>
      <c r="Q275" s="1" t="s">
        <v>17</v>
      </c>
    </row>
    <row r="276" spans="1:17" hidden="1" x14ac:dyDescent="0.3">
      <c r="A276" s="1" t="s">
        <v>401</v>
      </c>
      <c r="B276" s="9" t="s">
        <v>39</v>
      </c>
      <c r="C276" s="5" t="s">
        <v>402</v>
      </c>
      <c r="D276" s="9" t="s">
        <v>15</v>
      </c>
      <c r="E276" s="9" t="s">
        <v>61</v>
      </c>
      <c r="F276" s="2">
        <v>3718</v>
      </c>
      <c r="G276" s="2">
        <v>385</v>
      </c>
      <c r="H276" s="2">
        <v>310</v>
      </c>
      <c r="I276" s="2">
        <v>70642</v>
      </c>
      <c r="J276" s="2">
        <v>69749</v>
      </c>
      <c r="K276" s="6">
        <v>233</v>
      </c>
      <c r="L276" s="2">
        <f>Table14[[#This Row],[Likes]]+Table14[[#This Row],[Shares]]+Table14[[#This Row],[Comments]]+Table14[[#This Row],[Clicks]]</f>
        <v>4646</v>
      </c>
      <c r="M276" s="11">
        <f>(Table14[[#This Row],[Likes]]+Table14[[#This Row],[Shares]]+Table14[[#This Row],[Comments]])/Table14[[#This Row],[Impressions]]</f>
        <v>6.246991874522239E-2</v>
      </c>
      <c r="N276" s="9" t="s">
        <v>27</v>
      </c>
      <c r="O276" s="1"/>
      <c r="P276" s="1"/>
      <c r="Q276" s="1" t="s">
        <v>22</v>
      </c>
    </row>
    <row r="277" spans="1:17" hidden="1" x14ac:dyDescent="0.3">
      <c r="A277" s="1" t="s">
        <v>343</v>
      </c>
      <c r="B277" s="9" t="s">
        <v>30</v>
      </c>
      <c r="C277" s="5" t="s">
        <v>344</v>
      </c>
      <c r="D277" s="9" t="s">
        <v>48</v>
      </c>
      <c r="E277" s="9" t="s">
        <v>208</v>
      </c>
      <c r="F277" s="2">
        <v>4501</v>
      </c>
      <c r="G277" s="2">
        <v>375</v>
      </c>
      <c r="H277" s="2">
        <v>323</v>
      </c>
      <c r="I277" s="2">
        <v>22505</v>
      </c>
      <c r="J277" s="2">
        <v>21836</v>
      </c>
      <c r="K277" s="6">
        <v>132</v>
      </c>
      <c r="L277" s="2">
        <f>Table14[[#This Row],[Likes]]+Table14[[#This Row],[Shares]]+Table14[[#This Row],[Comments]]+Table14[[#This Row],[Clicks]]</f>
        <v>5331</v>
      </c>
      <c r="M277" s="11">
        <f>(Table14[[#This Row],[Likes]]+Table14[[#This Row],[Shares]]+Table14[[#This Row],[Comments]])/Table14[[#This Row],[Impressions]]</f>
        <v>0.23101532992668297</v>
      </c>
      <c r="N277" s="9" t="s">
        <v>27</v>
      </c>
      <c r="O277" s="1"/>
      <c r="P277" s="1"/>
      <c r="Q277" s="1" t="s">
        <v>22</v>
      </c>
    </row>
    <row r="278" spans="1:17" hidden="1" x14ac:dyDescent="0.3">
      <c r="A278" s="1" t="s">
        <v>93</v>
      </c>
      <c r="B278" s="9" t="s">
        <v>13</v>
      </c>
      <c r="C278" s="5" t="s">
        <v>94</v>
      </c>
      <c r="D278" s="9" t="s">
        <v>41</v>
      </c>
      <c r="E278" s="9" t="s">
        <v>45</v>
      </c>
      <c r="F278" s="2">
        <v>3128</v>
      </c>
      <c r="G278" s="2">
        <v>211</v>
      </c>
      <c r="H278" s="2">
        <v>197</v>
      </c>
      <c r="I278" s="2">
        <v>59432</v>
      </c>
      <c r="J278" s="2">
        <v>59182</v>
      </c>
      <c r="K278" s="6">
        <v>238</v>
      </c>
      <c r="L278" s="2">
        <f>Table14[[#This Row],[Likes]]+Table14[[#This Row],[Shares]]+Table14[[#This Row],[Comments]]+Table14[[#This Row],[Clicks]]</f>
        <v>3774</v>
      </c>
      <c r="M278" s="11">
        <f>(Table14[[#This Row],[Likes]]+Table14[[#This Row],[Shares]]+Table14[[#This Row],[Comments]])/Table14[[#This Row],[Impressions]]</f>
        <v>5.9496567505720827E-2</v>
      </c>
      <c r="N278" s="9" t="s">
        <v>34</v>
      </c>
      <c r="O278" s="1"/>
      <c r="P278" s="1"/>
    </row>
    <row r="279" spans="1:17" hidden="1" x14ac:dyDescent="0.3">
      <c r="A279" s="1" t="s">
        <v>501</v>
      </c>
      <c r="B279" s="9" t="s">
        <v>30</v>
      </c>
      <c r="C279" s="5" t="s">
        <v>502</v>
      </c>
      <c r="D279" s="9" t="s">
        <v>15</v>
      </c>
      <c r="E279" s="9" t="s">
        <v>78</v>
      </c>
      <c r="F279" s="2">
        <v>4579</v>
      </c>
      <c r="G279" s="2">
        <v>125</v>
      </c>
      <c r="H279" s="2">
        <v>300</v>
      </c>
      <c r="I279" s="2">
        <v>59527</v>
      </c>
      <c r="J279" s="2">
        <v>59400</v>
      </c>
      <c r="K279" s="6">
        <v>269</v>
      </c>
      <c r="L279" s="2">
        <f>Table14[[#This Row],[Likes]]+Table14[[#This Row],[Shares]]+Table14[[#This Row],[Comments]]+Table14[[#This Row],[Clicks]]</f>
        <v>5273</v>
      </c>
      <c r="M279" s="11">
        <f>(Table14[[#This Row],[Likes]]+Table14[[#This Row],[Shares]]+Table14[[#This Row],[Comments]])/Table14[[#This Row],[Impressions]]</f>
        <v>8.4062694239588759E-2</v>
      </c>
      <c r="N279" s="9" t="s">
        <v>34</v>
      </c>
      <c r="O279" s="1"/>
      <c r="P279" s="1"/>
      <c r="Q279" s="1" t="s">
        <v>17</v>
      </c>
    </row>
    <row r="280" spans="1:17" ht="20.399999999999999" hidden="1" customHeight="1" x14ac:dyDescent="0.3">
      <c r="A280" s="1" t="s">
        <v>317</v>
      </c>
      <c r="B280" s="9" t="s">
        <v>30</v>
      </c>
      <c r="C280" s="5" t="s">
        <v>164</v>
      </c>
      <c r="D280" s="9" t="s">
        <v>70</v>
      </c>
      <c r="E280" s="9" t="s">
        <v>81</v>
      </c>
      <c r="F280" s="2">
        <v>4133</v>
      </c>
      <c r="G280" s="2">
        <v>466</v>
      </c>
      <c r="H280" s="2">
        <v>327</v>
      </c>
      <c r="I280" s="2">
        <v>24798</v>
      </c>
      <c r="J280" s="2">
        <v>24620</v>
      </c>
      <c r="K280" s="6">
        <v>176</v>
      </c>
      <c r="L280" s="2">
        <f>Table14[[#This Row],[Likes]]+Table14[[#This Row],[Shares]]+Table14[[#This Row],[Comments]]+Table14[[#This Row],[Clicks]]</f>
        <v>5102</v>
      </c>
      <c r="M280" s="11">
        <f>(Table14[[#This Row],[Likes]]+Table14[[#This Row],[Shares]]+Table14[[#This Row],[Comments]])/Table14[[#This Row],[Impressions]]</f>
        <v>0.19864505202032423</v>
      </c>
      <c r="N280" s="9" t="s">
        <v>34</v>
      </c>
      <c r="O280" s="1"/>
      <c r="P280" s="1"/>
      <c r="Q280" s="1" t="s">
        <v>35</v>
      </c>
    </row>
    <row r="281" spans="1:17" x14ac:dyDescent="0.3">
      <c r="A281" s="1" t="s">
        <v>163</v>
      </c>
      <c r="B281" s="9" t="s">
        <v>30</v>
      </c>
      <c r="C281" s="5" t="s">
        <v>164</v>
      </c>
      <c r="D281" s="9" t="s">
        <v>15</v>
      </c>
      <c r="E281" s="9" t="s">
        <v>78</v>
      </c>
      <c r="F281" s="2">
        <v>103</v>
      </c>
      <c r="G281" s="2">
        <v>770</v>
      </c>
      <c r="H281" s="2">
        <v>19</v>
      </c>
      <c r="I281" s="2">
        <v>1030</v>
      </c>
      <c r="J281" s="2">
        <v>410</v>
      </c>
      <c r="K281" s="6">
        <v>262</v>
      </c>
      <c r="L281" s="2">
        <f>Table14[[#This Row],[Likes]]+Table14[[#This Row],[Shares]]+Table14[[#This Row],[Comments]]+Table14[[#This Row],[Clicks]]</f>
        <v>1154</v>
      </c>
      <c r="M281" s="40">
        <f>(Table14[[#This Row],[Likes]]+Table14[[#This Row],[Shares]]+Table14[[#This Row],[Comments]])/Table14[[#This Row],[Impressions]]</f>
        <v>0.86601941747572819</v>
      </c>
      <c r="N281" s="9" t="s">
        <v>27</v>
      </c>
      <c r="O281" s="1"/>
      <c r="P281" s="1"/>
      <c r="Q281" s="1" t="s">
        <v>35</v>
      </c>
    </row>
    <row r="282" spans="1:17" hidden="1" x14ac:dyDescent="0.3">
      <c r="A282" s="1" t="s">
        <v>531</v>
      </c>
      <c r="B282" s="9" t="s">
        <v>24</v>
      </c>
      <c r="C282" s="5" t="s">
        <v>532</v>
      </c>
      <c r="D282" s="9" t="s">
        <v>41</v>
      </c>
      <c r="E282" s="9" t="s">
        <v>64</v>
      </c>
      <c r="F282" s="2">
        <v>4780</v>
      </c>
      <c r="G282" s="2">
        <v>691</v>
      </c>
      <c r="H282" s="2">
        <v>380</v>
      </c>
      <c r="I282" s="2">
        <v>86040</v>
      </c>
      <c r="J282" s="2">
        <v>85743</v>
      </c>
      <c r="K282" s="6">
        <v>262</v>
      </c>
      <c r="L282" s="2">
        <f>Table14[[#This Row],[Likes]]+Table14[[#This Row],[Shares]]+Table14[[#This Row],[Comments]]+Table14[[#This Row],[Clicks]]</f>
        <v>6113</v>
      </c>
      <c r="M282" s="11">
        <f>(Table14[[#This Row],[Likes]]+Table14[[#This Row],[Shares]]+Table14[[#This Row],[Comments]])/Table14[[#This Row],[Impressions]]</f>
        <v>6.800325430032543E-2</v>
      </c>
      <c r="N282" s="9" t="s">
        <v>58</v>
      </c>
      <c r="O282" s="1"/>
      <c r="P282" s="1"/>
      <c r="Q282" s="1" t="s">
        <v>28</v>
      </c>
    </row>
    <row r="283" spans="1:17" hidden="1" x14ac:dyDescent="0.3">
      <c r="A283" s="1" t="s">
        <v>117</v>
      </c>
      <c r="B283" s="9" t="s">
        <v>30</v>
      </c>
      <c r="C283" s="5" t="s">
        <v>118</v>
      </c>
      <c r="D283" s="9" t="s">
        <v>32</v>
      </c>
      <c r="E283" s="9" t="s">
        <v>33</v>
      </c>
      <c r="F283" s="2">
        <v>4518</v>
      </c>
      <c r="G283" s="2">
        <v>285</v>
      </c>
      <c r="H283" s="2">
        <v>383</v>
      </c>
      <c r="I283" s="2">
        <v>67770</v>
      </c>
      <c r="J283" s="2">
        <v>67621</v>
      </c>
      <c r="K283" s="6">
        <v>31</v>
      </c>
      <c r="L283" s="2">
        <f>Table14[[#This Row],[Likes]]+Table14[[#This Row],[Shares]]+Table14[[#This Row],[Comments]]+Table14[[#This Row],[Clicks]]</f>
        <v>5217</v>
      </c>
      <c r="M283" s="11">
        <f>(Table14[[#This Row],[Likes]]+Table14[[#This Row],[Shares]]+Table14[[#This Row],[Comments]])/Table14[[#This Row],[Impressions]]</f>
        <v>7.6523535487678915E-2</v>
      </c>
      <c r="N283" s="9" t="s">
        <v>34</v>
      </c>
      <c r="O283" s="1"/>
      <c r="P283" s="1"/>
      <c r="Q283" s="1" t="s">
        <v>22</v>
      </c>
    </row>
    <row r="284" spans="1:17" hidden="1" x14ac:dyDescent="0.3">
      <c r="A284" s="1" t="s">
        <v>214</v>
      </c>
      <c r="B284" s="9" t="s">
        <v>30</v>
      </c>
      <c r="C284" s="5" t="s">
        <v>118</v>
      </c>
      <c r="D284" s="9" t="s">
        <v>48</v>
      </c>
      <c r="E284" s="9" t="s">
        <v>208</v>
      </c>
      <c r="F284" s="2">
        <v>4177</v>
      </c>
      <c r="G284" s="2">
        <v>569</v>
      </c>
      <c r="H284" s="2">
        <v>55</v>
      </c>
      <c r="I284" s="2">
        <v>25062</v>
      </c>
      <c r="J284" s="2">
        <v>24847</v>
      </c>
      <c r="K284" s="6">
        <v>230</v>
      </c>
      <c r="L284" s="2">
        <f>Table14[[#This Row],[Likes]]+Table14[[#This Row],[Shares]]+Table14[[#This Row],[Comments]]+Table14[[#This Row],[Clicks]]</f>
        <v>5031</v>
      </c>
      <c r="M284" s="11">
        <f>(Table14[[#This Row],[Likes]]+Table14[[#This Row],[Shares]]+Table14[[#This Row],[Comments]])/Table14[[#This Row],[Impressions]]</f>
        <v>0.19156491900087783</v>
      </c>
      <c r="N284" s="9" t="s">
        <v>58</v>
      </c>
      <c r="O284" s="1"/>
      <c r="P284" s="1"/>
      <c r="Q284" s="1" t="s">
        <v>17</v>
      </c>
    </row>
    <row r="285" spans="1:17" hidden="1" x14ac:dyDescent="0.3">
      <c r="A285" s="1" t="s">
        <v>323</v>
      </c>
      <c r="B285" s="9" t="s">
        <v>39</v>
      </c>
      <c r="C285" s="5" t="s">
        <v>324</v>
      </c>
      <c r="D285" s="9" t="s">
        <v>48</v>
      </c>
      <c r="E285" s="9" t="s">
        <v>55</v>
      </c>
      <c r="F285" s="2">
        <v>4804</v>
      </c>
      <c r="G285" s="2">
        <v>550</v>
      </c>
      <c r="H285" s="2">
        <v>270</v>
      </c>
      <c r="I285" s="2">
        <v>28824</v>
      </c>
      <c r="J285" s="2">
        <v>28370</v>
      </c>
      <c r="K285" s="6">
        <v>47</v>
      </c>
      <c r="L285" s="2">
        <f>Table14[[#This Row],[Likes]]+Table14[[#This Row],[Shares]]+Table14[[#This Row],[Comments]]+Table14[[#This Row],[Clicks]]</f>
        <v>5671</v>
      </c>
      <c r="M285" s="11">
        <f>(Table14[[#This Row],[Likes]]+Table14[[#This Row],[Shares]]+Table14[[#This Row],[Comments]])/Table14[[#This Row],[Impressions]]</f>
        <v>0.19511518179295032</v>
      </c>
      <c r="N285" s="9" t="s">
        <v>34</v>
      </c>
      <c r="O285" s="1"/>
      <c r="P285" s="1"/>
      <c r="Q285" s="1" t="s">
        <v>35</v>
      </c>
    </row>
    <row r="286" spans="1:17" hidden="1" x14ac:dyDescent="0.3">
      <c r="A286" s="1" t="s">
        <v>296</v>
      </c>
      <c r="B286" s="9" t="s">
        <v>13</v>
      </c>
      <c r="C286" s="5" t="s">
        <v>297</v>
      </c>
      <c r="D286" s="9" t="s">
        <v>15</v>
      </c>
      <c r="E286" s="9" t="s">
        <v>16</v>
      </c>
      <c r="F286" s="2">
        <v>3731</v>
      </c>
      <c r="G286" s="2">
        <v>115</v>
      </c>
      <c r="H286" s="2">
        <v>135</v>
      </c>
      <c r="I286" s="2">
        <v>55965</v>
      </c>
      <c r="J286" s="2">
        <v>55436</v>
      </c>
      <c r="K286" s="6">
        <v>103</v>
      </c>
      <c r="L286" s="2">
        <f>Table14[[#This Row],[Likes]]+Table14[[#This Row],[Shares]]+Table14[[#This Row],[Comments]]+Table14[[#This Row],[Clicks]]</f>
        <v>4084</v>
      </c>
      <c r="M286" s="11">
        <f>(Table14[[#This Row],[Likes]]+Table14[[#This Row],[Shares]]+Table14[[#This Row],[Comments]])/Table14[[#This Row],[Impressions]]</f>
        <v>7.1133744304476013E-2</v>
      </c>
      <c r="N286" s="9" t="s">
        <v>27</v>
      </c>
      <c r="O286" s="1"/>
      <c r="P286" s="1"/>
      <c r="Q286" s="1" t="s">
        <v>17</v>
      </c>
    </row>
    <row r="287" spans="1:17" hidden="1" x14ac:dyDescent="0.3">
      <c r="A287" s="1" t="s">
        <v>410</v>
      </c>
      <c r="B287" s="9" t="s">
        <v>13</v>
      </c>
      <c r="C287" s="5" t="s">
        <v>297</v>
      </c>
      <c r="D287" s="9" t="s">
        <v>70</v>
      </c>
      <c r="E287" s="9" t="s">
        <v>140</v>
      </c>
      <c r="F287" s="2">
        <v>3820</v>
      </c>
      <c r="G287" s="2">
        <v>697</v>
      </c>
      <c r="H287" s="2">
        <v>268</v>
      </c>
      <c r="I287" s="2">
        <v>45840</v>
      </c>
      <c r="J287" s="2">
        <v>45631</v>
      </c>
      <c r="K287" s="6">
        <v>171</v>
      </c>
      <c r="L287" s="2">
        <f>Table14[[#This Row],[Likes]]+Table14[[#This Row],[Shares]]+Table14[[#This Row],[Comments]]+Table14[[#This Row],[Clicks]]</f>
        <v>4956</v>
      </c>
      <c r="M287" s="11">
        <f>(Table14[[#This Row],[Likes]]+Table14[[#This Row],[Shares]]+Table14[[#This Row],[Comments]])/Table14[[#This Row],[Impressions]]</f>
        <v>0.1043848167539267</v>
      </c>
      <c r="N287" s="9" t="s">
        <v>27</v>
      </c>
      <c r="O287" s="1" t="s">
        <v>552</v>
      </c>
      <c r="P287" s="1"/>
      <c r="Q287" s="1" t="s">
        <v>35</v>
      </c>
    </row>
    <row r="288" spans="1:17" hidden="1" x14ac:dyDescent="0.3">
      <c r="A288" s="1" t="s">
        <v>353</v>
      </c>
      <c r="B288" s="9" t="s">
        <v>13</v>
      </c>
      <c r="C288" s="5" t="s">
        <v>354</v>
      </c>
      <c r="D288" s="9" t="s">
        <v>20</v>
      </c>
      <c r="E288" s="9" t="s">
        <v>21</v>
      </c>
      <c r="F288" s="2">
        <v>3577</v>
      </c>
      <c r="G288" s="2">
        <v>596</v>
      </c>
      <c r="H288" s="2">
        <v>493</v>
      </c>
      <c r="I288" s="2">
        <v>67963</v>
      </c>
      <c r="J288" s="2">
        <v>67839</v>
      </c>
      <c r="K288" s="6">
        <v>53</v>
      </c>
      <c r="L288" s="2">
        <f>Table14[[#This Row],[Likes]]+Table14[[#This Row],[Shares]]+Table14[[#This Row],[Comments]]+Table14[[#This Row],[Clicks]]</f>
        <v>4719</v>
      </c>
      <c r="M288" s="11">
        <f>(Table14[[#This Row],[Likes]]+Table14[[#This Row],[Shares]]+Table14[[#This Row],[Comments]])/Table14[[#This Row],[Impressions]]</f>
        <v>6.8655003457763777E-2</v>
      </c>
      <c r="N288" s="9" t="s">
        <v>27</v>
      </c>
      <c r="O288" s="1"/>
      <c r="P288" s="1"/>
      <c r="Q288" s="1" t="s">
        <v>28</v>
      </c>
    </row>
    <row r="289" spans="1:21" hidden="1" x14ac:dyDescent="0.3">
      <c r="A289" s="1" t="s">
        <v>477</v>
      </c>
      <c r="B289" s="9" t="s">
        <v>39</v>
      </c>
      <c r="C289" s="5" t="s">
        <v>354</v>
      </c>
      <c r="D289" s="9" t="s">
        <v>41</v>
      </c>
      <c r="E289" s="9" t="s">
        <v>42</v>
      </c>
      <c r="F289" s="2">
        <v>2089</v>
      </c>
      <c r="G289" s="2">
        <v>476</v>
      </c>
      <c r="H289" s="2">
        <v>69</v>
      </c>
      <c r="I289" s="2">
        <v>16712</v>
      </c>
      <c r="J289" s="2">
        <v>16309</v>
      </c>
      <c r="K289" s="6">
        <v>64</v>
      </c>
      <c r="L289" s="2">
        <f>Table14[[#This Row],[Likes]]+Table14[[#This Row],[Shares]]+Table14[[#This Row],[Comments]]+Table14[[#This Row],[Clicks]]</f>
        <v>2698</v>
      </c>
      <c r="M289" s="11">
        <f>(Table14[[#This Row],[Likes]]+Table14[[#This Row],[Shares]]+Table14[[#This Row],[Comments]])/Table14[[#This Row],[Impressions]]</f>
        <v>0.15761129727142173</v>
      </c>
      <c r="N289" s="9" t="s">
        <v>58</v>
      </c>
      <c r="O289" s="1"/>
      <c r="P289" s="1"/>
      <c r="Q289" s="1" t="s">
        <v>28</v>
      </c>
    </row>
    <row r="290" spans="1:21" ht="20.399999999999999" customHeight="1" x14ac:dyDescent="0.3">
      <c r="A290" s="1" t="s">
        <v>447</v>
      </c>
      <c r="B290" s="9" t="s">
        <v>13</v>
      </c>
      <c r="C290" s="5" t="s">
        <v>448</v>
      </c>
      <c r="D290" s="9" t="s">
        <v>32</v>
      </c>
      <c r="E290" s="9" t="s">
        <v>144</v>
      </c>
      <c r="F290" s="2">
        <v>249</v>
      </c>
      <c r="G290" s="2">
        <v>592</v>
      </c>
      <c r="H290" s="2">
        <v>230</v>
      </c>
      <c r="I290" s="2">
        <v>1494</v>
      </c>
      <c r="J290" s="2">
        <v>1044</v>
      </c>
      <c r="K290" s="6">
        <v>201</v>
      </c>
      <c r="L290" s="2">
        <f>Table14[[#This Row],[Likes]]+Table14[[#This Row],[Shares]]+Table14[[#This Row],[Comments]]+Table14[[#This Row],[Clicks]]</f>
        <v>1272</v>
      </c>
      <c r="M290" s="40">
        <f>(Table14[[#This Row],[Likes]]+Table14[[#This Row],[Shares]]+Table14[[#This Row],[Comments]])/Table14[[#This Row],[Impressions]]</f>
        <v>0.7168674698795181</v>
      </c>
      <c r="N290" s="9" t="s">
        <v>34</v>
      </c>
      <c r="O290" s="1"/>
      <c r="P290" s="1"/>
      <c r="Q290" s="1" t="s">
        <v>35</v>
      </c>
    </row>
    <row r="291" spans="1:21" hidden="1" x14ac:dyDescent="0.3">
      <c r="A291" s="1" t="s">
        <v>421</v>
      </c>
      <c r="B291" s="9" t="s">
        <v>39</v>
      </c>
      <c r="C291" s="5" t="s">
        <v>422</v>
      </c>
      <c r="D291" s="9" t="s">
        <v>41</v>
      </c>
      <c r="E291" s="9" t="s">
        <v>42</v>
      </c>
      <c r="F291" s="2">
        <v>2696</v>
      </c>
      <c r="G291" s="2">
        <v>628</v>
      </c>
      <c r="H291" s="2">
        <v>443</v>
      </c>
      <c r="I291" s="2">
        <v>45832</v>
      </c>
      <c r="J291" s="2">
        <v>45632</v>
      </c>
      <c r="K291" s="6">
        <v>248</v>
      </c>
      <c r="L291" s="2">
        <f>Table14[[#This Row],[Likes]]+Table14[[#This Row],[Shares]]+Table14[[#This Row],[Comments]]+Table14[[#This Row],[Clicks]]</f>
        <v>4015</v>
      </c>
      <c r="M291" s="11">
        <f>(Table14[[#This Row],[Likes]]+Table14[[#This Row],[Shares]]+Table14[[#This Row],[Comments]])/Table14[[#This Row],[Impressions]]</f>
        <v>8.21914819340199E-2</v>
      </c>
      <c r="N291" s="9" t="s">
        <v>34</v>
      </c>
      <c r="O291" s="1"/>
      <c r="P291" s="1"/>
      <c r="Q291" s="1" t="s">
        <v>35</v>
      </c>
    </row>
    <row r="292" spans="1:21" hidden="1" x14ac:dyDescent="0.3">
      <c r="A292" s="21" t="s">
        <v>446</v>
      </c>
      <c r="B292" s="22" t="s">
        <v>30</v>
      </c>
      <c r="C292" s="23" t="s">
        <v>422</v>
      </c>
      <c r="D292" s="22" t="s">
        <v>20</v>
      </c>
      <c r="E292" s="22" t="s">
        <v>108</v>
      </c>
      <c r="F292" s="24">
        <v>1430</v>
      </c>
      <c r="G292" s="24">
        <v>376</v>
      </c>
      <c r="H292" s="24">
        <v>33</v>
      </c>
      <c r="I292" s="24">
        <v>21450</v>
      </c>
      <c r="J292" s="24">
        <v>20509</v>
      </c>
      <c r="K292" s="25">
        <v>251</v>
      </c>
      <c r="L292" s="24">
        <f>Table14[[#This Row],[Likes]]+Table14[[#This Row],[Shares]]+Table14[[#This Row],[Comments]]+Table14[[#This Row],[Clicks]]</f>
        <v>2090</v>
      </c>
      <c r="M292" s="26">
        <f>(Table14[[#This Row],[Likes]]+Table14[[#This Row],[Shares]]+Table14[[#This Row],[Comments]])/Table14[[#This Row],[Impressions]]</f>
        <v>8.5734265734265735E-2</v>
      </c>
      <c r="N292" s="22" t="s">
        <v>58</v>
      </c>
      <c r="O292" s="21"/>
      <c r="P292" s="21"/>
      <c r="Q292" s="21" t="s">
        <v>17</v>
      </c>
    </row>
    <row r="293" spans="1:21" ht="18" hidden="1" x14ac:dyDescent="0.35">
      <c r="A293" s="21" t="s">
        <v>138</v>
      </c>
      <c r="B293" s="22" t="s">
        <v>13</v>
      </c>
      <c r="C293" s="23" t="s">
        <v>139</v>
      </c>
      <c r="D293" s="22" t="s">
        <v>70</v>
      </c>
      <c r="E293" s="22" t="s">
        <v>140</v>
      </c>
      <c r="F293" s="24">
        <v>1108</v>
      </c>
      <c r="G293" s="24">
        <v>177</v>
      </c>
      <c r="H293" s="24">
        <v>212</v>
      </c>
      <c r="I293" s="24">
        <v>8864</v>
      </c>
      <c r="J293" s="24">
        <v>8710</v>
      </c>
      <c r="K293" s="25">
        <v>97</v>
      </c>
      <c r="L293" s="24">
        <f>Table14[[#This Row],[Likes]]+Table14[[#This Row],[Shares]]+Table14[[#This Row],[Comments]]+Table14[[#This Row],[Clicks]]</f>
        <v>1594</v>
      </c>
      <c r="M293" s="26">
        <f>(Table14[[#This Row],[Likes]]+Table14[[#This Row],[Shares]]+Table14[[#This Row],[Comments]])/Table14[[#This Row],[Impressions]]</f>
        <v>0.16888537906137185</v>
      </c>
      <c r="N293" s="22" t="s">
        <v>27</v>
      </c>
      <c r="O293" s="21"/>
      <c r="P293" s="21"/>
      <c r="Q293" s="21" t="s">
        <v>35</v>
      </c>
      <c r="T293" s="53" t="s">
        <v>575</v>
      </c>
      <c r="U293" s="53"/>
    </row>
    <row r="294" spans="1:21" ht="18" hidden="1" x14ac:dyDescent="0.35">
      <c r="A294" s="21" t="s">
        <v>74</v>
      </c>
      <c r="B294" s="22" t="s">
        <v>39</v>
      </c>
      <c r="C294" s="23" t="s">
        <v>75</v>
      </c>
      <c r="D294" s="22" t="s">
        <v>20</v>
      </c>
      <c r="E294" s="22" t="s">
        <v>52</v>
      </c>
      <c r="F294" s="24">
        <v>4441</v>
      </c>
      <c r="G294" s="24">
        <v>511</v>
      </c>
      <c r="H294" s="24">
        <v>70</v>
      </c>
      <c r="I294" s="24">
        <v>53292</v>
      </c>
      <c r="J294" s="24">
        <v>53082</v>
      </c>
      <c r="K294" s="25">
        <v>159</v>
      </c>
      <c r="L294" s="24">
        <f>Table14[[#This Row],[Likes]]+Table14[[#This Row],[Shares]]+Table14[[#This Row],[Comments]]+Table14[[#This Row],[Clicks]]</f>
        <v>5181</v>
      </c>
      <c r="M294" s="26">
        <f>(Table14[[#This Row],[Likes]]+Table14[[#This Row],[Shares]]+Table14[[#This Row],[Comments]])/Table14[[#This Row],[Impressions]]</f>
        <v>9.4235532537716729E-2</v>
      </c>
      <c r="N294" s="22" t="s">
        <v>34</v>
      </c>
      <c r="O294" s="21"/>
      <c r="P294" s="21"/>
      <c r="Q294" s="21" t="s">
        <v>35</v>
      </c>
      <c r="T294" s="12" t="s">
        <v>560</v>
      </c>
      <c r="U294" s="12" t="s">
        <v>620</v>
      </c>
    </row>
    <row r="295" spans="1:21" ht="18" hidden="1" x14ac:dyDescent="0.35">
      <c r="A295" s="21" t="s">
        <v>424</v>
      </c>
      <c r="B295" s="22" t="s">
        <v>39</v>
      </c>
      <c r="C295" s="23" t="s">
        <v>425</v>
      </c>
      <c r="D295" s="22" t="s">
        <v>48</v>
      </c>
      <c r="E295" s="22" t="s">
        <v>55</v>
      </c>
      <c r="F295" s="24">
        <v>4872</v>
      </c>
      <c r="G295" s="24">
        <v>925</v>
      </c>
      <c r="H295" s="24">
        <v>176</v>
      </c>
      <c r="I295" s="24">
        <v>82824</v>
      </c>
      <c r="J295" s="24">
        <v>82543</v>
      </c>
      <c r="K295" s="25">
        <v>89</v>
      </c>
      <c r="L295" s="24">
        <f>Table14[[#This Row],[Likes]]+Table14[[#This Row],[Shares]]+Table14[[#This Row],[Comments]]+Table14[[#This Row],[Clicks]]</f>
        <v>6062</v>
      </c>
      <c r="M295" s="26">
        <f>(Table14[[#This Row],[Likes]]+Table14[[#This Row],[Shares]]+Table14[[#This Row],[Comments]])/Table14[[#This Row],[Impressions]]</f>
        <v>7.2116777745580993E-2</v>
      </c>
      <c r="N295" s="22" t="s">
        <v>34</v>
      </c>
      <c r="O295" s="21"/>
      <c r="P295" s="21"/>
      <c r="Q295" s="21" t="s">
        <v>22</v>
      </c>
      <c r="T295" s="37" t="s">
        <v>567</v>
      </c>
      <c r="U295" s="37" t="s">
        <v>568</v>
      </c>
    </row>
    <row r="296" spans="1:21" ht="18" hidden="1" x14ac:dyDescent="0.35">
      <c r="A296" s="21" t="s">
        <v>543</v>
      </c>
      <c r="B296" s="22" t="s">
        <v>13</v>
      </c>
      <c r="C296" s="23" t="s">
        <v>425</v>
      </c>
      <c r="D296" s="22" t="s">
        <v>48</v>
      </c>
      <c r="E296" s="22" t="s">
        <v>127</v>
      </c>
      <c r="F296" s="24">
        <v>1952</v>
      </c>
      <c r="G296" s="24">
        <v>344</v>
      </c>
      <c r="H296" s="24">
        <v>287</v>
      </c>
      <c r="I296" s="24">
        <v>15616</v>
      </c>
      <c r="J296" s="24">
        <v>15403</v>
      </c>
      <c r="K296" s="25">
        <v>235</v>
      </c>
      <c r="L296" s="24">
        <f>Table14[[#This Row],[Likes]]+Table14[[#This Row],[Shares]]+Table14[[#This Row],[Comments]]+Table14[[#This Row],[Clicks]]</f>
        <v>2818</v>
      </c>
      <c r="M296" s="26">
        <f>(Table14[[#This Row],[Likes]]+Table14[[#This Row],[Shares]]+Table14[[#This Row],[Comments]])/Table14[[#This Row],[Impressions]]</f>
        <v>0.16540727459016394</v>
      </c>
      <c r="N296" s="22" t="s">
        <v>58</v>
      </c>
      <c r="O296" s="21" t="s">
        <v>27</v>
      </c>
      <c r="P296" s="21" t="s">
        <v>551</v>
      </c>
      <c r="Q296" s="21" t="s">
        <v>22</v>
      </c>
      <c r="T296" s="37" t="s">
        <v>574</v>
      </c>
      <c r="U296" s="37" t="s">
        <v>578</v>
      </c>
    </row>
    <row r="297" spans="1:21" ht="54" hidden="1" x14ac:dyDescent="0.35">
      <c r="A297" s="21" t="s">
        <v>524</v>
      </c>
      <c r="B297" s="22" t="s">
        <v>13</v>
      </c>
      <c r="C297" s="23" t="s">
        <v>525</v>
      </c>
      <c r="D297" s="22" t="s">
        <v>15</v>
      </c>
      <c r="E297" s="22" t="s">
        <v>16</v>
      </c>
      <c r="F297" s="24">
        <v>3367</v>
      </c>
      <c r="G297" s="24">
        <v>302</v>
      </c>
      <c r="H297" s="24">
        <v>57</v>
      </c>
      <c r="I297" s="24">
        <v>63973</v>
      </c>
      <c r="J297" s="24">
        <v>63789</v>
      </c>
      <c r="K297" s="25">
        <v>157</v>
      </c>
      <c r="L297" s="24">
        <f>Table14[[#This Row],[Likes]]+Table14[[#This Row],[Shares]]+Table14[[#This Row],[Comments]]+Table14[[#This Row],[Clicks]]</f>
        <v>3883</v>
      </c>
      <c r="M297" s="26">
        <f>(Table14[[#This Row],[Likes]]+Table14[[#This Row],[Shares]]+Table14[[#This Row],[Comments]])/Table14[[#This Row],[Impressions]]</f>
        <v>5.8243321401216137E-2</v>
      </c>
      <c r="N297" s="22" t="s">
        <v>58</v>
      </c>
      <c r="O297" s="21"/>
      <c r="P297" s="21"/>
      <c r="Q297" s="21" t="s">
        <v>22</v>
      </c>
      <c r="T297" s="38" t="s">
        <v>576</v>
      </c>
      <c r="U297" s="37" t="s">
        <v>585</v>
      </c>
    </row>
    <row r="298" spans="1:21" ht="18" hidden="1" x14ac:dyDescent="0.35">
      <c r="A298" s="21" t="s">
        <v>269</v>
      </c>
      <c r="B298" s="22" t="s">
        <v>13</v>
      </c>
      <c r="C298" s="23" t="s">
        <v>270</v>
      </c>
      <c r="D298" s="22" t="s">
        <v>48</v>
      </c>
      <c r="E298" s="22" t="s">
        <v>127</v>
      </c>
      <c r="F298" s="24">
        <v>2493</v>
      </c>
      <c r="G298" s="24">
        <v>97</v>
      </c>
      <c r="H298" s="24">
        <v>44</v>
      </c>
      <c r="I298" s="24">
        <v>42381</v>
      </c>
      <c r="J298" s="24">
        <v>41991</v>
      </c>
      <c r="K298" s="25">
        <v>242</v>
      </c>
      <c r="L298" s="24">
        <f>Table14[[#This Row],[Likes]]+Table14[[#This Row],[Shares]]+Table14[[#This Row],[Comments]]+Table14[[#This Row],[Clicks]]</f>
        <v>2876</v>
      </c>
      <c r="M298" s="26">
        <f>(Table14[[#This Row],[Likes]]+Table14[[#This Row],[Shares]]+Table14[[#This Row],[Comments]])/Table14[[#This Row],[Impressions]]</f>
        <v>6.2150491965739366E-2</v>
      </c>
      <c r="N298" s="22" t="s">
        <v>27</v>
      </c>
      <c r="O298" s="21" t="s">
        <v>551</v>
      </c>
      <c r="P298" s="21"/>
      <c r="Q298" s="21" t="s">
        <v>35</v>
      </c>
      <c r="T298" s="37" t="s">
        <v>577</v>
      </c>
      <c r="U298" s="37" t="s">
        <v>586</v>
      </c>
    </row>
    <row r="299" spans="1:21" hidden="1" x14ac:dyDescent="0.3">
      <c r="A299" s="21" t="s">
        <v>23</v>
      </c>
      <c r="B299" s="22" t="s">
        <v>24</v>
      </c>
      <c r="C299" s="23" t="s">
        <v>25</v>
      </c>
      <c r="D299" s="22" t="s">
        <v>15</v>
      </c>
      <c r="E299" s="22" t="s">
        <v>26</v>
      </c>
      <c r="F299" s="24">
        <v>2795</v>
      </c>
      <c r="G299" s="24">
        <v>105</v>
      </c>
      <c r="H299" s="24">
        <v>49</v>
      </c>
      <c r="I299" s="24">
        <v>53105</v>
      </c>
      <c r="J299" s="24">
        <v>52307</v>
      </c>
      <c r="K299" s="25">
        <v>204</v>
      </c>
      <c r="L299" s="24">
        <f>Table14[[#This Row],[Likes]]+Table14[[#This Row],[Shares]]+Table14[[#This Row],[Comments]]+Table14[[#This Row],[Clicks]]</f>
        <v>3153</v>
      </c>
      <c r="M299" s="26">
        <f>(Table14[[#This Row],[Likes]]+Table14[[#This Row],[Shares]]+Table14[[#This Row],[Comments]])/Table14[[#This Row],[Impressions]]</f>
        <v>5.5531494209584788E-2</v>
      </c>
      <c r="N299" s="22" t="s">
        <v>27</v>
      </c>
      <c r="O299" s="21"/>
      <c r="P299" s="21"/>
      <c r="Q299" s="21" t="s">
        <v>28</v>
      </c>
      <c r="T299" s="14"/>
      <c r="U299" s="14"/>
    </row>
    <row r="300" spans="1:21" hidden="1" x14ac:dyDescent="0.3">
      <c r="A300" s="21" t="s">
        <v>435</v>
      </c>
      <c r="B300" s="22" t="s">
        <v>39</v>
      </c>
      <c r="C300" s="23" t="s">
        <v>436</v>
      </c>
      <c r="D300" s="22" t="s">
        <v>48</v>
      </c>
      <c r="E300" s="22" t="s">
        <v>55</v>
      </c>
      <c r="F300" s="24">
        <v>602</v>
      </c>
      <c r="G300" s="24">
        <v>594</v>
      </c>
      <c r="H300" s="24">
        <v>156</v>
      </c>
      <c r="I300" s="24">
        <v>4214</v>
      </c>
      <c r="J300" s="24">
        <v>3363</v>
      </c>
      <c r="K300" s="25">
        <v>164</v>
      </c>
      <c r="L300" s="24">
        <f>Table14[[#This Row],[Likes]]+Table14[[#This Row],[Shares]]+Table14[[#This Row],[Comments]]+Table14[[#This Row],[Clicks]]</f>
        <v>1516</v>
      </c>
      <c r="M300" s="26">
        <f>(Table14[[#This Row],[Likes]]+Table14[[#This Row],[Shares]]+Table14[[#This Row],[Comments]])/Table14[[#This Row],[Impressions]]</f>
        <v>0.32083531086853345</v>
      </c>
      <c r="N300" s="22" t="s">
        <v>27</v>
      </c>
      <c r="O300" s="21"/>
      <c r="P300" s="21"/>
      <c r="Q300" s="21" t="s">
        <v>28</v>
      </c>
    </row>
    <row r="301" spans="1:21" hidden="1" x14ac:dyDescent="0.3">
      <c r="A301" s="21" t="s">
        <v>539</v>
      </c>
      <c r="B301" s="22" t="s">
        <v>39</v>
      </c>
      <c r="C301" s="23" t="s">
        <v>540</v>
      </c>
      <c r="D301" s="22" t="s">
        <v>20</v>
      </c>
      <c r="E301" s="22" t="s">
        <v>52</v>
      </c>
      <c r="F301" s="24">
        <v>2634</v>
      </c>
      <c r="G301" s="24">
        <v>726</v>
      </c>
      <c r="H301" s="24">
        <v>241</v>
      </c>
      <c r="I301" s="24">
        <v>28974</v>
      </c>
      <c r="J301" s="24">
        <v>28102</v>
      </c>
      <c r="K301" s="25">
        <v>277</v>
      </c>
      <c r="L301" s="24">
        <f>Table14[[#This Row],[Likes]]+Table14[[#This Row],[Shares]]+Table14[[#This Row],[Comments]]+Table14[[#This Row],[Clicks]]</f>
        <v>3878</v>
      </c>
      <c r="M301" s="26">
        <f>(Table14[[#This Row],[Likes]]+Table14[[#This Row],[Shares]]+Table14[[#This Row],[Comments]])/Table14[[#This Row],[Impressions]]</f>
        <v>0.12428384068475185</v>
      </c>
      <c r="N301" s="22" t="s">
        <v>34</v>
      </c>
      <c r="O301" s="21"/>
      <c r="P301" s="21"/>
      <c r="Q301" s="21" t="s">
        <v>17</v>
      </c>
    </row>
    <row r="304" spans="1:21" ht="27.6" customHeight="1" x14ac:dyDescent="0.3">
      <c r="C304" s="54" t="s">
        <v>587</v>
      </c>
      <c r="D304" s="55"/>
      <c r="E304" s="55"/>
    </row>
  </sheetData>
  <mergeCells count="2">
    <mergeCell ref="T293:U293"/>
    <mergeCell ref="C304:E304"/>
  </mergeCells>
  <phoneticPr fontId="5" type="noConversion"/>
  <conditionalFormatting sqref="N1:N290">
    <cfRule type="top10" dxfId="6" priority="1" rank="1"/>
    <cfRule type="top10" dxfId="5" priority="2" rank="2"/>
  </conditionalFormatting>
  <conditionalFormatting sqref="N2:P301">
    <cfRule type="top10" dxfId="4" priority="5" rank="10"/>
    <cfRule type="top10" dxfId="3" priority="6" rank="10"/>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6BE63-7043-49B4-B2E7-66EBBAEAB74C}">
  <sheetPr codeName="Sheet3">
    <tabColor theme="7" tint="0.59999389629810485"/>
  </sheetPr>
  <dimension ref="A1:M33"/>
  <sheetViews>
    <sheetView zoomScale="93" zoomScaleNormal="93" workbookViewId="0">
      <selection activeCell="H15" sqref="H15"/>
    </sheetView>
  </sheetViews>
  <sheetFormatPr defaultRowHeight="14.4" x14ac:dyDescent="0.3"/>
  <cols>
    <col min="1" max="1" width="13" bestFit="1" customWidth="1"/>
    <col min="2" max="2" width="11.5546875" bestFit="1" customWidth="1"/>
    <col min="3" max="3" width="13.109375" bestFit="1" customWidth="1"/>
    <col min="4" max="4" width="16.6640625" bestFit="1" customWidth="1"/>
    <col min="8" max="8" width="67.44140625" bestFit="1" customWidth="1"/>
    <col min="15" max="15" width="10.21875" bestFit="1" customWidth="1"/>
    <col min="16" max="16" width="7.5546875" customWidth="1"/>
  </cols>
  <sheetData>
    <row r="1" spans="1:13" ht="18" x14ac:dyDescent="0.3">
      <c r="A1" s="31"/>
      <c r="B1" s="31"/>
      <c r="C1" s="31"/>
      <c r="D1" s="31"/>
      <c r="E1" s="30" t="s">
        <v>588</v>
      </c>
      <c r="F1" s="31"/>
      <c r="G1" s="31"/>
      <c r="H1" s="31"/>
      <c r="I1" s="31"/>
    </row>
    <row r="4" spans="1:13" x14ac:dyDescent="0.3">
      <c r="A4" s="15" t="s">
        <v>579</v>
      </c>
      <c r="B4" t="s">
        <v>581</v>
      </c>
      <c r="C4" t="s">
        <v>582</v>
      </c>
      <c r="D4" t="s">
        <v>583</v>
      </c>
    </row>
    <row r="5" spans="1:13" x14ac:dyDescent="0.3">
      <c r="A5" s="16" t="s">
        <v>39</v>
      </c>
      <c r="B5" s="17">
        <v>242761</v>
      </c>
      <c r="C5" s="17">
        <v>39181</v>
      </c>
      <c r="D5" s="17">
        <v>23300</v>
      </c>
    </row>
    <row r="6" spans="1:13" x14ac:dyDescent="0.3">
      <c r="A6" s="18" t="s">
        <v>41</v>
      </c>
      <c r="B6" s="17">
        <v>44476</v>
      </c>
      <c r="C6" s="17">
        <v>7400</v>
      </c>
      <c r="D6" s="17">
        <v>4589</v>
      </c>
    </row>
    <row r="7" spans="1:13" x14ac:dyDescent="0.3">
      <c r="A7" s="18" t="s">
        <v>48</v>
      </c>
      <c r="B7" s="17">
        <v>71602</v>
      </c>
      <c r="C7" s="17">
        <v>12904</v>
      </c>
      <c r="D7" s="17">
        <v>6495</v>
      </c>
    </row>
    <row r="8" spans="1:13" x14ac:dyDescent="0.3">
      <c r="A8" s="18" t="s">
        <v>15</v>
      </c>
      <c r="B8" s="17">
        <v>36368</v>
      </c>
      <c r="C8" s="17">
        <v>5964</v>
      </c>
      <c r="D8" s="17">
        <v>3353</v>
      </c>
    </row>
    <row r="9" spans="1:13" x14ac:dyDescent="0.3">
      <c r="A9" s="18" t="s">
        <v>32</v>
      </c>
      <c r="B9" s="17">
        <v>29405</v>
      </c>
      <c r="C9" s="17">
        <v>4950</v>
      </c>
      <c r="D9" s="17">
        <v>3223</v>
      </c>
    </row>
    <row r="10" spans="1:13" x14ac:dyDescent="0.3">
      <c r="A10" s="18" t="s">
        <v>20</v>
      </c>
      <c r="B10" s="17">
        <v>31963</v>
      </c>
      <c r="C10" s="17">
        <v>4792</v>
      </c>
      <c r="D10" s="17">
        <v>3377</v>
      </c>
    </row>
    <row r="11" spans="1:13" x14ac:dyDescent="0.3">
      <c r="A11" s="18" t="s">
        <v>70</v>
      </c>
      <c r="B11" s="17">
        <v>28947</v>
      </c>
      <c r="C11" s="17">
        <v>3171</v>
      </c>
      <c r="D11" s="17">
        <v>2263</v>
      </c>
    </row>
    <row r="12" spans="1:13" x14ac:dyDescent="0.3">
      <c r="A12" s="16" t="s">
        <v>30</v>
      </c>
      <c r="B12" s="17">
        <v>204284</v>
      </c>
      <c r="C12" s="17">
        <v>41444</v>
      </c>
      <c r="D12" s="17">
        <v>17851</v>
      </c>
    </row>
    <row r="13" spans="1:13" x14ac:dyDescent="0.3">
      <c r="A13" s="18" t="s">
        <v>41</v>
      </c>
      <c r="B13" s="17">
        <v>43948</v>
      </c>
      <c r="C13" s="17">
        <v>6975</v>
      </c>
      <c r="D13" s="17">
        <v>3890</v>
      </c>
    </row>
    <row r="14" spans="1:13" x14ac:dyDescent="0.3">
      <c r="A14" s="18" t="s">
        <v>48</v>
      </c>
      <c r="B14" s="17">
        <v>34202</v>
      </c>
      <c r="C14" s="17">
        <v>5286</v>
      </c>
      <c r="D14" s="17">
        <v>2655</v>
      </c>
    </row>
    <row r="15" spans="1:13" x14ac:dyDescent="0.3">
      <c r="A15" s="18" t="s">
        <v>15</v>
      </c>
      <c r="B15" s="17">
        <v>32148</v>
      </c>
      <c r="C15" s="17">
        <v>8110</v>
      </c>
      <c r="D15" s="17">
        <v>3386</v>
      </c>
    </row>
    <row r="16" spans="1:13" ht="18" x14ac:dyDescent="0.3">
      <c r="A16" s="18" t="s">
        <v>32</v>
      </c>
      <c r="B16" s="17">
        <v>42649</v>
      </c>
      <c r="C16" s="17">
        <v>10049</v>
      </c>
      <c r="D16" s="17">
        <v>3846</v>
      </c>
      <c r="K16" s="56"/>
      <c r="L16" s="56"/>
      <c r="M16" s="56"/>
    </row>
    <row r="17" spans="1:4" x14ac:dyDescent="0.3">
      <c r="A17" s="18" t="s">
        <v>20</v>
      </c>
      <c r="B17" s="17">
        <v>25567</v>
      </c>
      <c r="C17" s="17">
        <v>5112</v>
      </c>
      <c r="D17" s="17">
        <v>1946</v>
      </c>
    </row>
    <row r="18" spans="1:4" x14ac:dyDescent="0.3">
      <c r="A18" s="18" t="s">
        <v>70</v>
      </c>
      <c r="B18" s="17">
        <v>25770</v>
      </c>
      <c r="C18" s="17">
        <v>5912</v>
      </c>
      <c r="D18" s="17">
        <v>2128</v>
      </c>
    </row>
    <row r="19" spans="1:4" x14ac:dyDescent="0.3">
      <c r="A19" s="16" t="s">
        <v>13</v>
      </c>
      <c r="B19" s="17">
        <v>201397</v>
      </c>
      <c r="C19" s="17">
        <v>33728</v>
      </c>
      <c r="D19" s="17">
        <v>20880</v>
      </c>
    </row>
    <row r="20" spans="1:4" x14ac:dyDescent="0.3">
      <c r="A20" s="18" t="s">
        <v>41</v>
      </c>
      <c r="B20" s="17">
        <v>48649</v>
      </c>
      <c r="C20" s="17">
        <v>5791</v>
      </c>
      <c r="D20" s="17">
        <v>3607</v>
      </c>
    </row>
    <row r="21" spans="1:4" x14ac:dyDescent="0.3">
      <c r="A21" s="18" t="s">
        <v>48</v>
      </c>
      <c r="B21" s="17">
        <v>43761</v>
      </c>
      <c r="C21" s="17">
        <v>7110</v>
      </c>
      <c r="D21" s="17">
        <v>5125</v>
      </c>
    </row>
    <row r="22" spans="1:4" x14ac:dyDescent="0.3">
      <c r="A22" s="18" t="s">
        <v>15</v>
      </c>
      <c r="B22" s="17">
        <v>27029</v>
      </c>
      <c r="C22" s="17">
        <v>4550</v>
      </c>
      <c r="D22" s="17">
        <v>1913</v>
      </c>
    </row>
    <row r="23" spans="1:4" x14ac:dyDescent="0.3">
      <c r="A23" s="18" t="s">
        <v>32</v>
      </c>
      <c r="B23" s="17">
        <v>20466</v>
      </c>
      <c r="C23" s="17">
        <v>5090</v>
      </c>
      <c r="D23" s="17">
        <v>3026</v>
      </c>
    </row>
    <row r="24" spans="1:4" x14ac:dyDescent="0.3">
      <c r="A24" s="18" t="s">
        <v>20</v>
      </c>
      <c r="B24" s="17">
        <v>31899</v>
      </c>
      <c r="C24" s="17">
        <v>4861</v>
      </c>
      <c r="D24" s="17">
        <v>3910</v>
      </c>
    </row>
    <row r="25" spans="1:4" x14ac:dyDescent="0.3">
      <c r="A25" s="18" t="s">
        <v>70</v>
      </c>
      <c r="B25" s="17">
        <v>29593</v>
      </c>
      <c r="C25" s="17">
        <v>6326</v>
      </c>
      <c r="D25" s="17">
        <v>3299</v>
      </c>
    </row>
    <row r="26" spans="1:4" x14ac:dyDescent="0.3">
      <c r="A26" s="16" t="s">
        <v>24</v>
      </c>
      <c r="B26" s="17">
        <v>171549</v>
      </c>
      <c r="C26" s="17">
        <v>28572</v>
      </c>
      <c r="D26" s="17">
        <v>12820</v>
      </c>
    </row>
    <row r="27" spans="1:4" x14ac:dyDescent="0.3">
      <c r="A27" s="18" t="s">
        <v>41</v>
      </c>
      <c r="B27" s="17">
        <v>24926</v>
      </c>
      <c r="C27" s="17">
        <v>6305</v>
      </c>
      <c r="D27" s="17">
        <v>2422</v>
      </c>
    </row>
    <row r="28" spans="1:4" x14ac:dyDescent="0.3">
      <c r="A28" s="18" t="s">
        <v>48</v>
      </c>
      <c r="B28" s="17">
        <v>23903</v>
      </c>
      <c r="C28" s="17">
        <v>4310</v>
      </c>
      <c r="D28" s="17">
        <v>2077</v>
      </c>
    </row>
    <row r="29" spans="1:4" x14ac:dyDescent="0.3">
      <c r="A29" s="18" t="s">
        <v>15</v>
      </c>
      <c r="B29" s="17">
        <v>32400</v>
      </c>
      <c r="C29" s="17">
        <v>4577</v>
      </c>
      <c r="D29" s="17">
        <v>2668</v>
      </c>
    </row>
    <row r="30" spans="1:4" x14ac:dyDescent="0.3">
      <c r="A30" s="18" t="s">
        <v>32</v>
      </c>
      <c r="B30" s="17">
        <v>31968</v>
      </c>
      <c r="C30" s="17">
        <v>3866</v>
      </c>
      <c r="D30" s="17">
        <v>2012</v>
      </c>
    </row>
    <row r="31" spans="1:4" x14ac:dyDescent="0.3">
      <c r="A31" s="18" t="s">
        <v>20</v>
      </c>
      <c r="B31" s="17">
        <v>27067</v>
      </c>
      <c r="C31" s="17">
        <v>3928</v>
      </c>
      <c r="D31" s="17">
        <v>1052</v>
      </c>
    </row>
    <row r="32" spans="1:4" x14ac:dyDescent="0.3">
      <c r="A32" s="18" t="s">
        <v>70</v>
      </c>
      <c r="B32" s="17">
        <v>31285</v>
      </c>
      <c r="C32" s="17">
        <v>5586</v>
      </c>
      <c r="D32" s="17">
        <v>2589</v>
      </c>
    </row>
    <row r="33" spans="1:4" x14ac:dyDescent="0.3">
      <c r="A33" s="16" t="s">
        <v>580</v>
      </c>
      <c r="B33" s="17">
        <v>819991</v>
      </c>
      <c r="C33" s="17">
        <v>142925</v>
      </c>
      <c r="D33" s="17">
        <v>74851</v>
      </c>
    </row>
  </sheetData>
  <mergeCells count="1">
    <mergeCell ref="K16:M1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9D79-16FF-421A-BD40-DE9B41305DD5}">
  <sheetPr codeName="Sheet4">
    <tabColor theme="7" tint="0.59999389629810485"/>
  </sheetPr>
  <dimension ref="A2:H9"/>
  <sheetViews>
    <sheetView topLeftCell="B1" workbookViewId="0">
      <selection activeCell="L11" sqref="L11"/>
    </sheetView>
  </sheetViews>
  <sheetFormatPr defaultRowHeight="14.4" x14ac:dyDescent="0.3"/>
  <cols>
    <col min="1" max="1" width="19.88671875" bestFit="1" customWidth="1"/>
    <col min="2" max="2" width="15.33203125" bestFit="1" customWidth="1"/>
  </cols>
  <sheetData>
    <row r="2" spans="1:8" ht="18" x14ac:dyDescent="0.3">
      <c r="A2" s="57" t="s">
        <v>693</v>
      </c>
      <c r="B2" s="57"/>
      <c r="C2" s="57"/>
      <c r="D2" s="57"/>
      <c r="E2" s="57"/>
      <c r="F2" s="57"/>
      <c r="G2" s="57"/>
      <c r="H2" s="57"/>
    </row>
    <row r="5" spans="1:8" x14ac:dyDescent="0.3">
      <c r="A5" s="15" t="s">
        <v>579</v>
      </c>
      <c r="B5" t="s">
        <v>584</v>
      </c>
    </row>
    <row r="6" spans="1:8" x14ac:dyDescent="0.3">
      <c r="A6" s="16" t="s">
        <v>34</v>
      </c>
      <c r="B6" s="19">
        <v>152.86597938144331</v>
      </c>
    </row>
    <row r="7" spans="1:8" x14ac:dyDescent="0.3">
      <c r="A7" s="16" t="s">
        <v>58</v>
      </c>
      <c r="B7" s="19">
        <v>144.03883495145632</v>
      </c>
    </row>
    <row r="8" spans="1:8" x14ac:dyDescent="0.3">
      <c r="A8" s="16" t="s">
        <v>27</v>
      </c>
      <c r="B8" s="19">
        <v>157.02000000000001</v>
      </c>
    </row>
    <row r="9" spans="1:8" x14ac:dyDescent="0.3">
      <c r="A9" s="16" t="s">
        <v>580</v>
      </c>
      <c r="B9" s="19">
        <v>151.22</v>
      </c>
    </row>
  </sheetData>
  <mergeCells count="1">
    <mergeCell ref="A2:H2"/>
  </mergeCells>
  <conditionalFormatting pivot="1" sqref="B8">
    <cfRule type="top10" dxfId="96"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61C7-6E2C-4E88-A9D0-68768777119A}">
  <sheetPr>
    <tabColor rgb="FF00B0F0"/>
  </sheetPr>
  <dimension ref="C3:D8"/>
  <sheetViews>
    <sheetView topLeftCell="B1" workbookViewId="0">
      <selection activeCell="C8" sqref="C8"/>
    </sheetView>
  </sheetViews>
  <sheetFormatPr defaultRowHeight="14.4" x14ac:dyDescent="0.3"/>
  <cols>
    <col min="3" max="3" width="54.6640625" bestFit="1" customWidth="1"/>
    <col min="4" max="4" width="107.109375" bestFit="1" customWidth="1"/>
  </cols>
  <sheetData>
    <row r="3" spans="3:4" ht="18" x14ac:dyDescent="0.35">
      <c r="C3" s="53" t="s">
        <v>618</v>
      </c>
      <c r="D3" s="53"/>
    </row>
    <row r="4" spans="3:4" ht="18" x14ac:dyDescent="0.35">
      <c r="C4" s="12" t="s">
        <v>560</v>
      </c>
      <c r="D4" s="13" t="s">
        <v>566</v>
      </c>
    </row>
    <row r="5" spans="3:4" ht="54" x14ac:dyDescent="0.35">
      <c r="C5" s="20" t="s">
        <v>615</v>
      </c>
      <c r="D5" s="10" t="s">
        <v>684</v>
      </c>
    </row>
    <row r="6" spans="3:4" ht="18" x14ac:dyDescent="0.35">
      <c r="C6" s="10" t="s">
        <v>616</v>
      </c>
      <c r="D6" s="10" t="s">
        <v>683</v>
      </c>
    </row>
    <row r="7" spans="3:4" ht="18" x14ac:dyDescent="0.35">
      <c r="C7" s="10" t="s">
        <v>617</v>
      </c>
      <c r="D7" s="10" t="s">
        <v>625</v>
      </c>
    </row>
    <row r="8" spans="3:4" ht="54" x14ac:dyDescent="0.35">
      <c r="C8" s="20" t="s">
        <v>619</v>
      </c>
      <c r="D8" s="43" t="s">
        <v>695</v>
      </c>
    </row>
  </sheetData>
  <mergeCells count="1">
    <mergeCell ref="C3:D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9554-F697-4C0B-9884-5A98450E7669}">
  <sheetPr codeName="Sheet6">
    <tabColor rgb="FF00B0F0"/>
  </sheetPr>
  <dimension ref="A1:I201"/>
  <sheetViews>
    <sheetView workbookViewId="0">
      <selection activeCell="I1" sqref="I1"/>
    </sheetView>
  </sheetViews>
  <sheetFormatPr defaultRowHeight="14.4" x14ac:dyDescent="0.3"/>
  <cols>
    <col min="1" max="1" width="17.5546875" customWidth="1"/>
    <col min="2" max="2" width="10.21875" customWidth="1"/>
    <col min="3" max="3" width="15.5546875" customWidth="1"/>
    <col min="4" max="4" width="11.33203125" customWidth="1"/>
    <col min="5" max="5" width="16" customWidth="1"/>
    <col min="6" max="6" width="18.21875" customWidth="1"/>
    <col min="7" max="7" width="11.5546875" customWidth="1"/>
    <col min="8" max="8" width="19.88671875" bestFit="1" customWidth="1"/>
    <col min="9" max="9" width="15.88671875" bestFit="1" customWidth="1"/>
    <col min="12" max="12" width="83" bestFit="1" customWidth="1"/>
    <col min="13" max="13" width="107.109375" bestFit="1" customWidth="1"/>
  </cols>
  <sheetData>
    <row r="1" spans="1:9" x14ac:dyDescent="0.3">
      <c r="A1" s="7" t="s">
        <v>589</v>
      </c>
      <c r="B1" s="7" t="s">
        <v>1</v>
      </c>
      <c r="C1" s="7" t="s">
        <v>590</v>
      </c>
      <c r="D1" s="7" t="s">
        <v>591</v>
      </c>
      <c r="E1" s="7" t="s">
        <v>592</v>
      </c>
      <c r="F1" s="7" t="s">
        <v>593</v>
      </c>
      <c r="G1" s="7" t="s">
        <v>594</v>
      </c>
      <c r="H1" s="7" t="s">
        <v>613</v>
      </c>
      <c r="I1" s="7" t="s">
        <v>614</v>
      </c>
    </row>
    <row r="2" spans="1:9" x14ac:dyDescent="0.3">
      <c r="A2" s="33" t="s">
        <v>224</v>
      </c>
      <c r="B2" s="34" t="s">
        <v>30</v>
      </c>
      <c r="C2" s="35">
        <v>1135</v>
      </c>
      <c r="D2" s="35">
        <v>88</v>
      </c>
      <c r="E2" s="35">
        <v>344084</v>
      </c>
      <c r="F2" s="32">
        <v>8.06</v>
      </c>
      <c r="G2" s="35">
        <v>5904</v>
      </c>
      <c r="H2" s="17">
        <f>Table2[[#This Row],[New_Followers]]-Table2[[#This Row],[Unfollows]]</f>
        <v>1047</v>
      </c>
      <c r="I2" s="36">
        <f>Table2[[#This Row],[Followers gained]]/Table2[[#This Row],[Total_Followers]]</f>
        <v>3.0428616268120576E-3</v>
      </c>
    </row>
    <row r="3" spans="1:9" x14ac:dyDescent="0.3">
      <c r="A3" s="33" t="s">
        <v>224</v>
      </c>
      <c r="B3" s="34" t="s">
        <v>39</v>
      </c>
      <c r="C3" s="35">
        <v>1312</v>
      </c>
      <c r="D3" s="35">
        <v>310</v>
      </c>
      <c r="E3" s="35">
        <v>42654</v>
      </c>
      <c r="F3" s="32">
        <v>4.9800000000000004</v>
      </c>
      <c r="G3" s="35">
        <v>9566</v>
      </c>
      <c r="H3" s="17">
        <f>Table2[[#This Row],[New_Followers]]-Table2[[#This Row],[Unfollows]]</f>
        <v>1002</v>
      </c>
      <c r="I3" s="36">
        <f>Table2[[#This Row],[Followers gained]]/Table2[[#This Row],[Total_Followers]]</f>
        <v>2.3491348994232664E-2</v>
      </c>
    </row>
    <row r="4" spans="1:9" x14ac:dyDescent="0.3">
      <c r="A4" s="33" t="s">
        <v>224</v>
      </c>
      <c r="B4" s="34" t="s">
        <v>13</v>
      </c>
      <c r="C4" s="35">
        <v>584</v>
      </c>
      <c r="D4" s="35">
        <v>169</v>
      </c>
      <c r="E4" s="35">
        <v>146834</v>
      </c>
      <c r="F4" s="32">
        <v>8.31</v>
      </c>
      <c r="G4" s="35">
        <v>26752</v>
      </c>
      <c r="H4" s="17">
        <f>Table2[[#This Row],[New_Followers]]-Table2[[#This Row],[Unfollows]]</f>
        <v>415</v>
      </c>
      <c r="I4" s="36">
        <f>Table2[[#This Row],[Followers gained]]/Table2[[#This Row],[Total_Followers]]</f>
        <v>2.826320879360366E-3</v>
      </c>
    </row>
    <row r="5" spans="1:9" x14ac:dyDescent="0.3">
      <c r="A5" s="33" t="s">
        <v>224</v>
      </c>
      <c r="B5" s="34" t="s">
        <v>24</v>
      </c>
      <c r="C5" s="35">
        <v>1535</v>
      </c>
      <c r="D5" s="35">
        <v>445</v>
      </c>
      <c r="E5" s="35">
        <v>395536</v>
      </c>
      <c r="F5" s="32">
        <v>4.1100000000000003</v>
      </c>
      <c r="G5" s="35">
        <v>30671</v>
      </c>
      <c r="H5" s="17">
        <f>Table2[[#This Row],[New_Followers]]-Table2[[#This Row],[Unfollows]]</f>
        <v>1090</v>
      </c>
      <c r="I5" s="36">
        <f>Table2[[#This Row],[Followers gained]]/Table2[[#This Row],[Total_Followers]]</f>
        <v>2.7557542170624167E-3</v>
      </c>
    </row>
    <row r="6" spans="1:9" x14ac:dyDescent="0.3">
      <c r="A6" s="33" t="s">
        <v>146</v>
      </c>
      <c r="B6" s="34" t="s">
        <v>30</v>
      </c>
      <c r="C6" s="35">
        <v>656</v>
      </c>
      <c r="D6" s="35">
        <v>139</v>
      </c>
      <c r="E6" s="35">
        <v>49157</v>
      </c>
      <c r="F6" s="32">
        <v>9.0500000000000007</v>
      </c>
      <c r="G6" s="35">
        <v>9920</v>
      </c>
      <c r="H6" s="17">
        <f>Table2[[#This Row],[New_Followers]]-Table2[[#This Row],[Unfollows]]</f>
        <v>517</v>
      </c>
      <c r="I6" s="36">
        <f>Table2[[#This Row],[Followers gained]]/Table2[[#This Row],[Total_Followers]]</f>
        <v>1.0517322049758936E-2</v>
      </c>
    </row>
    <row r="7" spans="1:9" x14ac:dyDescent="0.3">
      <c r="A7" s="33" t="s">
        <v>146</v>
      </c>
      <c r="B7" s="34" t="s">
        <v>39</v>
      </c>
      <c r="C7" s="35">
        <v>1697</v>
      </c>
      <c r="D7" s="35">
        <v>414</v>
      </c>
      <c r="E7" s="35">
        <v>316555</v>
      </c>
      <c r="F7" s="32">
        <v>2.37</v>
      </c>
      <c r="G7" s="35">
        <v>7924</v>
      </c>
      <c r="H7" s="17">
        <f>Table2[[#This Row],[New_Followers]]-Table2[[#This Row],[Unfollows]]</f>
        <v>1283</v>
      </c>
      <c r="I7" s="36">
        <f>Table2[[#This Row],[Followers gained]]/Table2[[#This Row],[Total_Followers]]</f>
        <v>4.0530081660374974E-3</v>
      </c>
    </row>
    <row r="8" spans="1:9" x14ac:dyDescent="0.3">
      <c r="A8" s="33" t="s">
        <v>146</v>
      </c>
      <c r="B8" s="34" t="s">
        <v>13</v>
      </c>
      <c r="C8" s="35">
        <v>436</v>
      </c>
      <c r="D8" s="35">
        <v>250</v>
      </c>
      <c r="E8" s="35">
        <v>254347</v>
      </c>
      <c r="F8" s="32">
        <v>4.01</v>
      </c>
      <c r="G8" s="35">
        <v>8912</v>
      </c>
      <c r="H8" s="17">
        <f>Table2[[#This Row],[New_Followers]]-Table2[[#This Row],[Unfollows]]</f>
        <v>186</v>
      </c>
      <c r="I8" s="36">
        <f>Table2[[#This Row],[Followers gained]]/Table2[[#This Row],[Total_Followers]]</f>
        <v>7.3128442639386348E-4</v>
      </c>
    </row>
    <row r="9" spans="1:9" x14ac:dyDescent="0.3">
      <c r="A9" s="33" t="s">
        <v>146</v>
      </c>
      <c r="B9" s="34" t="s">
        <v>24</v>
      </c>
      <c r="C9" s="35">
        <v>1197</v>
      </c>
      <c r="D9" s="35">
        <v>203</v>
      </c>
      <c r="E9" s="35">
        <v>413878</v>
      </c>
      <c r="F9" s="32">
        <v>3.16</v>
      </c>
      <c r="G9" s="35">
        <v>21205</v>
      </c>
      <c r="H9" s="17">
        <f>Table2[[#This Row],[New_Followers]]-Table2[[#This Row],[Unfollows]]</f>
        <v>994</v>
      </c>
      <c r="I9" s="36">
        <f>Table2[[#This Row],[Followers gained]]/Table2[[#This Row],[Total_Followers]]</f>
        <v>2.4016739232334168E-3</v>
      </c>
    </row>
    <row r="10" spans="1:9" x14ac:dyDescent="0.3">
      <c r="A10" s="33" t="s">
        <v>158</v>
      </c>
      <c r="B10" s="34" t="s">
        <v>30</v>
      </c>
      <c r="C10" s="35">
        <v>1048</v>
      </c>
      <c r="D10" s="35">
        <v>155</v>
      </c>
      <c r="E10" s="35">
        <v>456946</v>
      </c>
      <c r="F10" s="32">
        <v>2.46</v>
      </c>
      <c r="G10" s="35">
        <v>11329</v>
      </c>
      <c r="H10" s="17">
        <f>Table2[[#This Row],[New_Followers]]-Table2[[#This Row],[Unfollows]]</f>
        <v>893</v>
      </c>
      <c r="I10" s="36">
        <f>Table2[[#This Row],[Followers gained]]/Table2[[#This Row],[Total_Followers]]</f>
        <v>1.9542790614208243E-3</v>
      </c>
    </row>
    <row r="11" spans="1:9" x14ac:dyDescent="0.3">
      <c r="A11" s="33" t="s">
        <v>158</v>
      </c>
      <c r="B11" s="34" t="s">
        <v>39</v>
      </c>
      <c r="C11" s="35">
        <v>1753</v>
      </c>
      <c r="D11" s="35">
        <v>371</v>
      </c>
      <c r="E11" s="35">
        <v>169496</v>
      </c>
      <c r="F11" s="32">
        <v>8.11</v>
      </c>
      <c r="G11" s="35">
        <v>46670</v>
      </c>
      <c r="H11" s="17">
        <f>Table2[[#This Row],[New_Followers]]-Table2[[#This Row],[Unfollows]]</f>
        <v>1382</v>
      </c>
      <c r="I11" s="36">
        <f>Table2[[#This Row],[Followers gained]]/Table2[[#This Row],[Total_Followers]]</f>
        <v>8.1535847453627231E-3</v>
      </c>
    </row>
    <row r="12" spans="1:9" x14ac:dyDescent="0.3">
      <c r="A12" s="33" t="s">
        <v>158</v>
      </c>
      <c r="B12" s="34" t="s">
        <v>13</v>
      </c>
      <c r="C12" s="35">
        <v>1335</v>
      </c>
      <c r="D12" s="35">
        <v>40</v>
      </c>
      <c r="E12" s="35">
        <v>122732</v>
      </c>
      <c r="F12" s="32">
        <v>8.19</v>
      </c>
      <c r="G12" s="35">
        <v>22482</v>
      </c>
      <c r="H12" s="17">
        <f>Table2[[#This Row],[New_Followers]]-Table2[[#This Row],[Unfollows]]</f>
        <v>1295</v>
      </c>
      <c r="I12" s="36">
        <f>Table2[[#This Row],[Followers gained]]/Table2[[#This Row],[Total_Followers]]</f>
        <v>1.0551445425805821E-2</v>
      </c>
    </row>
    <row r="13" spans="1:9" x14ac:dyDescent="0.3">
      <c r="A13" s="33" t="s">
        <v>158</v>
      </c>
      <c r="B13" s="34" t="s">
        <v>24</v>
      </c>
      <c r="C13" s="35">
        <v>403</v>
      </c>
      <c r="D13" s="35">
        <v>66</v>
      </c>
      <c r="E13" s="35">
        <v>382851</v>
      </c>
      <c r="F13" s="32">
        <v>3.49</v>
      </c>
      <c r="G13" s="35">
        <v>24313</v>
      </c>
      <c r="H13" s="17">
        <f>Table2[[#This Row],[New_Followers]]-Table2[[#This Row],[Unfollows]]</f>
        <v>337</v>
      </c>
      <c r="I13" s="36">
        <f>Table2[[#This Row],[Followers gained]]/Table2[[#This Row],[Total_Followers]]</f>
        <v>8.80238003818718E-4</v>
      </c>
    </row>
    <row r="14" spans="1:9" x14ac:dyDescent="0.3">
      <c r="A14" s="33" t="s">
        <v>44</v>
      </c>
      <c r="B14" s="34" t="s">
        <v>30</v>
      </c>
      <c r="C14" s="35">
        <v>911</v>
      </c>
      <c r="D14" s="35">
        <v>282</v>
      </c>
      <c r="E14" s="35">
        <v>35664</v>
      </c>
      <c r="F14" s="32">
        <v>6.92</v>
      </c>
      <c r="G14" s="35">
        <v>18050</v>
      </c>
      <c r="H14" s="17">
        <f>Table2[[#This Row],[New_Followers]]-Table2[[#This Row],[Unfollows]]</f>
        <v>629</v>
      </c>
      <c r="I14" s="36">
        <f>Table2[[#This Row],[Followers gained]]/Table2[[#This Row],[Total_Followers]]</f>
        <v>1.7636832660385824E-2</v>
      </c>
    </row>
    <row r="15" spans="1:9" x14ac:dyDescent="0.3">
      <c r="A15" s="33" t="s">
        <v>44</v>
      </c>
      <c r="B15" s="34" t="s">
        <v>39</v>
      </c>
      <c r="C15" s="35">
        <v>1779</v>
      </c>
      <c r="D15" s="35">
        <v>109</v>
      </c>
      <c r="E15" s="35">
        <v>26295</v>
      </c>
      <c r="F15" s="32">
        <v>9.1199999999999992</v>
      </c>
      <c r="G15" s="35">
        <v>30635</v>
      </c>
      <c r="H15" s="17">
        <f>Table2[[#This Row],[New_Followers]]-Table2[[#This Row],[Unfollows]]</f>
        <v>1670</v>
      </c>
      <c r="I15" s="36">
        <f>Table2[[#This Row],[Followers gained]]/Table2[[#This Row],[Total_Followers]]</f>
        <v>6.3510173036698994E-2</v>
      </c>
    </row>
    <row r="16" spans="1:9" x14ac:dyDescent="0.3">
      <c r="A16" s="33" t="s">
        <v>44</v>
      </c>
      <c r="B16" s="34" t="s">
        <v>13</v>
      </c>
      <c r="C16" s="35">
        <v>1238</v>
      </c>
      <c r="D16" s="35">
        <v>403</v>
      </c>
      <c r="E16" s="35">
        <v>298421</v>
      </c>
      <c r="F16" s="32">
        <v>3.5</v>
      </c>
      <c r="G16" s="35">
        <v>31280</v>
      </c>
      <c r="H16" s="17">
        <f>Table2[[#This Row],[New_Followers]]-Table2[[#This Row],[Unfollows]]</f>
        <v>835</v>
      </c>
      <c r="I16" s="36">
        <f>Table2[[#This Row],[Followers gained]]/Table2[[#This Row],[Total_Followers]]</f>
        <v>2.798060458211721E-3</v>
      </c>
    </row>
    <row r="17" spans="1:9" x14ac:dyDescent="0.3">
      <c r="A17" s="33" t="s">
        <v>44</v>
      </c>
      <c r="B17" s="34" t="s">
        <v>24</v>
      </c>
      <c r="C17" s="35">
        <v>308</v>
      </c>
      <c r="D17" s="35">
        <v>431</v>
      </c>
      <c r="E17" s="35">
        <v>426184</v>
      </c>
      <c r="F17" s="32">
        <v>2.62</v>
      </c>
      <c r="G17" s="35">
        <v>1783</v>
      </c>
      <c r="H17" s="17">
        <f>Table2[[#This Row],[New_Followers]]-Table2[[#This Row],[Unfollows]]</f>
        <v>-123</v>
      </c>
      <c r="I17" s="36">
        <f>Table2[[#This Row],[Followers gained]]/Table2[[#This Row],[Total_Followers]]</f>
        <v>-2.8860773750305035E-4</v>
      </c>
    </row>
    <row r="18" spans="1:9" x14ac:dyDescent="0.3">
      <c r="A18" s="33" t="s">
        <v>443</v>
      </c>
      <c r="B18" s="34" t="s">
        <v>30</v>
      </c>
      <c r="C18" s="35">
        <v>226</v>
      </c>
      <c r="D18" s="35">
        <v>445</v>
      </c>
      <c r="E18" s="35">
        <v>419447</v>
      </c>
      <c r="F18" s="32">
        <v>9.36</v>
      </c>
      <c r="G18" s="35">
        <v>9566</v>
      </c>
      <c r="H18" s="17">
        <f>Table2[[#This Row],[New_Followers]]-Table2[[#This Row],[Unfollows]]</f>
        <v>-219</v>
      </c>
      <c r="I18" s="36">
        <f>Table2[[#This Row],[Followers gained]]/Table2[[#This Row],[Total_Followers]]</f>
        <v>-5.2211602419375983E-4</v>
      </c>
    </row>
    <row r="19" spans="1:9" x14ac:dyDescent="0.3">
      <c r="A19" s="33" t="s">
        <v>443</v>
      </c>
      <c r="B19" s="34" t="s">
        <v>39</v>
      </c>
      <c r="C19" s="35">
        <v>505</v>
      </c>
      <c r="D19" s="35">
        <v>441</v>
      </c>
      <c r="E19" s="35">
        <v>220020</v>
      </c>
      <c r="F19" s="32">
        <v>4.4800000000000004</v>
      </c>
      <c r="G19" s="35">
        <v>42307</v>
      </c>
      <c r="H19" s="17">
        <f>Table2[[#This Row],[New_Followers]]-Table2[[#This Row],[Unfollows]]</f>
        <v>64</v>
      </c>
      <c r="I19" s="36">
        <f>Table2[[#This Row],[Followers gained]]/Table2[[#This Row],[Total_Followers]]</f>
        <v>2.9088264703208797E-4</v>
      </c>
    </row>
    <row r="20" spans="1:9" x14ac:dyDescent="0.3">
      <c r="A20" s="33" t="s">
        <v>443</v>
      </c>
      <c r="B20" s="34" t="s">
        <v>13</v>
      </c>
      <c r="C20" s="35">
        <v>1420</v>
      </c>
      <c r="D20" s="35">
        <v>63</v>
      </c>
      <c r="E20" s="35">
        <v>315305</v>
      </c>
      <c r="F20" s="32">
        <v>6.19</v>
      </c>
      <c r="G20" s="35">
        <v>5914</v>
      </c>
      <c r="H20" s="17">
        <f>Table2[[#This Row],[New_Followers]]-Table2[[#This Row],[Unfollows]]</f>
        <v>1357</v>
      </c>
      <c r="I20" s="36">
        <f>Table2[[#This Row],[Followers gained]]/Table2[[#This Row],[Total_Followers]]</f>
        <v>4.3037693661692649E-3</v>
      </c>
    </row>
    <row r="21" spans="1:9" x14ac:dyDescent="0.3">
      <c r="A21" s="33" t="s">
        <v>443</v>
      </c>
      <c r="B21" s="34" t="s">
        <v>24</v>
      </c>
      <c r="C21" s="35">
        <v>144</v>
      </c>
      <c r="D21" s="35">
        <v>53</v>
      </c>
      <c r="E21" s="35">
        <v>113678</v>
      </c>
      <c r="F21" s="32">
        <v>8.7200000000000006</v>
      </c>
      <c r="G21" s="35">
        <v>30060</v>
      </c>
      <c r="H21" s="17">
        <f>Table2[[#This Row],[New_Followers]]-Table2[[#This Row],[Unfollows]]</f>
        <v>91</v>
      </c>
      <c r="I21" s="36">
        <f>Table2[[#This Row],[Followers gained]]/Table2[[#This Row],[Total_Followers]]</f>
        <v>8.0050669434719116E-4</v>
      </c>
    </row>
    <row r="22" spans="1:9" x14ac:dyDescent="0.3">
      <c r="A22" s="33" t="s">
        <v>595</v>
      </c>
      <c r="B22" s="34" t="s">
        <v>30</v>
      </c>
      <c r="C22" s="35">
        <v>1757</v>
      </c>
      <c r="D22" s="35">
        <v>85</v>
      </c>
      <c r="E22" s="35">
        <v>58223</v>
      </c>
      <c r="F22" s="32">
        <v>8.74</v>
      </c>
      <c r="G22" s="35">
        <v>22728</v>
      </c>
      <c r="H22" s="17">
        <f>Table2[[#This Row],[New_Followers]]-Table2[[#This Row],[Unfollows]]</f>
        <v>1672</v>
      </c>
      <c r="I22" s="36">
        <f>Table2[[#This Row],[Followers gained]]/Table2[[#This Row],[Total_Followers]]</f>
        <v>2.8717173625543171E-2</v>
      </c>
    </row>
    <row r="23" spans="1:9" x14ac:dyDescent="0.3">
      <c r="A23" s="33" t="s">
        <v>595</v>
      </c>
      <c r="B23" s="34" t="s">
        <v>39</v>
      </c>
      <c r="C23" s="35">
        <v>350</v>
      </c>
      <c r="D23" s="35">
        <v>41</v>
      </c>
      <c r="E23" s="35">
        <v>251694</v>
      </c>
      <c r="F23" s="32">
        <v>1.91</v>
      </c>
      <c r="G23" s="35">
        <v>38610</v>
      </c>
      <c r="H23" s="17">
        <f>Table2[[#This Row],[New_Followers]]-Table2[[#This Row],[Unfollows]]</f>
        <v>309</v>
      </c>
      <c r="I23" s="36">
        <f>Table2[[#This Row],[Followers gained]]/Table2[[#This Row],[Total_Followers]]</f>
        <v>1.2276812319721568E-3</v>
      </c>
    </row>
    <row r="24" spans="1:9" x14ac:dyDescent="0.3">
      <c r="A24" s="33" t="s">
        <v>595</v>
      </c>
      <c r="B24" s="34" t="s">
        <v>13</v>
      </c>
      <c r="C24" s="35">
        <v>987</v>
      </c>
      <c r="D24" s="35">
        <v>440</v>
      </c>
      <c r="E24" s="35">
        <v>389810</v>
      </c>
      <c r="F24" s="32">
        <v>4.66</v>
      </c>
      <c r="G24" s="35">
        <v>2932</v>
      </c>
      <c r="H24" s="17">
        <f>Table2[[#This Row],[New_Followers]]-Table2[[#This Row],[Unfollows]]</f>
        <v>547</v>
      </c>
      <c r="I24" s="36">
        <f>Table2[[#This Row],[Followers gained]]/Table2[[#This Row],[Total_Followers]]</f>
        <v>1.40324773607655E-3</v>
      </c>
    </row>
    <row r="25" spans="1:9" x14ac:dyDescent="0.3">
      <c r="A25" s="33" t="s">
        <v>595</v>
      </c>
      <c r="B25" s="34" t="s">
        <v>24</v>
      </c>
      <c r="C25" s="35">
        <v>883</v>
      </c>
      <c r="D25" s="35">
        <v>369</v>
      </c>
      <c r="E25" s="35">
        <v>233694</v>
      </c>
      <c r="F25" s="32">
        <v>2.88</v>
      </c>
      <c r="G25" s="35">
        <v>15071</v>
      </c>
      <c r="H25" s="17">
        <f>Table2[[#This Row],[New_Followers]]-Table2[[#This Row],[Unfollows]]</f>
        <v>514</v>
      </c>
      <c r="I25" s="36">
        <f>Table2[[#This Row],[Followers gained]]/Table2[[#This Row],[Total_Followers]]</f>
        <v>2.1994574101175039E-3</v>
      </c>
    </row>
    <row r="26" spans="1:9" x14ac:dyDescent="0.3">
      <c r="A26" s="33" t="s">
        <v>307</v>
      </c>
      <c r="B26" s="34" t="s">
        <v>30</v>
      </c>
      <c r="C26" s="35">
        <v>1960</v>
      </c>
      <c r="D26" s="35">
        <v>115</v>
      </c>
      <c r="E26" s="35">
        <v>154169</v>
      </c>
      <c r="F26" s="32">
        <v>3.74</v>
      </c>
      <c r="G26" s="35">
        <v>10740</v>
      </c>
      <c r="H26" s="17">
        <f>Table2[[#This Row],[New_Followers]]-Table2[[#This Row],[Unfollows]]</f>
        <v>1845</v>
      </c>
      <c r="I26" s="36">
        <f>Table2[[#This Row],[Followers gained]]/Table2[[#This Row],[Total_Followers]]</f>
        <v>1.1967386439556591E-2</v>
      </c>
    </row>
    <row r="27" spans="1:9" x14ac:dyDescent="0.3">
      <c r="A27" s="33" t="s">
        <v>307</v>
      </c>
      <c r="B27" s="34" t="s">
        <v>39</v>
      </c>
      <c r="C27" s="35">
        <v>170</v>
      </c>
      <c r="D27" s="35">
        <v>334</v>
      </c>
      <c r="E27" s="35">
        <v>334626</v>
      </c>
      <c r="F27" s="32">
        <v>6.44</v>
      </c>
      <c r="G27" s="35">
        <v>43420</v>
      </c>
      <c r="H27" s="17">
        <f>Table2[[#This Row],[New_Followers]]-Table2[[#This Row],[Unfollows]]</f>
        <v>-164</v>
      </c>
      <c r="I27" s="36">
        <f>Table2[[#This Row],[Followers gained]]/Table2[[#This Row],[Total_Followers]]</f>
        <v>-4.9009939454794306E-4</v>
      </c>
    </row>
    <row r="28" spans="1:9" x14ac:dyDescent="0.3">
      <c r="A28" s="33" t="s">
        <v>307</v>
      </c>
      <c r="B28" s="34" t="s">
        <v>13</v>
      </c>
      <c r="C28" s="35">
        <v>704</v>
      </c>
      <c r="D28" s="35">
        <v>275</v>
      </c>
      <c r="E28" s="35">
        <v>226002</v>
      </c>
      <c r="F28" s="32">
        <v>8.56</v>
      </c>
      <c r="G28" s="35">
        <v>32393</v>
      </c>
      <c r="H28" s="17">
        <f>Table2[[#This Row],[New_Followers]]-Table2[[#This Row],[Unfollows]]</f>
        <v>429</v>
      </c>
      <c r="I28" s="36">
        <f>Table2[[#This Row],[Followers gained]]/Table2[[#This Row],[Total_Followers]]</f>
        <v>1.8982132901478749E-3</v>
      </c>
    </row>
    <row r="29" spans="1:9" x14ac:dyDescent="0.3">
      <c r="A29" s="33" t="s">
        <v>307</v>
      </c>
      <c r="B29" s="34" t="s">
        <v>24</v>
      </c>
      <c r="C29" s="35">
        <v>224</v>
      </c>
      <c r="D29" s="35">
        <v>64</v>
      </c>
      <c r="E29" s="35">
        <v>156683</v>
      </c>
      <c r="F29" s="32">
        <v>4.5599999999999996</v>
      </c>
      <c r="G29" s="35">
        <v>28474</v>
      </c>
      <c r="H29" s="17">
        <f>Table2[[#This Row],[New_Followers]]-Table2[[#This Row],[Unfollows]]</f>
        <v>160</v>
      </c>
      <c r="I29" s="36">
        <f>Table2[[#This Row],[Followers gained]]/Table2[[#This Row],[Total_Followers]]</f>
        <v>1.0211701333265254E-3</v>
      </c>
    </row>
    <row r="30" spans="1:9" x14ac:dyDescent="0.3">
      <c r="A30" s="33" t="s">
        <v>596</v>
      </c>
      <c r="B30" s="34" t="s">
        <v>30</v>
      </c>
      <c r="C30" s="35">
        <v>508</v>
      </c>
      <c r="D30" s="35">
        <v>349</v>
      </c>
      <c r="E30" s="35">
        <v>473812</v>
      </c>
      <c r="F30" s="32">
        <v>7.88</v>
      </c>
      <c r="G30" s="35">
        <v>17328</v>
      </c>
      <c r="H30" s="17">
        <f>Table2[[#This Row],[New_Followers]]-Table2[[#This Row],[Unfollows]]</f>
        <v>159</v>
      </c>
      <c r="I30" s="36">
        <f>Table2[[#This Row],[Followers gained]]/Table2[[#This Row],[Total_Followers]]</f>
        <v>3.3557613568250698E-4</v>
      </c>
    </row>
    <row r="31" spans="1:9" x14ac:dyDescent="0.3">
      <c r="A31" s="33" t="s">
        <v>596</v>
      </c>
      <c r="B31" s="34" t="s">
        <v>39</v>
      </c>
      <c r="C31" s="35">
        <v>1391</v>
      </c>
      <c r="D31" s="35">
        <v>430</v>
      </c>
      <c r="E31" s="35">
        <v>295032</v>
      </c>
      <c r="F31" s="32">
        <v>7.86</v>
      </c>
      <c r="G31" s="35">
        <v>26067</v>
      </c>
      <c r="H31" s="17">
        <f>Table2[[#This Row],[New_Followers]]-Table2[[#This Row],[Unfollows]]</f>
        <v>961</v>
      </c>
      <c r="I31" s="36">
        <f>Table2[[#This Row],[Followers gained]]/Table2[[#This Row],[Total_Followers]]</f>
        <v>3.2572737872501967E-3</v>
      </c>
    </row>
    <row r="32" spans="1:9" x14ac:dyDescent="0.3">
      <c r="A32" s="33" t="s">
        <v>596</v>
      </c>
      <c r="B32" s="34" t="s">
        <v>13</v>
      </c>
      <c r="C32" s="35">
        <v>1701</v>
      </c>
      <c r="D32" s="35">
        <v>385</v>
      </c>
      <c r="E32" s="35">
        <v>198278</v>
      </c>
      <c r="F32" s="32">
        <v>5.34</v>
      </c>
      <c r="G32" s="35">
        <v>32763</v>
      </c>
      <c r="H32" s="17">
        <f>Table2[[#This Row],[New_Followers]]-Table2[[#This Row],[Unfollows]]</f>
        <v>1316</v>
      </c>
      <c r="I32" s="36">
        <f>Table2[[#This Row],[Followers gained]]/Table2[[#This Row],[Total_Followers]]</f>
        <v>6.6371458255580548E-3</v>
      </c>
    </row>
    <row r="33" spans="1:9" x14ac:dyDescent="0.3">
      <c r="A33" s="33" t="s">
        <v>596</v>
      </c>
      <c r="B33" s="34" t="s">
        <v>24</v>
      </c>
      <c r="C33" s="35">
        <v>804</v>
      </c>
      <c r="D33" s="35">
        <v>487</v>
      </c>
      <c r="E33" s="35">
        <v>306564</v>
      </c>
      <c r="F33" s="32">
        <v>5.52</v>
      </c>
      <c r="G33" s="35">
        <v>26452</v>
      </c>
      <c r="H33" s="17">
        <f>Table2[[#This Row],[New_Followers]]-Table2[[#This Row],[Unfollows]]</f>
        <v>317</v>
      </c>
      <c r="I33" s="36">
        <f>Table2[[#This Row],[Followers gained]]/Table2[[#This Row],[Total_Followers]]</f>
        <v>1.0340418313957282E-3</v>
      </c>
    </row>
    <row r="34" spans="1:9" x14ac:dyDescent="0.3">
      <c r="A34" s="33" t="s">
        <v>260</v>
      </c>
      <c r="B34" s="34" t="s">
        <v>30</v>
      </c>
      <c r="C34" s="35">
        <v>653</v>
      </c>
      <c r="D34" s="35">
        <v>112</v>
      </c>
      <c r="E34" s="35">
        <v>23664</v>
      </c>
      <c r="F34" s="32">
        <v>4.05</v>
      </c>
      <c r="G34" s="35">
        <v>15353</v>
      </c>
      <c r="H34" s="17">
        <f>Table2[[#This Row],[New_Followers]]-Table2[[#This Row],[Unfollows]]</f>
        <v>541</v>
      </c>
      <c r="I34" s="36">
        <f>Table2[[#This Row],[Followers gained]]/Table2[[#This Row],[Total_Followers]]</f>
        <v>2.2861730899256253E-2</v>
      </c>
    </row>
    <row r="35" spans="1:9" x14ac:dyDescent="0.3">
      <c r="A35" s="33" t="s">
        <v>260</v>
      </c>
      <c r="B35" s="34" t="s">
        <v>39</v>
      </c>
      <c r="C35" s="35">
        <v>160</v>
      </c>
      <c r="D35" s="35">
        <v>478</v>
      </c>
      <c r="E35" s="35">
        <v>435034</v>
      </c>
      <c r="F35" s="32">
        <v>7.73</v>
      </c>
      <c r="G35" s="35">
        <v>4839</v>
      </c>
      <c r="H35" s="17">
        <f>Table2[[#This Row],[New_Followers]]-Table2[[#This Row],[Unfollows]]</f>
        <v>-318</v>
      </c>
      <c r="I35" s="36">
        <f>Table2[[#This Row],[Followers gained]]/Table2[[#This Row],[Total_Followers]]</f>
        <v>-7.3097734889686784E-4</v>
      </c>
    </row>
    <row r="36" spans="1:9" x14ac:dyDescent="0.3">
      <c r="A36" s="33" t="s">
        <v>260</v>
      </c>
      <c r="B36" s="34" t="s">
        <v>13</v>
      </c>
      <c r="C36" s="35">
        <v>1756</v>
      </c>
      <c r="D36" s="35">
        <v>261</v>
      </c>
      <c r="E36" s="35">
        <v>287574</v>
      </c>
      <c r="F36" s="32">
        <v>4.3600000000000003</v>
      </c>
      <c r="G36" s="35">
        <v>39272</v>
      </c>
      <c r="H36" s="17">
        <f>Table2[[#This Row],[New_Followers]]-Table2[[#This Row],[Unfollows]]</f>
        <v>1495</v>
      </c>
      <c r="I36" s="36">
        <f>Table2[[#This Row],[Followers gained]]/Table2[[#This Row],[Total_Followers]]</f>
        <v>5.1986619096302169E-3</v>
      </c>
    </row>
    <row r="37" spans="1:9" x14ac:dyDescent="0.3">
      <c r="A37" s="33" t="s">
        <v>260</v>
      </c>
      <c r="B37" s="34" t="s">
        <v>24</v>
      </c>
      <c r="C37" s="35">
        <v>576</v>
      </c>
      <c r="D37" s="35">
        <v>101</v>
      </c>
      <c r="E37" s="35">
        <v>62499</v>
      </c>
      <c r="F37" s="32">
        <v>3.48</v>
      </c>
      <c r="G37" s="35">
        <v>16804</v>
      </c>
      <c r="H37" s="17">
        <f>Table2[[#This Row],[New_Followers]]-Table2[[#This Row],[Unfollows]]</f>
        <v>475</v>
      </c>
      <c r="I37" s="36">
        <f>Table2[[#This Row],[Followers gained]]/Table2[[#This Row],[Total_Followers]]</f>
        <v>7.600121601945631E-3</v>
      </c>
    </row>
    <row r="38" spans="1:9" x14ac:dyDescent="0.3">
      <c r="A38" s="33" t="s">
        <v>486</v>
      </c>
      <c r="B38" s="34" t="s">
        <v>30</v>
      </c>
      <c r="C38" s="35">
        <v>645</v>
      </c>
      <c r="D38" s="35">
        <v>293</v>
      </c>
      <c r="E38" s="35">
        <v>437968</v>
      </c>
      <c r="F38" s="32">
        <v>7.83</v>
      </c>
      <c r="G38" s="35">
        <v>49303</v>
      </c>
      <c r="H38" s="17">
        <f>Table2[[#This Row],[New_Followers]]-Table2[[#This Row],[Unfollows]]</f>
        <v>352</v>
      </c>
      <c r="I38" s="36">
        <f>Table2[[#This Row],[Followers gained]]/Table2[[#This Row],[Total_Followers]]</f>
        <v>8.0371168669857163E-4</v>
      </c>
    </row>
    <row r="39" spans="1:9" x14ac:dyDescent="0.3">
      <c r="A39" s="33" t="s">
        <v>486</v>
      </c>
      <c r="B39" s="34" t="s">
        <v>39</v>
      </c>
      <c r="C39" s="35">
        <v>214</v>
      </c>
      <c r="D39" s="35">
        <v>411</v>
      </c>
      <c r="E39" s="35">
        <v>125034</v>
      </c>
      <c r="F39" s="32">
        <v>6.11</v>
      </c>
      <c r="G39" s="35">
        <v>26455</v>
      </c>
      <c r="H39" s="17">
        <f>Table2[[#This Row],[New_Followers]]-Table2[[#This Row],[Unfollows]]</f>
        <v>-197</v>
      </c>
      <c r="I39" s="36">
        <f>Table2[[#This Row],[Followers gained]]/Table2[[#This Row],[Total_Followers]]</f>
        <v>-1.5755714445670778E-3</v>
      </c>
    </row>
    <row r="40" spans="1:9" x14ac:dyDescent="0.3">
      <c r="A40" s="33" t="s">
        <v>486</v>
      </c>
      <c r="B40" s="34" t="s">
        <v>13</v>
      </c>
      <c r="C40" s="35">
        <v>826</v>
      </c>
      <c r="D40" s="35">
        <v>498</v>
      </c>
      <c r="E40" s="35">
        <v>449994</v>
      </c>
      <c r="F40" s="32">
        <v>9.43</v>
      </c>
      <c r="G40" s="35">
        <v>12384</v>
      </c>
      <c r="H40" s="17">
        <f>Table2[[#This Row],[New_Followers]]-Table2[[#This Row],[Unfollows]]</f>
        <v>328</v>
      </c>
      <c r="I40" s="36">
        <f>Table2[[#This Row],[Followers gained]]/Table2[[#This Row],[Total_Followers]]</f>
        <v>7.2889860753698943E-4</v>
      </c>
    </row>
    <row r="41" spans="1:9" x14ac:dyDescent="0.3">
      <c r="A41" s="33" t="s">
        <v>486</v>
      </c>
      <c r="B41" s="34" t="s">
        <v>24</v>
      </c>
      <c r="C41" s="35">
        <v>460</v>
      </c>
      <c r="D41" s="35">
        <v>141</v>
      </c>
      <c r="E41" s="35">
        <v>320650</v>
      </c>
      <c r="F41" s="32">
        <v>4.04</v>
      </c>
      <c r="G41" s="35">
        <v>49372</v>
      </c>
      <c r="H41" s="17">
        <f>Table2[[#This Row],[New_Followers]]-Table2[[#This Row],[Unfollows]]</f>
        <v>319</v>
      </c>
      <c r="I41" s="36">
        <f>Table2[[#This Row],[Followers gained]]/Table2[[#This Row],[Total_Followers]]</f>
        <v>9.9485420240137223E-4</v>
      </c>
    </row>
    <row r="42" spans="1:9" x14ac:dyDescent="0.3">
      <c r="A42" s="33" t="s">
        <v>31</v>
      </c>
      <c r="B42" s="34" t="s">
        <v>30</v>
      </c>
      <c r="C42" s="35">
        <v>1528</v>
      </c>
      <c r="D42" s="35">
        <v>203</v>
      </c>
      <c r="E42" s="35">
        <v>489188</v>
      </c>
      <c r="F42" s="32">
        <v>6.23</v>
      </c>
      <c r="G42" s="35">
        <v>47101</v>
      </c>
      <c r="H42" s="17">
        <f>Table2[[#This Row],[New_Followers]]-Table2[[#This Row],[Unfollows]]</f>
        <v>1325</v>
      </c>
      <c r="I42" s="36">
        <f>Table2[[#This Row],[Followers gained]]/Table2[[#This Row],[Total_Followers]]</f>
        <v>2.7085701202809553E-3</v>
      </c>
    </row>
    <row r="43" spans="1:9" x14ac:dyDescent="0.3">
      <c r="A43" s="33" t="s">
        <v>31</v>
      </c>
      <c r="B43" s="34" t="s">
        <v>39</v>
      </c>
      <c r="C43" s="35">
        <v>1534</v>
      </c>
      <c r="D43" s="35">
        <v>200</v>
      </c>
      <c r="E43" s="35">
        <v>307612</v>
      </c>
      <c r="F43" s="32">
        <v>6.01</v>
      </c>
      <c r="G43" s="35">
        <v>37903</v>
      </c>
      <c r="H43" s="17">
        <f>Table2[[#This Row],[New_Followers]]-Table2[[#This Row],[Unfollows]]</f>
        <v>1334</v>
      </c>
      <c r="I43" s="36">
        <f>Table2[[#This Row],[Followers gained]]/Table2[[#This Row],[Total_Followers]]</f>
        <v>4.3366318609156986E-3</v>
      </c>
    </row>
    <row r="44" spans="1:9" x14ac:dyDescent="0.3">
      <c r="A44" s="33" t="s">
        <v>31</v>
      </c>
      <c r="B44" s="34" t="s">
        <v>13</v>
      </c>
      <c r="C44" s="35">
        <v>485</v>
      </c>
      <c r="D44" s="35">
        <v>448</v>
      </c>
      <c r="E44" s="35">
        <v>434883</v>
      </c>
      <c r="F44" s="32">
        <v>8.5500000000000007</v>
      </c>
      <c r="G44" s="35">
        <v>33258</v>
      </c>
      <c r="H44" s="17">
        <f>Table2[[#This Row],[New_Followers]]-Table2[[#This Row],[Unfollows]]</f>
        <v>37</v>
      </c>
      <c r="I44" s="36">
        <f>Table2[[#This Row],[Followers gained]]/Table2[[#This Row],[Total_Followers]]</f>
        <v>8.5080354946042954E-5</v>
      </c>
    </row>
    <row r="45" spans="1:9" x14ac:dyDescent="0.3">
      <c r="A45" s="33" t="s">
        <v>31</v>
      </c>
      <c r="B45" s="34" t="s">
        <v>24</v>
      </c>
      <c r="C45" s="35">
        <v>1210</v>
      </c>
      <c r="D45" s="35">
        <v>178</v>
      </c>
      <c r="E45" s="35">
        <v>102042</v>
      </c>
      <c r="F45" s="32">
        <v>5.42</v>
      </c>
      <c r="G45" s="35">
        <v>6915</v>
      </c>
      <c r="H45" s="17">
        <f>Table2[[#This Row],[New_Followers]]-Table2[[#This Row],[Unfollows]]</f>
        <v>1032</v>
      </c>
      <c r="I45" s="36">
        <f>Table2[[#This Row],[Followers gained]]/Table2[[#This Row],[Total_Followers]]</f>
        <v>1.011348268360087E-2</v>
      </c>
    </row>
    <row r="46" spans="1:9" x14ac:dyDescent="0.3">
      <c r="A46" s="33" t="s">
        <v>77</v>
      </c>
      <c r="B46" s="34" t="s">
        <v>30</v>
      </c>
      <c r="C46" s="35">
        <v>215</v>
      </c>
      <c r="D46" s="35">
        <v>139</v>
      </c>
      <c r="E46" s="35">
        <v>325444</v>
      </c>
      <c r="F46" s="32">
        <v>3.25</v>
      </c>
      <c r="G46" s="35">
        <v>35501</v>
      </c>
      <c r="H46" s="17">
        <f>Table2[[#This Row],[New_Followers]]-Table2[[#This Row],[Unfollows]]</f>
        <v>76</v>
      </c>
      <c r="I46" s="36">
        <f>Table2[[#This Row],[Followers gained]]/Table2[[#This Row],[Total_Followers]]</f>
        <v>2.335271198731579E-4</v>
      </c>
    </row>
    <row r="47" spans="1:9" x14ac:dyDescent="0.3">
      <c r="A47" s="33" t="s">
        <v>77</v>
      </c>
      <c r="B47" s="34" t="s">
        <v>39</v>
      </c>
      <c r="C47" s="35">
        <v>1078</v>
      </c>
      <c r="D47" s="35">
        <v>20</v>
      </c>
      <c r="E47" s="35">
        <v>183924</v>
      </c>
      <c r="F47" s="32">
        <v>8.84</v>
      </c>
      <c r="G47" s="35">
        <v>14203</v>
      </c>
      <c r="H47" s="17">
        <f>Table2[[#This Row],[New_Followers]]-Table2[[#This Row],[Unfollows]]</f>
        <v>1058</v>
      </c>
      <c r="I47" s="36">
        <f>Table2[[#This Row],[Followers gained]]/Table2[[#This Row],[Total_Followers]]</f>
        <v>5.7523759813836147E-3</v>
      </c>
    </row>
    <row r="48" spans="1:9" x14ac:dyDescent="0.3">
      <c r="A48" s="33" t="s">
        <v>77</v>
      </c>
      <c r="B48" s="34" t="s">
        <v>13</v>
      </c>
      <c r="C48" s="35">
        <v>1751</v>
      </c>
      <c r="D48" s="35">
        <v>86</v>
      </c>
      <c r="E48" s="35">
        <v>188655</v>
      </c>
      <c r="F48" s="32">
        <v>7.24</v>
      </c>
      <c r="G48" s="35">
        <v>22206</v>
      </c>
      <c r="H48" s="17">
        <f>Table2[[#This Row],[New_Followers]]-Table2[[#This Row],[Unfollows]]</f>
        <v>1665</v>
      </c>
      <c r="I48" s="36">
        <f>Table2[[#This Row],[Followers gained]]/Table2[[#This Row],[Total_Followers]]</f>
        <v>8.825634093981077E-3</v>
      </c>
    </row>
    <row r="49" spans="1:9" x14ac:dyDescent="0.3">
      <c r="A49" s="33" t="s">
        <v>77</v>
      </c>
      <c r="B49" s="34" t="s">
        <v>24</v>
      </c>
      <c r="C49" s="35">
        <v>221</v>
      </c>
      <c r="D49" s="35">
        <v>31</v>
      </c>
      <c r="E49" s="35">
        <v>87443</v>
      </c>
      <c r="F49" s="32">
        <v>6.19</v>
      </c>
      <c r="G49" s="35">
        <v>10283</v>
      </c>
      <c r="H49" s="17">
        <f>Table2[[#This Row],[New_Followers]]-Table2[[#This Row],[Unfollows]]</f>
        <v>190</v>
      </c>
      <c r="I49" s="36">
        <f>Table2[[#This Row],[Followers gained]]/Table2[[#This Row],[Total_Followers]]</f>
        <v>2.1728440241071327E-3</v>
      </c>
    </row>
    <row r="50" spans="1:9" x14ac:dyDescent="0.3">
      <c r="A50" s="33" t="s">
        <v>73</v>
      </c>
      <c r="B50" s="34" t="s">
        <v>30</v>
      </c>
      <c r="C50" s="35">
        <v>1685</v>
      </c>
      <c r="D50" s="35">
        <v>76</v>
      </c>
      <c r="E50" s="35">
        <v>453799</v>
      </c>
      <c r="F50" s="32">
        <v>5.71</v>
      </c>
      <c r="G50" s="35">
        <v>24913</v>
      </c>
      <c r="H50" s="17">
        <f>Table2[[#This Row],[New_Followers]]-Table2[[#This Row],[Unfollows]]</f>
        <v>1609</v>
      </c>
      <c r="I50" s="36">
        <f>Table2[[#This Row],[Followers gained]]/Table2[[#This Row],[Total_Followers]]</f>
        <v>3.5456226214689766E-3</v>
      </c>
    </row>
    <row r="51" spans="1:9" x14ac:dyDescent="0.3">
      <c r="A51" s="33" t="s">
        <v>73</v>
      </c>
      <c r="B51" s="34" t="s">
        <v>39</v>
      </c>
      <c r="C51" s="35">
        <v>248</v>
      </c>
      <c r="D51" s="35">
        <v>211</v>
      </c>
      <c r="E51" s="35">
        <v>379380</v>
      </c>
      <c r="F51" s="32">
        <v>9.0399999999999991</v>
      </c>
      <c r="G51" s="35">
        <v>26925</v>
      </c>
      <c r="H51" s="17">
        <f>Table2[[#This Row],[New_Followers]]-Table2[[#This Row],[Unfollows]]</f>
        <v>37</v>
      </c>
      <c r="I51" s="36">
        <f>Table2[[#This Row],[Followers gained]]/Table2[[#This Row],[Total_Followers]]</f>
        <v>9.7527544941747058E-5</v>
      </c>
    </row>
    <row r="52" spans="1:9" x14ac:dyDescent="0.3">
      <c r="A52" s="33" t="s">
        <v>73</v>
      </c>
      <c r="B52" s="34" t="s">
        <v>13</v>
      </c>
      <c r="C52" s="35">
        <v>1300</v>
      </c>
      <c r="D52" s="35">
        <v>71</v>
      </c>
      <c r="E52" s="35">
        <v>186454</v>
      </c>
      <c r="F52" s="32">
        <v>3.91</v>
      </c>
      <c r="G52" s="35">
        <v>9942</v>
      </c>
      <c r="H52" s="17">
        <f>Table2[[#This Row],[New_Followers]]-Table2[[#This Row],[Unfollows]]</f>
        <v>1229</v>
      </c>
      <c r="I52" s="36">
        <f>Table2[[#This Row],[Followers gained]]/Table2[[#This Row],[Total_Followers]]</f>
        <v>6.5914381026955706E-3</v>
      </c>
    </row>
    <row r="53" spans="1:9" x14ac:dyDescent="0.3">
      <c r="A53" s="33" t="s">
        <v>73</v>
      </c>
      <c r="B53" s="34" t="s">
        <v>24</v>
      </c>
      <c r="C53" s="35">
        <v>422</v>
      </c>
      <c r="D53" s="35">
        <v>394</v>
      </c>
      <c r="E53" s="35">
        <v>239044</v>
      </c>
      <c r="F53" s="32">
        <v>7.83</v>
      </c>
      <c r="G53" s="35">
        <v>32929</v>
      </c>
      <c r="H53" s="17">
        <f>Table2[[#This Row],[New_Followers]]-Table2[[#This Row],[Unfollows]]</f>
        <v>28</v>
      </c>
      <c r="I53" s="36">
        <f>Table2[[#This Row],[Followers gained]]/Table2[[#This Row],[Total_Followers]]</f>
        <v>1.1713324743561855E-4</v>
      </c>
    </row>
    <row r="54" spans="1:9" x14ac:dyDescent="0.3">
      <c r="A54" s="33" t="s">
        <v>188</v>
      </c>
      <c r="B54" s="34" t="s">
        <v>30</v>
      </c>
      <c r="C54" s="35">
        <v>1429</v>
      </c>
      <c r="D54" s="35">
        <v>182</v>
      </c>
      <c r="E54" s="35">
        <v>101332</v>
      </c>
      <c r="F54" s="32">
        <v>7.16</v>
      </c>
      <c r="G54" s="35">
        <v>37829</v>
      </c>
      <c r="H54" s="17">
        <f>Table2[[#This Row],[New_Followers]]-Table2[[#This Row],[Unfollows]]</f>
        <v>1247</v>
      </c>
      <c r="I54" s="36">
        <f>Table2[[#This Row],[Followers gained]]/Table2[[#This Row],[Total_Followers]]</f>
        <v>1.2306082974775983E-2</v>
      </c>
    </row>
    <row r="55" spans="1:9" x14ac:dyDescent="0.3">
      <c r="A55" s="33" t="s">
        <v>188</v>
      </c>
      <c r="B55" s="34" t="s">
        <v>39</v>
      </c>
      <c r="C55" s="35">
        <v>1520</v>
      </c>
      <c r="D55" s="35">
        <v>475</v>
      </c>
      <c r="E55" s="35">
        <v>496982</v>
      </c>
      <c r="F55" s="32">
        <v>6.41</v>
      </c>
      <c r="G55" s="35">
        <v>24384</v>
      </c>
      <c r="H55" s="17">
        <f>Table2[[#This Row],[New_Followers]]-Table2[[#This Row],[Unfollows]]</f>
        <v>1045</v>
      </c>
      <c r="I55" s="36">
        <f>Table2[[#This Row],[Followers gained]]/Table2[[#This Row],[Total_Followers]]</f>
        <v>2.1026918479944948E-3</v>
      </c>
    </row>
    <row r="56" spans="1:9" x14ac:dyDescent="0.3">
      <c r="A56" s="33" t="s">
        <v>188</v>
      </c>
      <c r="B56" s="34" t="s">
        <v>13</v>
      </c>
      <c r="C56" s="35">
        <v>557</v>
      </c>
      <c r="D56" s="35">
        <v>360</v>
      </c>
      <c r="E56" s="35">
        <v>318779</v>
      </c>
      <c r="F56" s="32">
        <v>8.02</v>
      </c>
      <c r="G56" s="35">
        <v>25797</v>
      </c>
      <c r="H56" s="17">
        <f>Table2[[#This Row],[New_Followers]]-Table2[[#This Row],[Unfollows]]</f>
        <v>197</v>
      </c>
      <c r="I56" s="36">
        <f>Table2[[#This Row],[Followers gained]]/Table2[[#This Row],[Total_Followers]]</f>
        <v>6.1798299135137512E-4</v>
      </c>
    </row>
    <row r="57" spans="1:9" x14ac:dyDescent="0.3">
      <c r="A57" s="33" t="s">
        <v>188</v>
      </c>
      <c r="B57" s="34" t="s">
        <v>24</v>
      </c>
      <c r="C57" s="35">
        <v>728</v>
      </c>
      <c r="D57" s="35">
        <v>395</v>
      </c>
      <c r="E57" s="35">
        <v>370971</v>
      </c>
      <c r="F57" s="32">
        <v>3.86</v>
      </c>
      <c r="G57" s="35">
        <v>12646</v>
      </c>
      <c r="H57" s="17">
        <f>Table2[[#This Row],[New_Followers]]-Table2[[#This Row],[Unfollows]]</f>
        <v>333</v>
      </c>
      <c r="I57" s="36">
        <f>Table2[[#This Row],[Followers gained]]/Table2[[#This Row],[Total_Followers]]</f>
        <v>8.9764429025449434E-4</v>
      </c>
    </row>
    <row r="58" spans="1:9" x14ac:dyDescent="0.3">
      <c r="A58" s="33" t="s">
        <v>83</v>
      </c>
      <c r="B58" s="34" t="s">
        <v>30</v>
      </c>
      <c r="C58" s="35">
        <v>1592</v>
      </c>
      <c r="D58" s="35">
        <v>20</v>
      </c>
      <c r="E58" s="35">
        <v>378054</v>
      </c>
      <c r="F58" s="32">
        <v>9.09</v>
      </c>
      <c r="G58" s="35">
        <v>26663</v>
      </c>
      <c r="H58" s="17">
        <f>Table2[[#This Row],[New_Followers]]-Table2[[#This Row],[Unfollows]]</f>
        <v>1572</v>
      </c>
      <c r="I58" s="36">
        <f>Table2[[#This Row],[Followers gained]]/Table2[[#This Row],[Total_Followers]]</f>
        <v>4.1581361392816901E-3</v>
      </c>
    </row>
    <row r="59" spans="1:9" x14ac:dyDescent="0.3">
      <c r="A59" s="33" t="s">
        <v>83</v>
      </c>
      <c r="B59" s="34" t="s">
        <v>39</v>
      </c>
      <c r="C59" s="35">
        <v>1842</v>
      </c>
      <c r="D59" s="35">
        <v>414</v>
      </c>
      <c r="E59" s="35">
        <v>307524</v>
      </c>
      <c r="F59" s="32">
        <v>1.76</v>
      </c>
      <c r="G59" s="35">
        <v>40478</v>
      </c>
      <c r="H59" s="17">
        <f>Table2[[#This Row],[New_Followers]]-Table2[[#This Row],[Unfollows]]</f>
        <v>1428</v>
      </c>
      <c r="I59" s="36">
        <f>Table2[[#This Row],[Followers gained]]/Table2[[#This Row],[Total_Followers]]</f>
        <v>4.6435400163889647E-3</v>
      </c>
    </row>
    <row r="60" spans="1:9" x14ac:dyDescent="0.3">
      <c r="A60" s="33" t="s">
        <v>83</v>
      </c>
      <c r="B60" s="34" t="s">
        <v>13</v>
      </c>
      <c r="C60" s="35">
        <v>751</v>
      </c>
      <c r="D60" s="35">
        <v>491</v>
      </c>
      <c r="E60" s="35">
        <v>434047</v>
      </c>
      <c r="F60" s="32">
        <v>9.24</v>
      </c>
      <c r="G60" s="35">
        <v>15476</v>
      </c>
      <c r="H60" s="17">
        <f>Table2[[#This Row],[New_Followers]]-Table2[[#This Row],[Unfollows]]</f>
        <v>260</v>
      </c>
      <c r="I60" s="36">
        <f>Table2[[#This Row],[Followers gained]]/Table2[[#This Row],[Total_Followers]]</f>
        <v>5.990134708914012E-4</v>
      </c>
    </row>
    <row r="61" spans="1:9" x14ac:dyDescent="0.3">
      <c r="A61" s="33" t="s">
        <v>83</v>
      </c>
      <c r="B61" s="34" t="s">
        <v>24</v>
      </c>
      <c r="C61" s="35">
        <v>1409</v>
      </c>
      <c r="D61" s="35">
        <v>309</v>
      </c>
      <c r="E61" s="35">
        <v>64583</v>
      </c>
      <c r="F61" s="32">
        <v>8.99</v>
      </c>
      <c r="G61" s="35">
        <v>10217</v>
      </c>
      <c r="H61" s="17">
        <f>Table2[[#This Row],[New_Followers]]-Table2[[#This Row],[Unfollows]]</f>
        <v>1100</v>
      </c>
      <c r="I61" s="36">
        <f>Table2[[#This Row],[Followers gained]]/Table2[[#This Row],[Total_Followers]]</f>
        <v>1.7032345973398571E-2</v>
      </c>
    </row>
    <row r="62" spans="1:9" x14ac:dyDescent="0.3">
      <c r="A62" s="33" t="s">
        <v>597</v>
      </c>
      <c r="B62" s="34" t="s">
        <v>30</v>
      </c>
      <c r="C62" s="35">
        <v>778</v>
      </c>
      <c r="D62" s="35">
        <v>401</v>
      </c>
      <c r="E62" s="35">
        <v>50793</v>
      </c>
      <c r="F62" s="32">
        <v>3.4</v>
      </c>
      <c r="G62" s="35">
        <v>21939</v>
      </c>
      <c r="H62" s="17">
        <f>Table2[[#This Row],[New_Followers]]-Table2[[#This Row],[Unfollows]]</f>
        <v>377</v>
      </c>
      <c r="I62" s="36">
        <f>Table2[[#This Row],[Followers gained]]/Table2[[#This Row],[Total_Followers]]</f>
        <v>7.4222825979957871E-3</v>
      </c>
    </row>
    <row r="63" spans="1:9" x14ac:dyDescent="0.3">
      <c r="A63" s="33" t="s">
        <v>597</v>
      </c>
      <c r="B63" s="34" t="s">
        <v>39</v>
      </c>
      <c r="C63" s="35">
        <v>443</v>
      </c>
      <c r="D63" s="35">
        <v>345</v>
      </c>
      <c r="E63" s="35">
        <v>474162</v>
      </c>
      <c r="F63" s="32">
        <v>9.1999999999999993</v>
      </c>
      <c r="G63" s="35">
        <v>47462</v>
      </c>
      <c r="H63" s="17">
        <f>Table2[[#This Row],[New_Followers]]-Table2[[#This Row],[Unfollows]]</f>
        <v>98</v>
      </c>
      <c r="I63" s="36">
        <f>Table2[[#This Row],[Followers gained]]/Table2[[#This Row],[Total_Followers]]</f>
        <v>2.0668041724136477E-4</v>
      </c>
    </row>
    <row r="64" spans="1:9" x14ac:dyDescent="0.3">
      <c r="A64" s="33" t="s">
        <v>597</v>
      </c>
      <c r="B64" s="34" t="s">
        <v>13</v>
      </c>
      <c r="C64" s="35">
        <v>1472</v>
      </c>
      <c r="D64" s="35">
        <v>347</v>
      </c>
      <c r="E64" s="35">
        <v>392355</v>
      </c>
      <c r="F64" s="32">
        <v>8.59</v>
      </c>
      <c r="G64" s="35">
        <v>30270</v>
      </c>
      <c r="H64" s="17">
        <f>Table2[[#This Row],[New_Followers]]-Table2[[#This Row],[Unfollows]]</f>
        <v>1125</v>
      </c>
      <c r="I64" s="36">
        <f>Table2[[#This Row],[Followers gained]]/Table2[[#This Row],[Total_Followers]]</f>
        <v>2.8673012960201858E-3</v>
      </c>
    </row>
    <row r="65" spans="1:9" x14ac:dyDescent="0.3">
      <c r="A65" s="33" t="s">
        <v>597</v>
      </c>
      <c r="B65" s="34" t="s">
        <v>24</v>
      </c>
      <c r="C65" s="35">
        <v>123</v>
      </c>
      <c r="D65" s="35">
        <v>155</v>
      </c>
      <c r="E65" s="35">
        <v>119934</v>
      </c>
      <c r="F65" s="32">
        <v>3.5</v>
      </c>
      <c r="G65" s="35">
        <v>5442</v>
      </c>
      <c r="H65" s="17">
        <f>Table2[[#This Row],[New_Followers]]-Table2[[#This Row],[Unfollows]]</f>
        <v>-32</v>
      </c>
      <c r="I65" s="36">
        <f>Table2[[#This Row],[Followers gained]]/Table2[[#This Row],[Total_Followers]]</f>
        <v>-2.6681341404439108E-4</v>
      </c>
    </row>
    <row r="66" spans="1:9" x14ac:dyDescent="0.3">
      <c r="A66" s="33" t="s">
        <v>598</v>
      </c>
      <c r="B66" s="34" t="s">
        <v>30</v>
      </c>
      <c r="C66" s="35">
        <v>817</v>
      </c>
      <c r="D66" s="35">
        <v>151</v>
      </c>
      <c r="E66" s="35">
        <v>422625</v>
      </c>
      <c r="F66" s="32">
        <v>2.36</v>
      </c>
      <c r="G66" s="35">
        <v>1083</v>
      </c>
      <c r="H66" s="17">
        <f>Table2[[#This Row],[New_Followers]]-Table2[[#This Row],[Unfollows]]</f>
        <v>666</v>
      </c>
      <c r="I66" s="36">
        <f>Table2[[#This Row],[Followers gained]]/Table2[[#This Row],[Total_Followers]]</f>
        <v>1.5758651286601596E-3</v>
      </c>
    </row>
    <row r="67" spans="1:9" x14ac:dyDescent="0.3">
      <c r="A67" s="33" t="s">
        <v>598</v>
      </c>
      <c r="B67" s="34" t="s">
        <v>39</v>
      </c>
      <c r="C67" s="35">
        <v>198</v>
      </c>
      <c r="D67" s="35">
        <v>217</v>
      </c>
      <c r="E67" s="35">
        <v>239753</v>
      </c>
      <c r="F67" s="32">
        <v>7.36</v>
      </c>
      <c r="G67" s="35">
        <v>11901</v>
      </c>
      <c r="H67" s="17">
        <f>Table2[[#This Row],[New_Followers]]-Table2[[#This Row],[Unfollows]]</f>
        <v>-19</v>
      </c>
      <c r="I67" s="36">
        <f>Table2[[#This Row],[Followers gained]]/Table2[[#This Row],[Total_Followers]]</f>
        <v>-7.9248226299566635E-5</v>
      </c>
    </row>
    <row r="68" spans="1:9" x14ac:dyDescent="0.3">
      <c r="A68" s="33" t="s">
        <v>598</v>
      </c>
      <c r="B68" s="34" t="s">
        <v>13</v>
      </c>
      <c r="C68" s="35">
        <v>1911</v>
      </c>
      <c r="D68" s="35">
        <v>231</v>
      </c>
      <c r="E68" s="35">
        <v>268516</v>
      </c>
      <c r="F68" s="32">
        <v>8.5500000000000007</v>
      </c>
      <c r="G68" s="35">
        <v>24018</v>
      </c>
      <c r="H68" s="17">
        <f>Table2[[#This Row],[New_Followers]]-Table2[[#This Row],[Unfollows]]</f>
        <v>1680</v>
      </c>
      <c r="I68" s="36">
        <f>Table2[[#This Row],[Followers gained]]/Table2[[#This Row],[Total_Followers]]</f>
        <v>6.2566104068286429E-3</v>
      </c>
    </row>
    <row r="69" spans="1:9" x14ac:dyDescent="0.3">
      <c r="A69" s="33" t="s">
        <v>598</v>
      </c>
      <c r="B69" s="34" t="s">
        <v>24</v>
      </c>
      <c r="C69" s="35">
        <v>1218</v>
      </c>
      <c r="D69" s="35">
        <v>212</v>
      </c>
      <c r="E69" s="35">
        <v>63177</v>
      </c>
      <c r="F69" s="32">
        <v>8.1300000000000008</v>
      </c>
      <c r="G69" s="35">
        <v>38883</v>
      </c>
      <c r="H69" s="17">
        <f>Table2[[#This Row],[New_Followers]]-Table2[[#This Row],[Unfollows]]</f>
        <v>1006</v>
      </c>
      <c r="I69" s="36">
        <f>Table2[[#This Row],[Followers gained]]/Table2[[#This Row],[Total_Followers]]</f>
        <v>1.592351646960128E-2</v>
      </c>
    </row>
    <row r="70" spans="1:9" x14ac:dyDescent="0.3">
      <c r="A70" s="33" t="s">
        <v>599</v>
      </c>
      <c r="B70" s="34" t="s">
        <v>30</v>
      </c>
      <c r="C70" s="35">
        <v>1433</v>
      </c>
      <c r="D70" s="35">
        <v>408</v>
      </c>
      <c r="E70" s="35">
        <v>370269</v>
      </c>
      <c r="F70" s="32">
        <v>3.3</v>
      </c>
      <c r="G70" s="35">
        <v>30575</v>
      </c>
      <c r="H70" s="17">
        <f>Table2[[#This Row],[New_Followers]]-Table2[[#This Row],[Unfollows]]</f>
        <v>1025</v>
      </c>
      <c r="I70" s="36">
        <f>Table2[[#This Row],[Followers gained]]/Table2[[#This Row],[Total_Followers]]</f>
        <v>2.7682576721248606E-3</v>
      </c>
    </row>
    <row r="71" spans="1:9" x14ac:dyDescent="0.3">
      <c r="A71" s="33" t="s">
        <v>599</v>
      </c>
      <c r="B71" s="34" t="s">
        <v>39</v>
      </c>
      <c r="C71" s="35">
        <v>250</v>
      </c>
      <c r="D71" s="35">
        <v>429</v>
      </c>
      <c r="E71" s="35">
        <v>453423</v>
      </c>
      <c r="F71" s="32">
        <v>1.77</v>
      </c>
      <c r="G71" s="35">
        <v>2315</v>
      </c>
      <c r="H71" s="17">
        <f>Table2[[#This Row],[New_Followers]]-Table2[[#This Row],[Unfollows]]</f>
        <v>-179</v>
      </c>
      <c r="I71" s="36">
        <f>Table2[[#This Row],[Followers gained]]/Table2[[#This Row],[Total_Followers]]</f>
        <v>-3.9477485703195471E-4</v>
      </c>
    </row>
    <row r="72" spans="1:9" x14ac:dyDescent="0.3">
      <c r="A72" s="33" t="s">
        <v>599</v>
      </c>
      <c r="B72" s="34" t="s">
        <v>13</v>
      </c>
      <c r="C72" s="35">
        <v>752</v>
      </c>
      <c r="D72" s="35">
        <v>153</v>
      </c>
      <c r="E72" s="35">
        <v>64906</v>
      </c>
      <c r="F72" s="32">
        <v>2.09</v>
      </c>
      <c r="G72" s="35">
        <v>12148</v>
      </c>
      <c r="H72" s="17">
        <f>Table2[[#This Row],[New_Followers]]-Table2[[#This Row],[Unfollows]]</f>
        <v>599</v>
      </c>
      <c r="I72" s="36">
        <f>Table2[[#This Row],[Followers gained]]/Table2[[#This Row],[Total_Followers]]</f>
        <v>9.2287307798970819E-3</v>
      </c>
    </row>
    <row r="73" spans="1:9" x14ac:dyDescent="0.3">
      <c r="A73" s="33" t="s">
        <v>599</v>
      </c>
      <c r="B73" s="34" t="s">
        <v>24</v>
      </c>
      <c r="C73" s="35">
        <v>1918</v>
      </c>
      <c r="D73" s="35">
        <v>212</v>
      </c>
      <c r="E73" s="35">
        <v>94360</v>
      </c>
      <c r="F73" s="32">
        <v>7.36</v>
      </c>
      <c r="G73" s="35">
        <v>36851</v>
      </c>
      <c r="H73" s="17">
        <f>Table2[[#This Row],[New_Followers]]-Table2[[#This Row],[Unfollows]]</f>
        <v>1706</v>
      </c>
      <c r="I73" s="36">
        <f>Table2[[#This Row],[Followers gained]]/Table2[[#This Row],[Total_Followers]]</f>
        <v>1.8079694785926241E-2</v>
      </c>
    </row>
    <row r="74" spans="1:9" x14ac:dyDescent="0.3">
      <c r="A74" s="33" t="s">
        <v>600</v>
      </c>
      <c r="B74" s="34" t="s">
        <v>30</v>
      </c>
      <c r="C74" s="35">
        <v>1939</v>
      </c>
      <c r="D74" s="35">
        <v>67</v>
      </c>
      <c r="E74" s="35">
        <v>187183</v>
      </c>
      <c r="F74" s="32">
        <v>6.25</v>
      </c>
      <c r="G74" s="35">
        <v>41215</v>
      </c>
      <c r="H74" s="17">
        <f>Table2[[#This Row],[New_Followers]]-Table2[[#This Row],[Unfollows]]</f>
        <v>1872</v>
      </c>
      <c r="I74" s="36">
        <f>Table2[[#This Row],[Followers gained]]/Table2[[#This Row],[Total_Followers]]</f>
        <v>1.0000908202133741E-2</v>
      </c>
    </row>
    <row r="75" spans="1:9" x14ac:dyDescent="0.3">
      <c r="A75" s="33" t="s">
        <v>600</v>
      </c>
      <c r="B75" s="34" t="s">
        <v>39</v>
      </c>
      <c r="C75" s="35">
        <v>1929</v>
      </c>
      <c r="D75" s="35">
        <v>267</v>
      </c>
      <c r="E75" s="35">
        <v>379363</v>
      </c>
      <c r="F75" s="32">
        <v>1.75</v>
      </c>
      <c r="G75" s="35">
        <v>43836</v>
      </c>
      <c r="H75" s="17">
        <f>Table2[[#This Row],[New_Followers]]-Table2[[#This Row],[Unfollows]]</f>
        <v>1662</v>
      </c>
      <c r="I75" s="36">
        <f>Table2[[#This Row],[Followers gained]]/Table2[[#This Row],[Total_Followers]]</f>
        <v>4.3810281972675247E-3</v>
      </c>
    </row>
    <row r="76" spans="1:9" x14ac:dyDescent="0.3">
      <c r="A76" s="33" t="s">
        <v>600</v>
      </c>
      <c r="B76" s="34" t="s">
        <v>13</v>
      </c>
      <c r="C76" s="35">
        <v>437</v>
      </c>
      <c r="D76" s="35">
        <v>330</v>
      </c>
      <c r="E76" s="35">
        <v>476486</v>
      </c>
      <c r="F76" s="32">
        <v>4.97</v>
      </c>
      <c r="G76" s="35">
        <v>4509</v>
      </c>
      <c r="H76" s="17">
        <f>Table2[[#This Row],[New_Followers]]-Table2[[#This Row],[Unfollows]]</f>
        <v>107</v>
      </c>
      <c r="I76" s="36">
        <f>Table2[[#This Row],[Followers gained]]/Table2[[#This Row],[Total_Followers]]</f>
        <v>2.2456063766826309E-4</v>
      </c>
    </row>
    <row r="77" spans="1:9" x14ac:dyDescent="0.3">
      <c r="A77" s="33" t="s">
        <v>600</v>
      </c>
      <c r="B77" s="34" t="s">
        <v>24</v>
      </c>
      <c r="C77" s="35">
        <v>307</v>
      </c>
      <c r="D77" s="35">
        <v>189</v>
      </c>
      <c r="E77" s="35">
        <v>117767</v>
      </c>
      <c r="F77" s="32">
        <v>9.3000000000000007</v>
      </c>
      <c r="G77" s="35">
        <v>27822</v>
      </c>
      <c r="H77" s="17">
        <f>Table2[[#This Row],[New_Followers]]-Table2[[#This Row],[Unfollows]]</f>
        <v>118</v>
      </c>
      <c r="I77" s="36">
        <f>Table2[[#This Row],[Followers gained]]/Table2[[#This Row],[Total_Followers]]</f>
        <v>1.0019784829366461E-3</v>
      </c>
    </row>
    <row r="78" spans="1:9" x14ac:dyDescent="0.3">
      <c r="A78" s="33" t="s">
        <v>601</v>
      </c>
      <c r="B78" s="34" t="s">
        <v>30</v>
      </c>
      <c r="C78" s="35">
        <v>1527</v>
      </c>
      <c r="D78" s="35">
        <v>303</v>
      </c>
      <c r="E78" s="35">
        <v>388555</v>
      </c>
      <c r="F78" s="32">
        <v>8.9</v>
      </c>
      <c r="G78" s="35">
        <v>36397</v>
      </c>
      <c r="H78" s="17">
        <f>Table2[[#This Row],[New_Followers]]-Table2[[#This Row],[Unfollows]]</f>
        <v>1224</v>
      </c>
      <c r="I78" s="36">
        <f>Table2[[#This Row],[Followers gained]]/Table2[[#This Row],[Total_Followers]]</f>
        <v>3.1501331857780751E-3</v>
      </c>
    </row>
    <row r="79" spans="1:9" x14ac:dyDescent="0.3">
      <c r="A79" s="33" t="s">
        <v>601</v>
      </c>
      <c r="B79" s="34" t="s">
        <v>39</v>
      </c>
      <c r="C79" s="35">
        <v>643</v>
      </c>
      <c r="D79" s="35">
        <v>358</v>
      </c>
      <c r="E79" s="35">
        <v>157599</v>
      </c>
      <c r="F79" s="32">
        <v>3.88</v>
      </c>
      <c r="G79" s="35">
        <v>7285</v>
      </c>
      <c r="H79" s="17">
        <f>Table2[[#This Row],[New_Followers]]-Table2[[#This Row],[Unfollows]]</f>
        <v>285</v>
      </c>
      <c r="I79" s="36">
        <f>Table2[[#This Row],[Followers gained]]/Table2[[#This Row],[Total_Followers]]</f>
        <v>1.8083871090552605E-3</v>
      </c>
    </row>
    <row r="80" spans="1:9" x14ac:dyDescent="0.3">
      <c r="A80" s="33" t="s">
        <v>601</v>
      </c>
      <c r="B80" s="34" t="s">
        <v>13</v>
      </c>
      <c r="C80" s="35">
        <v>201</v>
      </c>
      <c r="D80" s="35">
        <v>221</v>
      </c>
      <c r="E80" s="35">
        <v>309772</v>
      </c>
      <c r="F80" s="32">
        <v>5.9</v>
      </c>
      <c r="G80" s="35">
        <v>33174</v>
      </c>
      <c r="H80" s="17">
        <f>Table2[[#This Row],[New_Followers]]-Table2[[#This Row],[Unfollows]]</f>
        <v>-20</v>
      </c>
      <c r="I80" s="36">
        <f>Table2[[#This Row],[Followers gained]]/Table2[[#This Row],[Total_Followers]]</f>
        <v>-6.456361452939582E-5</v>
      </c>
    </row>
    <row r="81" spans="1:9" x14ac:dyDescent="0.3">
      <c r="A81" s="33" t="s">
        <v>601</v>
      </c>
      <c r="B81" s="34" t="s">
        <v>24</v>
      </c>
      <c r="C81" s="35">
        <v>414</v>
      </c>
      <c r="D81" s="35">
        <v>47</v>
      </c>
      <c r="E81" s="35">
        <v>199178</v>
      </c>
      <c r="F81" s="32">
        <v>1.53</v>
      </c>
      <c r="G81" s="35">
        <v>6742</v>
      </c>
      <c r="H81" s="17">
        <f>Table2[[#This Row],[New_Followers]]-Table2[[#This Row],[Unfollows]]</f>
        <v>367</v>
      </c>
      <c r="I81" s="36">
        <f>Table2[[#This Row],[Followers gained]]/Table2[[#This Row],[Total_Followers]]</f>
        <v>1.8425729749269497E-3</v>
      </c>
    </row>
    <row r="82" spans="1:9" x14ac:dyDescent="0.3">
      <c r="A82" s="33" t="s">
        <v>162</v>
      </c>
      <c r="B82" s="34" t="s">
        <v>30</v>
      </c>
      <c r="C82" s="35">
        <v>703</v>
      </c>
      <c r="D82" s="35">
        <v>441</v>
      </c>
      <c r="E82" s="35">
        <v>357089</v>
      </c>
      <c r="F82" s="32">
        <v>6.5</v>
      </c>
      <c r="G82" s="35">
        <v>32478</v>
      </c>
      <c r="H82" s="17">
        <f>Table2[[#This Row],[New_Followers]]-Table2[[#This Row],[Unfollows]]</f>
        <v>262</v>
      </c>
      <c r="I82" s="36">
        <f>Table2[[#This Row],[Followers gained]]/Table2[[#This Row],[Total_Followers]]</f>
        <v>7.3371064356504961E-4</v>
      </c>
    </row>
    <row r="83" spans="1:9" x14ac:dyDescent="0.3">
      <c r="A83" s="33" t="s">
        <v>162</v>
      </c>
      <c r="B83" s="34" t="s">
        <v>39</v>
      </c>
      <c r="C83" s="35">
        <v>508</v>
      </c>
      <c r="D83" s="35">
        <v>69</v>
      </c>
      <c r="E83" s="35">
        <v>23492</v>
      </c>
      <c r="F83" s="32">
        <v>3.16</v>
      </c>
      <c r="G83" s="35">
        <v>42824</v>
      </c>
      <c r="H83" s="17">
        <f>Table2[[#This Row],[New_Followers]]-Table2[[#This Row],[Unfollows]]</f>
        <v>439</v>
      </c>
      <c r="I83" s="36">
        <f>Table2[[#This Row],[Followers gained]]/Table2[[#This Row],[Total_Followers]]</f>
        <v>1.8687212668142345E-2</v>
      </c>
    </row>
    <row r="84" spans="1:9" x14ac:dyDescent="0.3">
      <c r="A84" s="33" t="s">
        <v>162</v>
      </c>
      <c r="B84" s="34" t="s">
        <v>13</v>
      </c>
      <c r="C84" s="35">
        <v>697</v>
      </c>
      <c r="D84" s="35">
        <v>61</v>
      </c>
      <c r="E84" s="35">
        <v>258287</v>
      </c>
      <c r="F84" s="32">
        <v>8.25</v>
      </c>
      <c r="G84" s="35">
        <v>21208</v>
      </c>
      <c r="H84" s="17">
        <f>Table2[[#This Row],[New_Followers]]-Table2[[#This Row],[Unfollows]]</f>
        <v>636</v>
      </c>
      <c r="I84" s="36">
        <f>Table2[[#This Row],[Followers gained]]/Table2[[#This Row],[Total_Followers]]</f>
        <v>2.4623771231227277E-3</v>
      </c>
    </row>
    <row r="85" spans="1:9" x14ac:dyDescent="0.3">
      <c r="A85" s="33" t="s">
        <v>162</v>
      </c>
      <c r="B85" s="34" t="s">
        <v>24</v>
      </c>
      <c r="C85" s="35">
        <v>1707</v>
      </c>
      <c r="D85" s="35">
        <v>223</v>
      </c>
      <c r="E85" s="35">
        <v>256910</v>
      </c>
      <c r="F85" s="32">
        <v>5.41</v>
      </c>
      <c r="G85" s="35">
        <v>44321</v>
      </c>
      <c r="H85" s="17">
        <f>Table2[[#This Row],[New_Followers]]-Table2[[#This Row],[Unfollows]]</f>
        <v>1484</v>
      </c>
      <c r="I85" s="36">
        <f>Table2[[#This Row],[Followers gained]]/Table2[[#This Row],[Total_Followers]]</f>
        <v>5.7763419096181542E-3</v>
      </c>
    </row>
    <row r="86" spans="1:9" x14ac:dyDescent="0.3">
      <c r="A86" s="33" t="s">
        <v>194</v>
      </c>
      <c r="B86" s="34" t="s">
        <v>30</v>
      </c>
      <c r="C86" s="35">
        <v>642</v>
      </c>
      <c r="D86" s="35">
        <v>66</v>
      </c>
      <c r="E86" s="35">
        <v>346522</v>
      </c>
      <c r="F86" s="32">
        <v>5.85</v>
      </c>
      <c r="G86" s="35">
        <v>13116</v>
      </c>
      <c r="H86" s="17">
        <f>Table2[[#This Row],[New_Followers]]-Table2[[#This Row],[Unfollows]]</f>
        <v>576</v>
      </c>
      <c r="I86" s="36">
        <f>Table2[[#This Row],[Followers gained]]/Table2[[#This Row],[Total_Followers]]</f>
        <v>1.6622321237901201E-3</v>
      </c>
    </row>
    <row r="87" spans="1:9" x14ac:dyDescent="0.3">
      <c r="A87" s="33" t="s">
        <v>194</v>
      </c>
      <c r="B87" s="34" t="s">
        <v>39</v>
      </c>
      <c r="C87" s="35">
        <v>859</v>
      </c>
      <c r="D87" s="35">
        <v>473</v>
      </c>
      <c r="E87" s="35">
        <v>209987</v>
      </c>
      <c r="F87" s="32">
        <v>4.46</v>
      </c>
      <c r="G87" s="35">
        <v>30214</v>
      </c>
      <c r="H87" s="17">
        <f>Table2[[#This Row],[New_Followers]]-Table2[[#This Row],[Unfollows]]</f>
        <v>386</v>
      </c>
      <c r="I87" s="36">
        <f>Table2[[#This Row],[Followers gained]]/Table2[[#This Row],[Total_Followers]]</f>
        <v>1.8382090319876945E-3</v>
      </c>
    </row>
    <row r="88" spans="1:9" x14ac:dyDescent="0.3">
      <c r="A88" s="33" t="s">
        <v>194</v>
      </c>
      <c r="B88" s="34" t="s">
        <v>13</v>
      </c>
      <c r="C88" s="35">
        <v>191</v>
      </c>
      <c r="D88" s="35">
        <v>154</v>
      </c>
      <c r="E88" s="35">
        <v>240550</v>
      </c>
      <c r="F88" s="32">
        <v>5.22</v>
      </c>
      <c r="G88" s="35">
        <v>15827</v>
      </c>
      <c r="H88" s="17">
        <f>Table2[[#This Row],[New_Followers]]-Table2[[#This Row],[Unfollows]]</f>
        <v>37</v>
      </c>
      <c r="I88" s="36">
        <f>Table2[[#This Row],[Followers gained]]/Table2[[#This Row],[Total_Followers]]</f>
        <v>1.5381417584701726E-4</v>
      </c>
    </row>
    <row r="89" spans="1:9" x14ac:dyDescent="0.3">
      <c r="A89" s="33" t="s">
        <v>194</v>
      </c>
      <c r="B89" s="34" t="s">
        <v>24</v>
      </c>
      <c r="C89" s="35">
        <v>1814</v>
      </c>
      <c r="D89" s="35">
        <v>157</v>
      </c>
      <c r="E89" s="35">
        <v>305827</v>
      </c>
      <c r="F89" s="32">
        <v>1.99</v>
      </c>
      <c r="G89" s="35">
        <v>46643</v>
      </c>
      <c r="H89" s="17">
        <f>Table2[[#This Row],[New_Followers]]-Table2[[#This Row],[Unfollows]]</f>
        <v>1657</v>
      </c>
      <c r="I89" s="36">
        <f>Table2[[#This Row],[Followers gained]]/Table2[[#This Row],[Total_Followers]]</f>
        <v>5.4180958515762179E-3</v>
      </c>
    </row>
    <row r="90" spans="1:9" x14ac:dyDescent="0.3">
      <c r="A90" s="33" t="s">
        <v>274</v>
      </c>
      <c r="B90" s="34" t="s">
        <v>30</v>
      </c>
      <c r="C90" s="35">
        <v>1466</v>
      </c>
      <c r="D90" s="35">
        <v>69</v>
      </c>
      <c r="E90" s="35">
        <v>54935</v>
      </c>
      <c r="F90" s="32">
        <v>6.85</v>
      </c>
      <c r="G90" s="35">
        <v>36484</v>
      </c>
      <c r="H90" s="17">
        <f>Table2[[#This Row],[New_Followers]]-Table2[[#This Row],[Unfollows]]</f>
        <v>1397</v>
      </c>
      <c r="I90" s="36">
        <f>Table2[[#This Row],[Followers gained]]/Table2[[#This Row],[Total_Followers]]</f>
        <v>2.5430053699827069E-2</v>
      </c>
    </row>
    <row r="91" spans="1:9" x14ac:dyDescent="0.3">
      <c r="A91" s="33" t="s">
        <v>274</v>
      </c>
      <c r="B91" s="34" t="s">
        <v>39</v>
      </c>
      <c r="C91" s="35">
        <v>947</v>
      </c>
      <c r="D91" s="35">
        <v>407</v>
      </c>
      <c r="E91" s="35">
        <v>319186</v>
      </c>
      <c r="F91" s="32">
        <v>3.32</v>
      </c>
      <c r="G91" s="35">
        <v>4996</v>
      </c>
      <c r="H91" s="17">
        <f>Table2[[#This Row],[New_Followers]]-Table2[[#This Row],[Unfollows]]</f>
        <v>540</v>
      </c>
      <c r="I91" s="36">
        <f>Table2[[#This Row],[Followers gained]]/Table2[[#This Row],[Total_Followers]]</f>
        <v>1.6918035252172713E-3</v>
      </c>
    </row>
    <row r="92" spans="1:9" x14ac:dyDescent="0.3">
      <c r="A92" s="33" t="s">
        <v>274</v>
      </c>
      <c r="B92" s="34" t="s">
        <v>13</v>
      </c>
      <c r="C92" s="35">
        <v>1821</v>
      </c>
      <c r="D92" s="35">
        <v>218</v>
      </c>
      <c r="E92" s="35">
        <v>439080</v>
      </c>
      <c r="F92" s="32">
        <v>5.68</v>
      </c>
      <c r="G92" s="35">
        <v>36095</v>
      </c>
      <c r="H92" s="17">
        <f>Table2[[#This Row],[New_Followers]]-Table2[[#This Row],[Unfollows]]</f>
        <v>1603</v>
      </c>
      <c r="I92" s="36">
        <f>Table2[[#This Row],[Followers gained]]/Table2[[#This Row],[Total_Followers]]</f>
        <v>3.6508153411678964E-3</v>
      </c>
    </row>
    <row r="93" spans="1:9" x14ac:dyDescent="0.3">
      <c r="A93" s="33" t="s">
        <v>274</v>
      </c>
      <c r="B93" s="34" t="s">
        <v>24</v>
      </c>
      <c r="C93" s="35">
        <v>1507</v>
      </c>
      <c r="D93" s="35">
        <v>463</v>
      </c>
      <c r="E93" s="35">
        <v>258944</v>
      </c>
      <c r="F93" s="32">
        <v>6.08</v>
      </c>
      <c r="G93" s="35">
        <v>16443</v>
      </c>
      <c r="H93" s="17">
        <f>Table2[[#This Row],[New_Followers]]-Table2[[#This Row],[Unfollows]]</f>
        <v>1044</v>
      </c>
      <c r="I93" s="36">
        <f>Table2[[#This Row],[Followers gained]]/Table2[[#This Row],[Total_Followers]]</f>
        <v>4.0317597627286209E-3</v>
      </c>
    </row>
    <row r="94" spans="1:9" x14ac:dyDescent="0.3">
      <c r="A94" s="33" t="s">
        <v>602</v>
      </c>
      <c r="B94" s="34" t="s">
        <v>30</v>
      </c>
      <c r="C94" s="35">
        <v>1075</v>
      </c>
      <c r="D94" s="35">
        <v>173</v>
      </c>
      <c r="E94" s="35">
        <v>51395</v>
      </c>
      <c r="F94" s="32">
        <v>4.66</v>
      </c>
      <c r="G94" s="35">
        <v>47812</v>
      </c>
      <c r="H94" s="17">
        <f>Table2[[#This Row],[New_Followers]]-Table2[[#This Row],[Unfollows]]</f>
        <v>902</v>
      </c>
      <c r="I94" s="36">
        <f>Table2[[#This Row],[Followers gained]]/Table2[[#This Row],[Total_Followers]]</f>
        <v>1.7550345364335054E-2</v>
      </c>
    </row>
    <row r="95" spans="1:9" x14ac:dyDescent="0.3">
      <c r="A95" s="33" t="s">
        <v>602</v>
      </c>
      <c r="B95" s="34" t="s">
        <v>39</v>
      </c>
      <c r="C95" s="35">
        <v>171</v>
      </c>
      <c r="D95" s="35">
        <v>277</v>
      </c>
      <c r="E95" s="35">
        <v>309483</v>
      </c>
      <c r="F95" s="32">
        <v>8.6999999999999993</v>
      </c>
      <c r="G95" s="35">
        <v>38452</v>
      </c>
      <c r="H95" s="17">
        <f>Table2[[#This Row],[New_Followers]]-Table2[[#This Row],[Unfollows]]</f>
        <v>-106</v>
      </c>
      <c r="I95" s="36">
        <f>Table2[[#This Row],[Followers gained]]/Table2[[#This Row],[Total_Followers]]</f>
        <v>-3.4250669665215861E-4</v>
      </c>
    </row>
    <row r="96" spans="1:9" x14ac:dyDescent="0.3">
      <c r="A96" s="33" t="s">
        <v>602</v>
      </c>
      <c r="B96" s="34" t="s">
        <v>13</v>
      </c>
      <c r="C96" s="35">
        <v>1487</v>
      </c>
      <c r="D96" s="35">
        <v>337</v>
      </c>
      <c r="E96" s="35">
        <v>87305</v>
      </c>
      <c r="F96" s="32">
        <v>2.46</v>
      </c>
      <c r="G96" s="35">
        <v>30428</v>
      </c>
      <c r="H96" s="17">
        <f>Table2[[#This Row],[New_Followers]]-Table2[[#This Row],[Unfollows]]</f>
        <v>1150</v>
      </c>
      <c r="I96" s="36">
        <f>Table2[[#This Row],[Followers gained]]/Table2[[#This Row],[Total_Followers]]</f>
        <v>1.3172212358971423E-2</v>
      </c>
    </row>
    <row r="97" spans="1:9" x14ac:dyDescent="0.3">
      <c r="A97" s="33" t="s">
        <v>602</v>
      </c>
      <c r="B97" s="34" t="s">
        <v>24</v>
      </c>
      <c r="C97" s="35">
        <v>454</v>
      </c>
      <c r="D97" s="35">
        <v>105</v>
      </c>
      <c r="E97" s="35">
        <v>121091</v>
      </c>
      <c r="F97" s="32">
        <v>7.97</v>
      </c>
      <c r="G97" s="35">
        <v>9269</v>
      </c>
      <c r="H97" s="17">
        <f>Table2[[#This Row],[New_Followers]]-Table2[[#This Row],[Unfollows]]</f>
        <v>349</v>
      </c>
      <c r="I97" s="36">
        <f>Table2[[#This Row],[Followers gained]]/Table2[[#This Row],[Total_Followers]]</f>
        <v>2.8821299683708945E-3</v>
      </c>
    </row>
    <row r="98" spans="1:9" x14ac:dyDescent="0.3">
      <c r="A98" s="33" t="s">
        <v>63</v>
      </c>
      <c r="B98" s="34" t="s">
        <v>30</v>
      </c>
      <c r="C98" s="35">
        <v>187</v>
      </c>
      <c r="D98" s="35">
        <v>236</v>
      </c>
      <c r="E98" s="35">
        <v>51087</v>
      </c>
      <c r="F98" s="32">
        <v>9.41</v>
      </c>
      <c r="G98" s="35">
        <v>29533</v>
      </c>
      <c r="H98" s="17">
        <f>Table2[[#This Row],[New_Followers]]-Table2[[#This Row],[Unfollows]]</f>
        <v>-49</v>
      </c>
      <c r="I98" s="36">
        <f>Table2[[#This Row],[Followers gained]]/Table2[[#This Row],[Total_Followers]]</f>
        <v>-9.5914811987394058E-4</v>
      </c>
    </row>
    <row r="99" spans="1:9" x14ac:dyDescent="0.3">
      <c r="A99" s="33" t="s">
        <v>63</v>
      </c>
      <c r="B99" s="34" t="s">
        <v>39</v>
      </c>
      <c r="C99" s="35">
        <v>513</v>
      </c>
      <c r="D99" s="35">
        <v>441</v>
      </c>
      <c r="E99" s="35">
        <v>338847</v>
      </c>
      <c r="F99" s="32">
        <v>2.68</v>
      </c>
      <c r="G99" s="35">
        <v>39997</v>
      </c>
      <c r="H99" s="17">
        <f>Table2[[#This Row],[New_Followers]]-Table2[[#This Row],[Unfollows]]</f>
        <v>72</v>
      </c>
      <c r="I99" s="36">
        <f>Table2[[#This Row],[Followers gained]]/Table2[[#This Row],[Total_Followers]]</f>
        <v>2.1248528096751631E-4</v>
      </c>
    </row>
    <row r="100" spans="1:9" x14ac:dyDescent="0.3">
      <c r="A100" s="33" t="s">
        <v>63</v>
      </c>
      <c r="B100" s="34" t="s">
        <v>13</v>
      </c>
      <c r="C100" s="35">
        <v>628</v>
      </c>
      <c r="D100" s="35">
        <v>183</v>
      </c>
      <c r="E100" s="35">
        <v>487523</v>
      </c>
      <c r="F100" s="32">
        <v>7.32</v>
      </c>
      <c r="G100" s="35">
        <v>5391</v>
      </c>
      <c r="H100" s="17">
        <f>Table2[[#This Row],[New_Followers]]-Table2[[#This Row],[Unfollows]]</f>
        <v>445</v>
      </c>
      <c r="I100" s="36">
        <f>Table2[[#This Row],[Followers gained]]/Table2[[#This Row],[Total_Followers]]</f>
        <v>9.1277744844858602E-4</v>
      </c>
    </row>
    <row r="101" spans="1:9" x14ac:dyDescent="0.3">
      <c r="A101" s="33" t="s">
        <v>63</v>
      </c>
      <c r="B101" s="34" t="s">
        <v>24</v>
      </c>
      <c r="C101" s="35">
        <v>278</v>
      </c>
      <c r="D101" s="35">
        <v>218</v>
      </c>
      <c r="E101" s="35">
        <v>301695</v>
      </c>
      <c r="F101" s="32">
        <v>4.68</v>
      </c>
      <c r="G101" s="35">
        <v>22373</v>
      </c>
      <c r="H101" s="17">
        <f>Table2[[#This Row],[New_Followers]]-Table2[[#This Row],[Unfollows]]</f>
        <v>60</v>
      </c>
      <c r="I101" s="36">
        <f>Table2[[#This Row],[Followers gained]]/Table2[[#This Row],[Total_Followers]]</f>
        <v>1.9887634863023914E-4</v>
      </c>
    </row>
    <row r="102" spans="1:9" x14ac:dyDescent="0.3">
      <c r="A102" s="33" t="s">
        <v>124</v>
      </c>
      <c r="B102" s="34" t="s">
        <v>30</v>
      </c>
      <c r="C102" s="35">
        <v>1854</v>
      </c>
      <c r="D102" s="35">
        <v>161</v>
      </c>
      <c r="E102" s="35">
        <v>282466</v>
      </c>
      <c r="F102" s="32">
        <v>5.17</v>
      </c>
      <c r="G102" s="35">
        <v>1810</v>
      </c>
      <c r="H102" s="17">
        <f>Table2[[#This Row],[New_Followers]]-Table2[[#This Row],[Unfollows]]</f>
        <v>1693</v>
      </c>
      <c r="I102" s="36">
        <f>Table2[[#This Row],[Followers gained]]/Table2[[#This Row],[Total_Followers]]</f>
        <v>5.9936417126309005E-3</v>
      </c>
    </row>
    <row r="103" spans="1:9" x14ac:dyDescent="0.3">
      <c r="A103" s="33" t="s">
        <v>124</v>
      </c>
      <c r="B103" s="34" t="s">
        <v>39</v>
      </c>
      <c r="C103" s="35">
        <v>1710</v>
      </c>
      <c r="D103" s="35">
        <v>378</v>
      </c>
      <c r="E103" s="35">
        <v>336661</v>
      </c>
      <c r="F103" s="32">
        <v>6.2</v>
      </c>
      <c r="G103" s="35">
        <v>28498</v>
      </c>
      <c r="H103" s="17">
        <f>Table2[[#This Row],[New_Followers]]-Table2[[#This Row],[Unfollows]]</f>
        <v>1332</v>
      </c>
      <c r="I103" s="36">
        <f>Table2[[#This Row],[Followers gained]]/Table2[[#This Row],[Total_Followers]]</f>
        <v>3.9565022381564839E-3</v>
      </c>
    </row>
    <row r="104" spans="1:9" x14ac:dyDescent="0.3">
      <c r="A104" s="33" t="s">
        <v>124</v>
      </c>
      <c r="B104" s="34" t="s">
        <v>13</v>
      </c>
      <c r="C104" s="35">
        <v>330</v>
      </c>
      <c r="D104" s="35">
        <v>232</v>
      </c>
      <c r="E104" s="35">
        <v>88455</v>
      </c>
      <c r="F104" s="32">
        <v>2.69</v>
      </c>
      <c r="G104" s="35">
        <v>39530</v>
      </c>
      <c r="H104" s="17">
        <f>Table2[[#This Row],[New_Followers]]-Table2[[#This Row],[Unfollows]]</f>
        <v>98</v>
      </c>
      <c r="I104" s="36">
        <f>Table2[[#This Row],[Followers gained]]/Table2[[#This Row],[Total_Followers]]</f>
        <v>1.1079079758069075E-3</v>
      </c>
    </row>
    <row r="105" spans="1:9" x14ac:dyDescent="0.3">
      <c r="A105" s="33" t="s">
        <v>124</v>
      </c>
      <c r="B105" s="34" t="s">
        <v>24</v>
      </c>
      <c r="C105" s="35">
        <v>1293</v>
      </c>
      <c r="D105" s="35">
        <v>408</v>
      </c>
      <c r="E105" s="35">
        <v>62535</v>
      </c>
      <c r="F105" s="32">
        <v>8.9</v>
      </c>
      <c r="G105" s="35">
        <v>37876</v>
      </c>
      <c r="H105" s="17">
        <f>Table2[[#This Row],[New_Followers]]-Table2[[#This Row],[Unfollows]]</f>
        <v>885</v>
      </c>
      <c r="I105" s="36">
        <f>Table2[[#This Row],[Followers gained]]/Table2[[#This Row],[Total_Followers]]</f>
        <v>1.4152074838090669E-2</v>
      </c>
    </row>
    <row r="106" spans="1:9" x14ac:dyDescent="0.3">
      <c r="A106" s="33" t="s">
        <v>603</v>
      </c>
      <c r="B106" s="34" t="s">
        <v>30</v>
      </c>
      <c r="C106" s="35">
        <v>1696</v>
      </c>
      <c r="D106" s="35">
        <v>71</v>
      </c>
      <c r="E106" s="35">
        <v>421957</v>
      </c>
      <c r="F106" s="32">
        <v>3.79</v>
      </c>
      <c r="G106" s="35">
        <v>36103</v>
      </c>
      <c r="H106" s="17">
        <f>Table2[[#This Row],[New_Followers]]-Table2[[#This Row],[Unfollows]]</f>
        <v>1625</v>
      </c>
      <c r="I106" s="36">
        <f>Table2[[#This Row],[Followers gained]]/Table2[[#This Row],[Total_Followers]]</f>
        <v>3.8511033114748661E-3</v>
      </c>
    </row>
    <row r="107" spans="1:9" x14ac:dyDescent="0.3">
      <c r="A107" s="33" t="s">
        <v>603</v>
      </c>
      <c r="B107" s="34" t="s">
        <v>39</v>
      </c>
      <c r="C107" s="35">
        <v>1902</v>
      </c>
      <c r="D107" s="35">
        <v>196</v>
      </c>
      <c r="E107" s="35">
        <v>470269</v>
      </c>
      <c r="F107" s="32">
        <v>4.79</v>
      </c>
      <c r="G107" s="35">
        <v>26103</v>
      </c>
      <c r="H107" s="17">
        <f>Table2[[#This Row],[New_Followers]]-Table2[[#This Row],[Unfollows]]</f>
        <v>1706</v>
      </c>
      <c r="I107" s="36">
        <f>Table2[[#This Row],[Followers gained]]/Table2[[#This Row],[Total_Followers]]</f>
        <v>3.6277109484146308E-3</v>
      </c>
    </row>
    <row r="108" spans="1:9" x14ac:dyDescent="0.3">
      <c r="A108" s="33" t="s">
        <v>603</v>
      </c>
      <c r="B108" s="34" t="s">
        <v>13</v>
      </c>
      <c r="C108" s="35">
        <v>1441</v>
      </c>
      <c r="D108" s="35">
        <v>268</v>
      </c>
      <c r="E108" s="35">
        <v>309904</v>
      </c>
      <c r="F108" s="32">
        <v>6.37</v>
      </c>
      <c r="G108" s="35">
        <v>3455</v>
      </c>
      <c r="H108" s="17">
        <f>Table2[[#This Row],[New_Followers]]-Table2[[#This Row],[Unfollows]]</f>
        <v>1173</v>
      </c>
      <c r="I108" s="36">
        <f>Table2[[#This Row],[Followers gained]]/Table2[[#This Row],[Total_Followers]]</f>
        <v>3.7850431101244257E-3</v>
      </c>
    </row>
    <row r="109" spans="1:9" x14ac:dyDescent="0.3">
      <c r="A109" s="33" t="s">
        <v>603</v>
      </c>
      <c r="B109" s="34" t="s">
        <v>24</v>
      </c>
      <c r="C109" s="35">
        <v>452</v>
      </c>
      <c r="D109" s="35">
        <v>161</v>
      </c>
      <c r="E109" s="35">
        <v>221274</v>
      </c>
      <c r="F109" s="32">
        <v>2.65</v>
      </c>
      <c r="G109" s="35">
        <v>40888</v>
      </c>
      <c r="H109" s="17">
        <f>Table2[[#This Row],[New_Followers]]-Table2[[#This Row],[Unfollows]]</f>
        <v>291</v>
      </c>
      <c r="I109" s="36">
        <f>Table2[[#This Row],[Followers gained]]/Table2[[#This Row],[Total_Followers]]</f>
        <v>1.3151115811166245E-3</v>
      </c>
    </row>
    <row r="110" spans="1:9" x14ac:dyDescent="0.3">
      <c r="A110" s="33" t="s">
        <v>213</v>
      </c>
      <c r="B110" s="34" t="s">
        <v>30</v>
      </c>
      <c r="C110" s="35">
        <v>1494</v>
      </c>
      <c r="D110" s="35">
        <v>375</v>
      </c>
      <c r="E110" s="35">
        <v>220616</v>
      </c>
      <c r="F110" s="32">
        <v>1.81</v>
      </c>
      <c r="G110" s="35">
        <v>22724</v>
      </c>
      <c r="H110" s="17">
        <f>Table2[[#This Row],[New_Followers]]-Table2[[#This Row],[Unfollows]]</f>
        <v>1119</v>
      </c>
      <c r="I110" s="36">
        <f>Table2[[#This Row],[Followers gained]]/Table2[[#This Row],[Total_Followers]]</f>
        <v>5.0721615839286359E-3</v>
      </c>
    </row>
    <row r="111" spans="1:9" x14ac:dyDescent="0.3">
      <c r="A111" s="33" t="s">
        <v>213</v>
      </c>
      <c r="B111" s="34" t="s">
        <v>39</v>
      </c>
      <c r="C111" s="35">
        <v>1514</v>
      </c>
      <c r="D111" s="35">
        <v>141</v>
      </c>
      <c r="E111" s="35">
        <v>35842</v>
      </c>
      <c r="F111" s="32">
        <v>7.47</v>
      </c>
      <c r="G111" s="35">
        <v>18601</v>
      </c>
      <c r="H111" s="17">
        <f>Table2[[#This Row],[New_Followers]]-Table2[[#This Row],[Unfollows]]</f>
        <v>1373</v>
      </c>
      <c r="I111" s="36">
        <f>Table2[[#This Row],[Followers gained]]/Table2[[#This Row],[Total_Followers]]</f>
        <v>3.8307014117515761E-2</v>
      </c>
    </row>
    <row r="112" spans="1:9" x14ac:dyDescent="0.3">
      <c r="A112" s="33" t="s">
        <v>213</v>
      </c>
      <c r="B112" s="34" t="s">
        <v>13</v>
      </c>
      <c r="C112" s="35">
        <v>1937</v>
      </c>
      <c r="D112" s="35">
        <v>210</v>
      </c>
      <c r="E112" s="35">
        <v>20607</v>
      </c>
      <c r="F112" s="32">
        <v>4.2</v>
      </c>
      <c r="G112" s="35">
        <v>20861</v>
      </c>
      <c r="H112" s="17">
        <f>Table2[[#This Row],[New_Followers]]-Table2[[#This Row],[Unfollows]]</f>
        <v>1727</v>
      </c>
      <c r="I112" s="36">
        <f>Table2[[#This Row],[Followers gained]]/Table2[[#This Row],[Total_Followers]]</f>
        <v>8.3806473528412681E-2</v>
      </c>
    </row>
    <row r="113" spans="1:9" x14ac:dyDescent="0.3">
      <c r="A113" s="33" t="s">
        <v>213</v>
      </c>
      <c r="B113" s="34" t="s">
        <v>24</v>
      </c>
      <c r="C113" s="35">
        <v>736</v>
      </c>
      <c r="D113" s="35">
        <v>163</v>
      </c>
      <c r="E113" s="35">
        <v>451894</v>
      </c>
      <c r="F113" s="32">
        <v>5.43</v>
      </c>
      <c r="G113" s="35">
        <v>46625</v>
      </c>
      <c r="H113" s="17">
        <f>Table2[[#This Row],[New_Followers]]-Table2[[#This Row],[Unfollows]]</f>
        <v>573</v>
      </c>
      <c r="I113" s="36">
        <f>Table2[[#This Row],[Followers gained]]/Table2[[#This Row],[Total_Followers]]</f>
        <v>1.2679964770499277E-3</v>
      </c>
    </row>
    <row r="114" spans="1:9" x14ac:dyDescent="0.3">
      <c r="A114" s="33" t="s">
        <v>107</v>
      </c>
      <c r="B114" s="34" t="s">
        <v>30</v>
      </c>
      <c r="C114" s="35">
        <v>1502</v>
      </c>
      <c r="D114" s="35">
        <v>70</v>
      </c>
      <c r="E114" s="35">
        <v>465553</v>
      </c>
      <c r="F114" s="32">
        <v>3.32</v>
      </c>
      <c r="G114" s="35">
        <v>20692</v>
      </c>
      <c r="H114" s="17">
        <f>Table2[[#This Row],[New_Followers]]-Table2[[#This Row],[Unfollows]]</f>
        <v>1432</v>
      </c>
      <c r="I114" s="36">
        <f>Table2[[#This Row],[Followers gained]]/Table2[[#This Row],[Total_Followers]]</f>
        <v>3.0759118725472716E-3</v>
      </c>
    </row>
    <row r="115" spans="1:9" x14ac:dyDescent="0.3">
      <c r="A115" s="33" t="s">
        <v>107</v>
      </c>
      <c r="B115" s="34" t="s">
        <v>39</v>
      </c>
      <c r="C115" s="35">
        <v>1623</v>
      </c>
      <c r="D115" s="35">
        <v>246</v>
      </c>
      <c r="E115" s="35">
        <v>415815</v>
      </c>
      <c r="F115" s="32">
        <v>8.11</v>
      </c>
      <c r="G115" s="35">
        <v>18656</v>
      </c>
      <c r="H115" s="17">
        <f>Table2[[#This Row],[New_Followers]]-Table2[[#This Row],[Unfollows]]</f>
        <v>1377</v>
      </c>
      <c r="I115" s="36">
        <f>Table2[[#This Row],[Followers gained]]/Table2[[#This Row],[Total_Followers]]</f>
        <v>3.311568846722701E-3</v>
      </c>
    </row>
    <row r="116" spans="1:9" x14ac:dyDescent="0.3">
      <c r="A116" s="33" t="s">
        <v>107</v>
      </c>
      <c r="B116" s="34" t="s">
        <v>13</v>
      </c>
      <c r="C116" s="35">
        <v>1592</v>
      </c>
      <c r="D116" s="35">
        <v>233</v>
      </c>
      <c r="E116" s="35">
        <v>327183</v>
      </c>
      <c r="F116" s="32">
        <v>6.66</v>
      </c>
      <c r="G116" s="35">
        <v>13316</v>
      </c>
      <c r="H116" s="17">
        <f>Table2[[#This Row],[New_Followers]]-Table2[[#This Row],[Unfollows]]</f>
        <v>1359</v>
      </c>
      <c r="I116" s="36">
        <f>Table2[[#This Row],[Followers gained]]/Table2[[#This Row],[Total_Followers]]</f>
        <v>4.1536387893013997E-3</v>
      </c>
    </row>
    <row r="117" spans="1:9" x14ac:dyDescent="0.3">
      <c r="A117" s="33" t="s">
        <v>107</v>
      </c>
      <c r="B117" s="34" t="s">
        <v>24</v>
      </c>
      <c r="C117" s="35">
        <v>1004</v>
      </c>
      <c r="D117" s="35">
        <v>128</v>
      </c>
      <c r="E117" s="35">
        <v>488901</v>
      </c>
      <c r="F117" s="32">
        <v>8.09</v>
      </c>
      <c r="G117" s="35">
        <v>49558</v>
      </c>
      <c r="H117" s="17">
        <f>Table2[[#This Row],[New_Followers]]-Table2[[#This Row],[Unfollows]]</f>
        <v>876</v>
      </c>
      <c r="I117" s="36">
        <f>Table2[[#This Row],[Followers gained]]/Table2[[#This Row],[Total_Followers]]</f>
        <v>1.7917737946946315E-3</v>
      </c>
    </row>
    <row r="118" spans="1:9" x14ac:dyDescent="0.3">
      <c r="A118" s="33" t="s">
        <v>14</v>
      </c>
      <c r="B118" s="34" t="s">
        <v>30</v>
      </c>
      <c r="C118" s="35">
        <v>1092</v>
      </c>
      <c r="D118" s="35">
        <v>408</v>
      </c>
      <c r="E118" s="35">
        <v>280795</v>
      </c>
      <c r="F118" s="32">
        <v>8.44</v>
      </c>
      <c r="G118" s="35">
        <v>4683</v>
      </c>
      <c r="H118" s="17">
        <f>Table2[[#This Row],[New_Followers]]-Table2[[#This Row],[Unfollows]]</f>
        <v>684</v>
      </c>
      <c r="I118" s="36">
        <f>Table2[[#This Row],[Followers gained]]/Table2[[#This Row],[Total_Followers]]</f>
        <v>2.4359408109118751E-3</v>
      </c>
    </row>
    <row r="119" spans="1:9" x14ac:dyDescent="0.3">
      <c r="A119" s="33" t="s">
        <v>14</v>
      </c>
      <c r="B119" s="34" t="s">
        <v>39</v>
      </c>
      <c r="C119" s="35">
        <v>1155</v>
      </c>
      <c r="D119" s="35">
        <v>425</v>
      </c>
      <c r="E119" s="35">
        <v>93347</v>
      </c>
      <c r="F119" s="32">
        <v>2.02</v>
      </c>
      <c r="G119" s="35">
        <v>47502</v>
      </c>
      <c r="H119" s="17">
        <f>Table2[[#This Row],[New_Followers]]-Table2[[#This Row],[Unfollows]]</f>
        <v>730</v>
      </c>
      <c r="I119" s="36">
        <f>Table2[[#This Row],[Followers gained]]/Table2[[#This Row],[Total_Followers]]</f>
        <v>7.8202834584935772E-3</v>
      </c>
    </row>
    <row r="120" spans="1:9" x14ac:dyDescent="0.3">
      <c r="A120" s="33" t="s">
        <v>14</v>
      </c>
      <c r="B120" s="34" t="s">
        <v>13</v>
      </c>
      <c r="C120" s="35">
        <v>1137</v>
      </c>
      <c r="D120" s="35">
        <v>226</v>
      </c>
      <c r="E120" s="35">
        <v>81119</v>
      </c>
      <c r="F120" s="32">
        <v>7.74</v>
      </c>
      <c r="G120" s="35">
        <v>35359</v>
      </c>
      <c r="H120" s="17">
        <f>Table2[[#This Row],[New_Followers]]-Table2[[#This Row],[Unfollows]]</f>
        <v>911</v>
      </c>
      <c r="I120" s="36">
        <f>Table2[[#This Row],[Followers gained]]/Table2[[#This Row],[Total_Followers]]</f>
        <v>1.1230414576116569E-2</v>
      </c>
    </row>
    <row r="121" spans="1:9" x14ac:dyDescent="0.3">
      <c r="A121" s="33" t="s">
        <v>14</v>
      </c>
      <c r="B121" s="34" t="s">
        <v>24</v>
      </c>
      <c r="C121" s="35">
        <v>1900</v>
      </c>
      <c r="D121" s="35">
        <v>311</v>
      </c>
      <c r="E121" s="35">
        <v>25177</v>
      </c>
      <c r="F121" s="32">
        <v>2.89</v>
      </c>
      <c r="G121" s="35">
        <v>14154</v>
      </c>
      <c r="H121" s="17">
        <f>Table2[[#This Row],[New_Followers]]-Table2[[#This Row],[Unfollows]]</f>
        <v>1589</v>
      </c>
      <c r="I121" s="36">
        <f>Table2[[#This Row],[Followers gained]]/Table2[[#This Row],[Total_Followers]]</f>
        <v>6.3113158835445049E-2</v>
      </c>
    </row>
    <row r="122" spans="1:9" x14ac:dyDescent="0.3">
      <c r="A122" s="33" t="s">
        <v>604</v>
      </c>
      <c r="B122" s="34" t="s">
        <v>30</v>
      </c>
      <c r="C122" s="35">
        <v>1814</v>
      </c>
      <c r="D122" s="35">
        <v>49</v>
      </c>
      <c r="E122" s="35">
        <v>140804</v>
      </c>
      <c r="F122" s="32">
        <v>1.76</v>
      </c>
      <c r="G122" s="35">
        <v>4313</v>
      </c>
      <c r="H122" s="17">
        <f>Table2[[#This Row],[New_Followers]]-Table2[[#This Row],[Unfollows]]</f>
        <v>1765</v>
      </c>
      <c r="I122" s="36">
        <f>Table2[[#This Row],[Followers gained]]/Table2[[#This Row],[Total_Followers]]</f>
        <v>1.253515525127127E-2</v>
      </c>
    </row>
    <row r="123" spans="1:9" x14ac:dyDescent="0.3">
      <c r="A123" s="33" t="s">
        <v>604</v>
      </c>
      <c r="B123" s="34" t="s">
        <v>39</v>
      </c>
      <c r="C123" s="35">
        <v>1980</v>
      </c>
      <c r="D123" s="35">
        <v>204</v>
      </c>
      <c r="E123" s="35">
        <v>379431</v>
      </c>
      <c r="F123" s="32">
        <v>3.09</v>
      </c>
      <c r="G123" s="35">
        <v>25140</v>
      </c>
      <c r="H123" s="17">
        <f>Table2[[#This Row],[New_Followers]]-Table2[[#This Row],[Unfollows]]</f>
        <v>1776</v>
      </c>
      <c r="I123" s="36">
        <f>Table2[[#This Row],[Followers gained]]/Table2[[#This Row],[Total_Followers]]</f>
        <v>4.6806929323118035E-3</v>
      </c>
    </row>
    <row r="124" spans="1:9" x14ac:dyDescent="0.3">
      <c r="A124" s="33" t="s">
        <v>604</v>
      </c>
      <c r="B124" s="34" t="s">
        <v>13</v>
      </c>
      <c r="C124" s="35">
        <v>1786</v>
      </c>
      <c r="D124" s="35">
        <v>257</v>
      </c>
      <c r="E124" s="35">
        <v>274831</v>
      </c>
      <c r="F124" s="32">
        <v>4.68</v>
      </c>
      <c r="G124" s="35">
        <v>9118</v>
      </c>
      <c r="H124" s="17">
        <f>Table2[[#This Row],[New_Followers]]-Table2[[#This Row],[Unfollows]]</f>
        <v>1529</v>
      </c>
      <c r="I124" s="36">
        <f>Table2[[#This Row],[Followers gained]]/Table2[[#This Row],[Total_Followers]]</f>
        <v>5.5634189738421064E-3</v>
      </c>
    </row>
    <row r="125" spans="1:9" x14ac:dyDescent="0.3">
      <c r="A125" s="33" t="s">
        <v>604</v>
      </c>
      <c r="B125" s="34" t="s">
        <v>24</v>
      </c>
      <c r="C125" s="35">
        <v>1495</v>
      </c>
      <c r="D125" s="35">
        <v>35</v>
      </c>
      <c r="E125" s="35">
        <v>136845</v>
      </c>
      <c r="F125" s="32">
        <v>4.4800000000000004</v>
      </c>
      <c r="G125" s="35">
        <v>39931</v>
      </c>
      <c r="H125" s="17">
        <f>Table2[[#This Row],[New_Followers]]-Table2[[#This Row],[Unfollows]]</f>
        <v>1460</v>
      </c>
      <c r="I125" s="36">
        <f>Table2[[#This Row],[Followers gained]]/Table2[[#This Row],[Total_Followers]]</f>
        <v>1.0669005078738719E-2</v>
      </c>
    </row>
    <row r="126" spans="1:9" x14ac:dyDescent="0.3">
      <c r="A126" s="33" t="s">
        <v>120</v>
      </c>
      <c r="B126" s="34" t="s">
        <v>30</v>
      </c>
      <c r="C126" s="35">
        <v>1013</v>
      </c>
      <c r="D126" s="35">
        <v>110</v>
      </c>
      <c r="E126" s="35">
        <v>466382</v>
      </c>
      <c r="F126" s="32">
        <v>5.3</v>
      </c>
      <c r="G126" s="35">
        <v>37132</v>
      </c>
      <c r="H126" s="17">
        <f>Table2[[#This Row],[New_Followers]]-Table2[[#This Row],[Unfollows]]</f>
        <v>903</v>
      </c>
      <c r="I126" s="36">
        <f>Table2[[#This Row],[Followers gained]]/Table2[[#This Row],[Total_Followers]]</f>
        <v>1.9361810704529763E-3</v>
      </c>
    </row>
    <row r="127" spans="1:9" x14ac:dyDescent="0.3">
      <c r="A127" s="33" t="s">
        <v>120</v>
      </c>
      <c r="B127" s="34" t="s">
        <v>39</v>
      </c>
      <c r="C127" s="35">
        <v>816</v>
      </c>
      <c r="D127" s="35">
        <v>196</v>
      </c>
      <c r="E127" s="35">
        <v>95728</v>
      </c>
      <c r="F127" s="32">
        <v>8.1999999999999993</v>
      </c>
      <c r="G127" s="35">
        <v>17951</v>
      </c>
      <c r="H127" s="17">
        <f>Table2[[#This Row],[New_Followers]]-Table2[[#This Row],[Unfollows]]</f>
        <v>620</v>
      </c>
      <c r="I127" s="36">
        <f>Table2[[#This Row],[Followers gained]]/Table2[[#This Row],[Total_Followers]]</f>
        <v>6.4766839378238338E-3</v>
      </c>
    </row>
    <row r="128" spans="1:9" x14ac:dyDescent="0.3">
      <c r="A128" s="33" t="s">
        <v>120</v>
      </c>
      <c r="B128" s="34" t="s">
        <v>13</v>
      </c>
      <c r="C128" s="35">
        <v>1633</v>
      </c>
      <c r="D128" s="35">
        <v>445</v>
      </c>
      <c r="E128" s="35">
        <v>371156</v>
      </c>
      <c r="F128" s="32">
        <v>2.2200000000000002</v>
      </c>
      <c r="G128" s="35">
        <v>2798</v>
      </c>
      <c r="H128" s="17">
        <f>Table2[[#This Row],[New_Followers]]-Table2[[#This Row],[Unfollows]]</f>
        <v>1188</v>
      </c>
      <c r="I128" s="36">
        <f>Table2[[#This Row],[Followers gained]]/Table2[[#This Row],[Total_Followers]]</f>
        <v>3.2008104408927781E-3</v>
      </c>
    </row>
    <row r="129" spans="1:9" x14ac:dyDescent="0.3">
      <c r="A129" s="33" t="s">
        <v>120</v>
      </c>
      <c r="B129" s="34" t="s">
        <v>24</v>
      </c>
      <c r="C129" s="35">
        <v>891</v>
      </c>
      <c r="D129" s="35">
        <v>45</v>
      </c>
      <c r="E129" s="35">
        <v>95410</v>
      </c>
      <c r="F129" s="32">
        <v>8.33</v>
      </c>
      <c r="G129" s="35">
        <v>15045</v>
      </c>
      <c r="H129" s="17">
        <f>Table2[[#This Row],[New_Followers]]-Table2[[#This Row],[Unfollows]]</f>
        <v>846</v>
      </c>
      <c r="I129" s="36">
        <f>Table2[[#This Row],[Followers gained]]/Table2[[#This Row],[Total_Followers]]</f>
        <v>8.8669950738916262E-3</v>
      </c>
    </row>
    <row r="130" spans="1:9" x14ac:dyDescent="0.3">
      <c r="A130" s="33" t="s">
        <v>605</v>
      </c>
      <c r="B130" s="34" t="s">
        <v>30</v>
      </c>
      <c r="C130" s="35">
        <v>1855</v>
      </c>
      <c r="D130" s="35">
        <v>133</v>
      </c>
      <c r="E130" s="35">
        <v>349413</v>
      </c>
      <c r="F130" s="32">
        <v>3.3</v>
      </c>
      <c r="G130" s="35">
        <v>14548</v>
      </c>
      <c r="H130" s="17">
        <f>Table2[[#This Row],[New_Followers]]-Table2[[#This Row],[Unfollows]]</f>
        <v>1722</v>
      </c>
      <c r="I130" s="36">
        <f>Table2[[#This Row],[Followers gained]]/Table2[[#This Row],[Total_Followers]]</f>
        <v>4.9282654051223049E-3</v>
      </c>
    </row>
    <row r="131" spans="1:9" x14ac:dyDescent="0.3">
      <c r="A131" s="33" t="s">
        <v>605</v>
      </c>
      <c r="B131" s="34" t="s">
        <v>39</v>
      </c>
      <c r="C131" s="35">
        <v>651</v>
      </c>
      <c r="D131" s="35">
        <v>353</v>
      </c>
      <c r="E131" s="35">
        <v>224699</v>
      </c>
      <c r="F131" s="32">
        <v>5.61</v>
      </c>
      <c r="G131" s="35">
        <v>45708</v>
      </c>
      <c r="H131" s="17">
        <f>Table2[[#This Row],[New_Followers]]-Table2[[#This Row],[Unfollows]]</f>
        <v>298</v>
      </c>
      <c r="I131" s="36">
        <f>Table2[[#This Row],[Followers gained]]/Table2[[#This Row],[Total_Followers]]</f>
        <v>1.3262186302564765E-3</v>
      </c>
    </row>
    <row r="132" spans="1:9" x14ac:dyDescent="0.3">
      <c r="A132" s="33" t="s">
        <v>605</v>
      </c>
      <c r="B132" s="34" t="s">
        <v>13</v>
      </c>
      <c r="C132" s="35">
        <v>118</v>
      </c>
      <c r="D132" s="35">
        <v>262</v>
      </c>
      <c r="E132" s="35">
        <v>487896</v>
      </c>
      <c r="F132" s="32">
        <v>2.56</v>
      </c>
      <c r="G132" s="35">
        <v>12350</v>
      </c>
      <c r="H132" s="17">
        <f>Table2[[#This Row],[New_Followers]]-Table2[[#This Row],[Unfollows]]</f>
        <v>-144</v>
      </c>
      <c r="I132" s="36">
        <f>Table2[[#This Row],[Followers gained]]/Table2[[#This Row],[Total_Followers]]</f>
        <v>-2.9514486693885583E-4</v>
      </c>
    </row>
    <row r="133" spans="1:9" x14ac:dyDescent="0.3">
      <c r="A133" s="33" t="s">
        <v>605</v>
      </c>
      <c r="B133" s="34" t="s">
        <v>24</v>
      </c>
      <c r="C133" s="35">
        <v>1331</v>
      </c>
      <c r="D133" s="35">
        <v>430</v>
      </c>
      <c r="E133" s="35">
        <v>14437</v>
      </c>
      <c r="F133" s="32">
        <v>3.29</v>
      </c>
      <c r="G133" s="35">
        <v>40868</v>
      </c>
      <c r="H133" s="17">
        <f>Table2[[#This Row],[New_Followers]]-Table2[[#This Row],[Unfollows]]</f>
        <v>901</v>
      </c>
      <c r="I133" s="36">
        <f>Table2[[#This Row],[Followers gained]]/Table2[[#This Row],[Total_Followers]]</f>
        <v>6.2409087760615087E-2</v>
      </c>
    </row>
    <row r="134" spans="1:9" x14ac:dyDescent="0.3">
      <c r="A134" s="33" t="s">
        <v>606</v>
      </c>
      <c r="B134" s="34" t="s">
        <v>30</v>
      </c>
      <c r="C134" s="35">
        <v>1748</v>
      </c>
      <c r="D134" s="35">
        <v>176</v>
      </c>
      <c r="E134" s="35">
        <v>383681</v>
      </c>
      <c r="F134" s="32">
        <v>9.24</v>
      </c>
      <c r="G134" s="35">
        <v>43122</v>
      </c>
      <c r="H134" s="17">
        <f>Table2[[#This Row],[New_Followers]]-Table2[[#This Row],[Unfollows]]</f>
        <v>1572</v>
      </c>
      <c r="I134" s="36">
        <f>Table2[[#This Row],[Followers gained]]/Table2[[#This Row],[Total_Followers]]</f>
        <v>4.0971536250166149E-3</v>
      </c>
    </row>
    <row r="135" spans="1:9" x14ac:dyDescent="0.3">
      <c r="A135" s="33" t="s">
        <v>606</v>
      </c>
      <c r="B135" s="34" t="s">
        <v>39</v>
      </c>
      <c r="C135" s="35">
        <v>663</v>
      </c>
      <c r="D135" s="35">
        <v>236</v>
      </c>
      <c r="E135" s="35">
        <v>479490</v>
      </c>
      <c r="F135" s="32">
        <v>4.51</v>
      </c>
      <c r="G135" s="35">
        <v>23853</v>
      </c>
      <c r="H135" s="17">
        <f>Table2[[#This Row],[New_Followers]]-Table2[[#This Row],[Unfollows]]</f>
        <v>427</v>
      </c>
      <c r="I135" s="36">
        <f>Table2[[#This Row],[Followers gained]]/Table2[[#This Row],[Total_Followers]]</f>
        <v>8.9052952094934197E-4</v>
      </c>
    </row>
    <row r="136" spans="1:9" x14ac:dyDescent="0.3">
      <c r="A136" s="33" t="s">
        <v>606</v>
      </c>
      <c r="B136" s="34" t="s">
        <v>13</v>
      </c>
      <c r="C136" s="35">
        <v>1040</v>
      </c>
      <c r="D136" s="35">
        <v>149</v>
      </c>
      <c r="E136" s="35">
        <v>124404</v>
      </c>
      <c r="F136" s="32">
        <v>5.23</v>
      </c>
      <c r="G136" s="35">
        <v>45380</v>
      </c>
      <c r="H136" s="17">
        <f>Table2[[#This Row],[New_Followers]]-Table2[[#This Row],[Unfollows]]</f>
        <v>891</v>
      </c>
      <c r="I136" s="36">
        <f>Table2[[#This Row],[Followers gained]]/Table2[[#This Row],[Total_Followers]]</f>
        <v>7.1621491270377159E-3</v>
      </c>
    </row>
    <row r="137" spans="1:9" x14ac:dyDescent="0.3">
      <c r="A137" s="33" t="s">
        <v>606</v>
      </c>
      <c r="B137" s="34" t="s">
        <v>24</v>
      </c>
      <c r="C137" s="35">
        <v>1166</v>
      </c>
      <c r="D137" s="35">
        <v>442</v>
      </c>
      <c r="E137" s="35">
        <v>336949</v>
      </c>
      <c r="F137" s="32">
        <v>4.68</v>
      </c>
      <c r="G137" s="35">
        <v>7705</v>
      </c>
      <c r="H137" s="17">
        <f>Table2[[#This Row],[New_Followers]]-Table2[[#This Row],[Unfollows]]</f>
        <v>724</v>
      </c>
      <c r="I137" s="36">
        <f>Table2[[#This Row],[Followers gained]]/Table2[[#This Row],[Total_Followers]]</f>
        <v>2.1486931256659019E-3</v>
      </c>
    </row>
    <row r="138" spans="1:9" x14ac:dyDescent="0.3">
      <c r="A138" s="33" t="s">
        <v>216</v>
      </c>
      <c r="B138" s="34" t="s">
        <v>30</v>
      </c>
      <c r="C138" s="35">
        <v>115</v>
      </c>
      <c r="D138" s="35">
        <v>281</v>
      </c>
      <c r="E138" s="35">
        <v>357265</v>
      </c>
      <c r="F138" s="32">
        <v>9.23</v>
      </c>
      <c r="G138" s="35">
        <v>25525</v>
      </c>
      <c r="H138" s="17">
        <f>Table2[[#This Row],[New_Followers]]-Table2[[#This Row],[Unfollows]]</f>
        <v>-166</v>
      </c>
      <c r="I138" s="36">
        <f>Table2[[#This Row],[Followers gained]]/Table2[[#This Row],[Total_Followers]]</f>
        <v>-4.6464109274628077E-4</v>
      </c>
    </row>
    <row r="139" spans="1:9" x14ac:dyDescent="0.3">
      <c r="A139" s="33" t="s">
        <v>216</v>
      </c>
      <c r="B139" s="34" t="s">
        <v>39</v>
      </c>
      <c r="C139" s="35">
        <v>1249</v>
      </c>
      <c r="D139" s="35">
        <v>351</v>
      </c>
      <c r="E139" s="35">
        <v>321307</v>
      </c>
      <c r="F139" s="32">
        <v>6.37</v>
      </c>
      <c r="G139" s="35">
        <v>20560</v>
      </c>
      <c r="H139" s="17">
        <f>Table2[[#This Row],[New_Followers]]-Table2[[#This Row],[Unfollows]]</f>
        <v>898</v>
      </c>
      <c r="I139" s="36">
        <f>Table2[[#This Row],[Followers gained]]/Table2[[#This Row],[Total_Followers]]</f>
        <v>2.7948348464241365E-3</v>
      </c>
    </row>
    <row r="140" spans="1:9" x14ac:dyDescent="0.3">
      <c r="A140" s="33" t="s">
        <v>216</v>
      </c>
      <c r="B140" s="34" t="s">
        <v>13</v>
      </c>
      <c r="C140" s="35">
        <v>1501</v>
      </c>
      <c r="D140" s="35">
        <v>75</v>
      </c>
      <c r="E140" s="35">
        <v>262569</v>
      </c>
      <c r="F140" s="32">
        <v>2.0099999999999998</v>
      </c>
      <c r="G140" s="35">
        <v>19119</v>
      </c>
      <c r="H140" s="17">
        <f>Table2[[#This Row],[New_Followers]]-Table2[[#This Row],[Unfollows]]</f>
        <v>1426</v>
      </c>
      <c r="I140" s="36">
        <f>Table2[[#This Row],[Followers gained]]/Table2[[#This Row],[Total_Followers]]</f>
        <v>5.4309533874905263E-3</v>
      </c>
    </row>
    <row r="141" spans="1:9" x14ac:dyDescent="0.3">
      <c r="A141" s="33" t="s">
        <v>216</v>
      </c>
      <c r="B141" s="34" t="s">
        <v>24</v>
      </c>
      <c r="C141" s="35">
        <v>1411</v>
      </c>
      <c r="D141" s="35">
        <v>186</v>
      </c>
      <c r="E141" s="35">
        <v>461669</v>
      </c>
      <c r="F141" s="32">
        <v>3.72</v>
      </c>
      <c r="G141" s="35">
        <v>43999</v>
      </c>
      <c r="H141" s="17">
        <f>Table2[[#This Row],[New_Followers]]-Table2[[#This Row],[Unfollows]]</f>
        <v>1225</v>
      </c>
      <c r="I141" s="36">
        <f>Table2[[#This Row],[Followers gained]]/Table2[[#This Row],[Total_Followers]]</f>
        <v>2.6534161921203288E-3</v>
      </c>
    </row>
    <row r="142" spans="1:9" x14ac:dyDescent="0.3">
      <c r="A142" s="33" t="s">
        <v>607</v>
      </c>
      <c r="B142" s="34" t="s">
        <v>30</v>
      </c>
      <c r="C142" s="35">
        <v>1556</v>
      </c>
      <c r="D142" s="35">
        <v>476</v>
      </c>
      <c r="E142" s="35">
        <v>351556</v>
      </c>
      <c r="F142" s="32">
        <v>3.89</v>
      </c>
      <c r="G142" s="35">
        <v>10825</v>
      </c>
      <c r="H142" s="17">
        <f>Table2[[#This Row],[New_Followers]]-Table2[[#This Row],[Unfollows]]</f>
        <v>1080</v>
      </c>
      <c r="I142" s="36">
        <f>Table2[[#This Row],[Followers gained]]/Table2[[#This Row],[Total_Followers]]</f>
        <v>3.0720567989168156E-3</v>
      </c>
    </row>
    <row r="143" spans="1:9" x14ac:dyDescent="0.3">
      <c r="A143" s="33" t="s">
        <v>607</v>
      </c>
      <c r="B143" s="34" t="s">
        <v>39</v>
      </c>
      <c r="C143" s="35">
        <v>1159</v>
      </c>
      <c r="D143" s="35">
        <v>411</v>
      </c>
      <c r="E143" s="35">
        <v>135987</v>
      </c>
      <c r="F143" s="32">
        <v>8.6999999999999993</v>
      </c>
      <c r="G143" s="35">
        <v>40323</v>
      </c>
      <c r="H143" s="17">
        <f>Table2[[#This Row],[New_Followers]]-Table2[[#This Row],[Unfollows]]</f>
        <v>748</v>
      </c>
      <c r="I143" s="36">
        <f>Table2[[#This Row],[Followers gained]]/Table2[[#This Row],[Total_Followers]]</f>
        <v>5.5005257855530306E-3</v>
      </c>
    </row>
    <row r="144" spans="1:9" x14ac:dyDescent="0.3">
      <c r="A144" s="33" t="s">
        <v>607</v>
      </c>
      <c r="B144" s="34" t="s">
        <v>13</v>
      </c>
      <c r="C144" s="35">
        <v>927</v>
      </c>
      <c r="D144" s="35">
        <v>358</v>
      </c>
      <c r="E144" s="35">
        <v>177554</v>
      </c>
      <c r="F144" s="32">
        <v>6.95</v>
      </c>
      <c r="G144" s="35">
        <v>48270</v>
      </c>
      <c r="H144" s="17">
        <f>Table2[[#This Row],[New_Followers]]-Table2[[#This Row],[Unfollows]]</f>
        <v>569</v>
      </c>
      <c r="I144" s="36">
        <f>Table2[[#This Row],[Followers gained]]/Table2[[#This Row],[Total_Followers]]</f>
        <v>3.2046588643454949E-3</v>
      </c>
    </row>
    <row r="145" spans="1:9" x14ac:dyDescent="0.3">
      <c r="A145" s="33" t="s">
        <v>607</v>
      </c>
      <c r="B145" s="34" t="s">
        <v>24</v>
      </c>
      <c r="C145" s="35">
        <v>152</v>
      </c>
      <c r="D145" s="35">
        <v>355</v>
      </c>
      <c r="E145" s="35">
        <v>270766</v>
      </c>
      <c r="F145" s="32">
        <v>9.48</v>
      </c>
      <c r="G145" s="35">
        <v>18001</v>
      </c>
      <c r="H145" s="17">
        <f>Table2[[#This Row],[New_Followers]]-Table2[[#This Row],[Unfollows]]</f>
        <v>-203</v>
      </c>
      <c r="I145" s="36">
        <f>Table2[[#This Row],[Followers gained]]/Table2[[#This Row],[Total_Followers]]</f>
        <v>-7.4972485467156139E-4</v>
      </c>
    </row>
    <row r="146" spans="1:9" x14ac:dyDescent="0.3">
      <c r="A146" s="33" t="s">
        <v>241</v>
      </c>
      <c r="B146" s="34" t="s">
        <v>30</v>
      </c>
      <c r="C146" s="35">
        <v>1957</v>
      </c>
      <c r="D146" s="35">
        <v>234</v>
      </c>
      <c r="E146" s="35">
        <v>222126</v>
      </c>
      <c r="F146" s="32">
        <v>4.6100000000000003</v>
      </c>
      <c r="G146" s="35">
        <v>3314</v>
      </c>
      <c r="H146" s="17">
        <f>Table2[[#This Row],[New_Followers]]-Table2[[#This Row],[Unfollows]]</f>
        <v>1723</v>
      </c>
      <c r="I146" s="36">
        <f>Table2[[#This Row],[Followers gained]]/Table2[[#This Row],[Total_Followers]]</f>
        <v>7.7568587198256845E-3</v>
      </c>
    </row>
    <row r="147" spans="1:9" x14ac:dyDescent="0.3">
      <c r="A147" s="33" t="s">
        <v>241</v>
      </c>
      <c r="B147" s="34" t="s">
        <v>39</v>
      </c>
      <c r="C147" s="35">
        <v>1294</v>
      </c>
      <c r="D147" s="35">
        <v>382</v>
      </c>
      <c r="E147" s="35">
        <v>309914</v>
      </c>
      <c r="F147" s="32">
        <v>8.0299999999999994</v>
      </c>
      <c r="G147" s="35">
        <v>23489</v>
      </c>
      <c r="H147" s="17">
        <f>Table2[[#This Row],[New_Followers]]-Table2[[#This Row],[Unfollows]]</f>
        <v>912</v>
      </c>
      <c r="I147" s="36">
        <f>Table2[[#This Row],[Followers gained]]/Table2[[#This Row],[Total_Followers]]</f>
        <v>2.9427518601934728E-3</v>
      </c>
    </row>
    <row r="148" spans="1:9" x14ac:dyDescent="0.3">
      <c r="A148" s="33" t="s">
        <v>241</v>
      </c>
      <c r="B148" s="34" t="s">
        <v>13</v>
      </c>
      <c r="C148" s="35">
        <v>1587</v>
      </c>
      <c r="D148" s="35">
        <v>385</v>
      </c>
      <c r="E148" s="35">
        <v>126582</v>
      </c>
      <c r="F148" s="32">
        <v>6.99</v>
      </c>
      <c r="G148" s="35">
        <v>42832</v>
      </c>
      <c r="H148" s="17">
        <f>Table2[[#This Row],[New_Followers]]-Table2[[#This Row],[Unfollows]]</f>
        <v>1202</v>
      </c>
      <c r="I148" s="36">
        <f>Table2[[#This Row],[Followers gained]]/Table2[[#This Row],[Total_Followers]]</f>
        <v>9.4958208908059605E-3</v>
      </c>
    </row>
    <row r="149" spans="1:9" x14ac:dyDescent="0.3">
      <c r="A149" s="33" t="s">
        <v>241</v>
      </c>
      <c r="B149" s="34" t="s">
        <v>24</v>
      </c>
      <c r="C149" s="35">
        <v>1707</v>
      </c>
      <c r="D149" s="35">
        <v>263</v>
      </c>
      <c r="E149" s="35">
        <v>485280</v>
      </c>
      <c r="F149" s="32">
        <v>9.0299999999999994</v>
      </c>
      <c r="G149" s="35">
        <v>24494</v>
      </c>
      <c r="H149" s="17">
        <f>Table2[[#This Row],[New_Followers]]-Table2[[#This Row],[Unfollows]]</f>
        <v>1444</v>
      </c>
      <c r="I149" s="36">
        <f>Table2[[#This Row],[Followers gained]]/Table2[[#This Row],[Total_Followers]]</f>
        <v>2.9756017144741179E-3</v>
      </c>
    </row>
    <row r="150" spans="1:9" x14ac:dyDescent="0.3">
      <c r="A150" s="33" t="s">
        <v>122</v>
      </c>
      <c r="B150" s="34" t="s">
        <v>30</v>
      </c>
      <c r="C150" s="35">
        <v>1138</v>
      </c>
      <c r="D150" s="35">
        <v>173</v>
      </c>
      <c r="E150" s="35">
        <v>453243</v>
      </c>
      <c r="F150" s="32">
        <v>2.86</v>
      </c>
      <c r="G150" s="35">
        <v>44097</v>
      </c>
      <c r="H150" s="17">
        <f>Table2[[#This Row],[New_Followers]]-Table2[[#This Row],[Unfollows]]</f>
        <v>965</v>
      </c>
      <c r="I150" s="36">
        <f>Table2[[#This Row],[Followers gained]]/Table2[[#This Row],[Total_Followers]]</f>
        <v>2.1291007252180398E-3</v>
      </c>
    </row>
    <row r="151" spans="1:9" x14ac:dyDescent="0.3">
      <c r="A151" s="33" t="s">
        <v>122</v>
      </c>
      <c r="B151" s="34" t="s">
        <v>39</v>
      </c>
      <c r="C151" s="35">
        <v>1895</v>
      </c>
      <c r="D151" s="35">
        <v>305</v>
      </c>
      <c r="E151" s="35">
        <v>104967</v>
      </c>
      <c r="F151" s="32">
        <v>3.85</v>
      </c>
      <c r="G151" s="35">
        <v>31853</v>
      </c>
      <c r="H151" s="17">
        <f>Table2[[#This Row],[New_Followers]]-Table2[[#This Row],[Unfollows]]</f>
        <v>1590</v>
      </c>
      <c r="I151" s="36">
        <f>Table2[[#This Row],[Followers gained]]/Table2[[#This Row],[Total_Followers]]</f>
        <v>1.5147617822744291E-2</v>
      </c>
    </row>
    <row r="152" spans="1:9" x14ac:dyDescent="0.3">
      <c r="A152" s="33" t="s">
        <v>122</v>
      </c>
      <c r="B152" s="34" t="s">
        <v>13</v>
      </c>
      <c r="C152" s="35">
        <v>362</v>
      </c>
      <c r="D152" s="35">
        <v>399</v>
      </c>
      <c r="E152" s="35">
        <v>145608</v>
      </c>
      <c r="F152" s="32">
        <v>7.3</v>
      </c>
      <c r="G152" s="35">
        <v>37636</v>
      </c>
      <c r="H152" s="17">
        <f>Table2[[#This Row],[New_Followers]]-Table2[[#This Row],[Unfollows]]</f>
        <v>-37</v>
      </c>
      <c r="I152" s="36">
        <f>Table2[[#This Row],[Followers gained]]/Table2[[#This Row],[Total_Followers]]</f>
        <v>-2.5410691720235154E-4</v>
      </c>
    </row>
    <row r="153" spans="1:9" x14ac:dyDescent="0.3">
      <c r="A153" s="33" t="s">
        <v>122</v>
      </c>
      <c r="B153" s="34" t="s">
        <v>24</v>
      </c>
      <c r="C153" s="35">
        <v>1662</v>
      </c>
      <c r="D153" s="35">
        <v>487</v>
      </c>
      <c r="E153" s="35">
        <v>105980</v>
      </c>
      <c r="F153" s="32">
        <v>9.08</v>
      </c>
      <c r="G153" s="35">
        <v>22996</v>
      </c>
      <c r="H153" s="17">
        <f>Table2[[#This Row],[New_Followers]]-Table2[[#This Row],[Unfollows]]</f>
        <v>1175</v>
      </c>
      <c r="I153" s="36">
        <f>Table2[[#This Row],[Followers gained]]/Table2[[#This Row],[Total_Followers]]</f>
        <v>1.1086997546706926E-2</v>
      </c>
    </row>
    <row r="154" spans="1:9" x14ac:dyDescent="0.3">
      <c r="A154" s="33" t="s">
        <v>142</v>
      </c>
      <c r="B154" s="34" t="s">
        <v>30</v>
      </c>
      <c r="C154" s="35">
        <v>1440</v>
      </c>
      <c r="D154" s="35">
        <v>65</v>
      </c>
      <c r="E154" s="35">
        <v>126524</v>
      </c>
      <c r="F154" s="32">
        <v>4.34</v>
      </c>
      <c r="G154" s="35">
        <v>49772</v>
      </c>
      <c r="H154" s="17">
        <f>Table2[[#This Row],[New_Followers]]-Table2[[#This Row],[Unfollows]]</f>
        <v>1375</v>
      </c>
      <c r="I154" s="36">
        <f>Table2[[#This Row],[Followers gained]]/Table2[[#This Row],[Total_Followers]]</f>
        <v>1.0867503398564699E-2</v>
      </c>
    </row>
    <row r="155" spans="1:9" x14ac:dyDescent="0.3">
      <c r="A155" s="33" t="s">
        <v>142</v>
      </c>
      <c r="B155" s="34" t="s">
        <v>39</v>
      </c>
      <c r="C155" s="35">
        <v>1884</v>
      </c>
      <c r="D155" s="35">
        <v>177</v>
      </c>
      <c r="E155" s="35">
        <v>230448</v>
      </c>
      <c r="F155" s="32">
        <v>7.8</v>
      </c>
      <c r="G155" s="35">
        <v>22713</v>
      </c>
      <c r="H155" s="17">
        <f>Table2[[#This Row],[New_Followers]]-Table2[[#This Row],[Unfollows]]</f>
        <v>1707</v>
      </c>
      <c r="I155" s="36">
        <f>Table2[[#This Row],[Followers gained]]/Table2[[#This Row],[Total_Followers]]</f>
        <v>7.4073109768798169E-3</v>
      </c>
    </row>
    <row r="156" spans="1:9" x14ac:dyDescent="0.3">
      <c r="A156" s="33" t="s">
        <v>142</v>
      </c>
      <c r="B156" s="34" t="s">
        <v>13</v>
      </c>
      <c r="C156" s="35">
        <v>861</v>
      </c>
      <c r="D156" s="35">
        <v>153</v>
      </c>
      <c r="E156" s="35">
        <v>317007</v>
      </c>
      <c r="F156" s="32">
        <v>3.85</v>
      </c>
      <c r="G156" s="35">
        <v>8718</v>
      </c>
      <c r="H156" s="17">
        <f>Table2[[#This Row],[New_Followers]]-Table2[[#This Row],[Unfollows]]</f>
        <v>708</v>
      </c>
      <c r="I156" s="36">
        <f>Table2[[#This Row],[Followers gained]]/Table2[[#This Row],[Total_Followers]]</f>
        <v>2.2333891680625349E-3</v>
      </c>
    </row>
    <row r="157" spans="1:9" x14ac:dyDescent="0.3">
      <c r="A157" s="33" t="s">
        <v>142</v>
      </c>
      <c r="B157" s="34" t="s">
        <v>24</v>
      </c>
      <c r="C157" s="35">
        <v>1063</v>
      </c>
      <c r="D157" s="35">
        <v>47</v>
      </c>
      <c r="E157" s="35">
        <v>464239</v>
      </c>
      <c r="F157" s="32">
        <v>6.58</v>
      </c>
      <c r="G157" s="35">
        <v>39031</v>
      </c>
      <c r="H157" s="17">
        <f>Table2[[#This Row],[New_Followers]]-Table2[[#This Row],[Unfollows]]</f>
        <v>1016</v>
      </c>
      <c r="I157" s="36">
        <f>Table2[[#This Row],[Followers gained]]/Table2[[#This Row],[Total_Followers]]</f>
        <v>2.1885278918832756E-3</v>
      </c>
    </row>
    <row r="158" spans="1:9" x14ac:dyDescent="0.3">
      <c r="A158" s="33" t="s">
        <v>190</v>
      </c>
      <c r="B158" s="34" t="s">
        <v>30</v>
      </c>
      <c r="C158" s="35">
        <v>1371</v>
      </c>
      <c r="D158" s="35">
        <v>56</v>
      </c>
      <c r="E158" s="35">
        <v>257579</v>
      </c>
      <c r="F158" s="32">
        <v>8.6199999999999992</v>
      </c>
      <c r="G158" s="35">
        <v>33799</v>
      </c>
      <c r="H158" s="17">
        <f>Table2[[#This Row],[New_Followers]]-Table2[[#This Row],[Unfollows]]</f>
        <v>1315</v>
      </c>
      <c r="I158" s="36">
        <f>Table2[[#This Row],[Followers gained]]/Table2[[#This Row],[Total_Followers]]</f>
        <v>5.1052298518124532E-3</v>
      </c>
    </row>
    <row r="159" spans="1:9" x14ac:dyDescent="0.3">
      <c r="A159" s="33" t="s">
        <v>190</v>
      </c>
      <c r="B159" s="34" t="s">
        <v>39</v>
      </c>
      <c r="C159" s="35">
        <v>345</v>
      </c>
      <c r="D159" s="35">
        <v>464</v>
      </c>
      <c r="E159" s="35">
        <v>366881</v>
      </c>
      <c r="F159" s="32">
        <v>4.55</v>
      </c>
      <c r="G159" s="35">
        <v>20553</v>
      </c>
      <c r="H159" s="17">
        <f>Table2[[#This Row],[New_Followers]]-Table2[[#This Row],[Unfollows]]</f>
        <v>-119</v>
      </c>
      <c r="I159" s="36">
        <f>Table2[[#This Row],[Followers gained]]/Table2[[#This Row],[Total_Followers]]</f>
        <v>-3.2435585380545735E-4</v>
      </c>
    </row>
    <row r="160" spans="1:9" x14ac:dyDescent="0.3">
      <c r="A160" s="33" t="s">
        <v>190</v>
      </c>
      <c r="B160" s="34" t="s">
        <v>13</v>
      </c>
      <c r="C160" s="35">
        <v>946</v>
      </c>
      <c r="D160" s="35">
        <v>47</v>
      </c>
      <c r="E160" s="35">
        <v>466575</v>
      </c>
      <c r="F160" s="32">
        <v>8.33</v>
      </c>
      <c r="G160" s="35">
        <v>10002</v>
      </c>
      <c r="H160" s="17">
        <f>Table2[[#This Row],[New_Followers]]-Table2[[#This Row],[Unfollows]]</f>
        <v>899</v>
      </c>
      <c r="I160" s="36">
        <f>Table2[[#This Row],[Followers gained]]/Table2[[#This Row],[Total_Followers]]</f>
        <v>1.9268070513850934E-3</v>
      </c>
    </row>
    <row r="161" spans="1:9" x14ac:dyDescent="0.3">
      <c r="A161" s="33" t="s">
        <v>190</v>
      </c>
      <c r="B161" s="34" t="s">
        <v>24</v>
      </c>
      <c r="C161" s="35">
        <v>510</v>
      </c>
      <c r="D161" s="35">
        <v>195</v>
      </c>
      <c r="E161" s="35">
        <v>224534</v>
      </c>
      <c r="F161" s="32">
        <v>9.4</v>
      </c>
      <c r="G161" s="35">
        <v>30987</v>
      </c>
      <c r="H161" s="17">
        <f>Table2[[#This Row],[New_Followers]]-Table2[[#This Row],[Unfollows]]</f>
        <v>315</v>
      </c>
      <c r="I161" s="36">
        <f>Table2[[#This Row],[Followers gained]]/Table2[[#This Row],[Total_Followers]]</f>
        <v>1.4029055733207443E-3</v>
      </c>
    </row>
    <row r="162" spans="1:9" x14ac:dyDescent="0.3">
      <c r="A162" s="33" t="s">
        <v>608</v>
      </c>
      <c r="B162" s="34" t="s">
        <v>30</v>
      </c>
      <c r="C162" s="35">
        <v>393</v>
      </c>
      <c r="D162" s="35">
        <v>181</v>
      </c>
      <c r="E162" s="35">
        <v>462142</v>
      </c>
      <c r="F162" s="32">
        <v>7.23</v>
      </c>
      <c r="G162" s="35">
        <v>6296</v>
      </c>
      <c r="H162" s="17">
        <f>Table2[[#This Row],[New_Followers]]-Table2[[#This Row],[Unfollows]]</f>
        <v>212</v>
      </c>
      <c r="I162" s="36">
        <f>Table2[[#This Row],[Followers gained]]/Table2[[#This Row],[Total_Followers]]</f>
        <v>4.5873346287504706E-4</v>
      </c>
    </row>
    <row r="163" spans="1:9" x14ac:dyDescent="0.3">
      <c r="A163" s="33" t="s">
        <v>608</v>
      </c>
      <c r="B163" s="34" t="s">
        <v>39</v>
      </c>
      <c r="C163" s="35">
        <v>1098</v>
      </c>
      <c r="D163" s="35">
        <v>190</v>
      </c>
      <c r="E163" s="35">
        <v>340842</v>
      </c>
      <c r="F163" s="32">
        <v>9.39</v>
      </c>
      <c r="G163" s="35">
        <v>21539</v>
      </c>
      <c r="H163" s="17">
        <f>Table2[[#This Row],[New_Followers]]-Table2[[#This Row],[Unfollows]]</f>
        <v>908</v>
      </c>
      <c r="I163" s="36">
        <f>Table2[[#This Row],[Followers gained]]/Table2[[#This Row],[Total_Followers]]</f>
        <v>2.6639909400836752E-3</v>
      </c>
    </row>
    <row r="164" spans="1:9" x14ac:dyDescent="0.3">
      <c r="A164" s="33" t="s">
        <v>608</v>
      </c>
      <c r="B164" s="34" t="s">
        <v>13</v>
      </c>
      <c r="C164" s="35">
        <v>1399</v>
      </c>
      <c r="D164" s="35">
        <v>49</v>
      </c>
      <c r="E164" s="35">
        <v>12471</v>
      </c>
      <c r="F164" s="32">
        <v>5.12</v>
      </c>
      <c r="G164" s="35">
        <v>14722</v>
      </c>
      <c r="H164" s="17">
        <f>Table2[[#This Row],[New_Followers]]-Table2[[#This Row],[Unfollows]]</f>
        <v>1350</v>
      </c>
      <c r="I164" s="36">
        <f>Table2[[#This Row],[Followers gained]]/Table2[[#This Row],[Total_Followers]]</f>
        <v>0.10825114265095021</v>
      </c>
    </row>
    <row r="165" spans="1:9" x14ac:dyDescent="0.3">
      <c r="A165" s="33" t="s">
        <v>608</v>
      </c>
      <c r="B165" s="34" t="s">
        <v>24</v>
      </c>
      <c r="C165" s="35">
        <v>1658</v>
      </c>
      <c r="D165" s="35">
        <v>416</v>
      </c>
      <c r="E165" s="35">
        <v>98397</v>
      </c>
      <c r="F165" s="32">
        <v>6.11</v>
      </c>
      <c r="G165" s="35">
        <v>11383</v>
      </c>
      <c r="H165" s="17">
        <f>Table2[[#This Row],[New_Followers]]-Table2[[#This Row],[Unfollows]]</f>
        <v>1242</v>
      </c>
      <c r="I165" s="36">
        <f>Table2[[#This Row],[Followers gained]]/Table2[[#This Row],[Total_Followers]]</f>
        <v>1.2622336046830695E-2</v>
      </c>
    </row>
    <row r="166" spans="1:9" x14ac:dyDescent="0.3">
      <c r="A166" s="33" t="s">
        <v>609</v>
      </c>
      <c r="B166" s="34" t="s">
        <v>30</v>
      </c>
      <c r="C166" s="35">
        <v>1102</v>
      </c>
      <c r="D166" s="35">
        <v>422</v>
      </c>
      <c r="E166" s="35">
        <v>410330</v>
      </c>
      <c r="F166" s="32">
        <v>7.74</v>
      </c>
      <c r="G166" s="35">
        <v>9480</v>
      </c>
      <c r="H166" s="17">
        <f>Table2[[#This Row],[New_Followers]]-Table2[[#This Row],[Unfollows]]</f>
        <v>680</v>
      </c>
      <c r="I166" s="36">
        <f>Table2[[#This Row],[Followers gained]]/Table2[[#This Row],[Total_Followers]]</f>
        <v>1.6572027392586454E-3</v>
      </c>
    </row>
    <row r="167" spans="1:9" x14ac:dyDescent="0.3">
      <c r="A167" s="33" t="s">
        <v>609</v>
      </c>
      <c r="B167" s="34" t="s">
        <v>39</v>
      </c>
      <c r="C167" s="35">
        <v>1358</v>
      </c>
      <c r="D167" s="35">
        <v>242</v>
      </c>
      <c r="E167" s="35">
        <v>342129</v>
      </c>
      <c r="F167" s="32">
        <v>4.9400000000000004</v>
      </c>
      <c r="G167" s="35">
        <v>29116</v>
      </c>
      <c r="H167" s="17">
        <f>Table2[[#This Row],[New_Followers]]-Table2[[#This Row],[Unfollows]]</f>
        <v>1116</v>
      </c>
      <c r="I167" s="36">
        <f>Table2[[#This Row],[Followers gained]]/Table2[[#This Row],[Total_Followers]]</f>
        <v>3.2619275185675578E-3</v>
      </c>
    </row>
    <row r="168" spans="1:9" x14ac:dyDescent="0.3">
      <c r="A168" s="33" t="s">
        <v>609</v>
      </c>
      <c r="B168" s="34" t="s">
        <v>13</v>
      </c>
      <c r="C168" s="35">
        <v>1077</v>
      </c>
      <c r="D168" s="35">
        <v>216</v>
      </c>
      <c r="E168" s="35">
        <v>12447</v>
      </c>
      <c r="F168" s="32">
        <v>1.8</v>
      </c>
      <c r="G168" s="35">
        <v>14068</v>
      </c>
      <c r="H168" s="17">
        <f>Table2[[#This Row],[New_Followers]]-Table2[[#This Row],[Unfollows]]</f>
        <v>861</v>
      </c>
      <c r="I168" s="36">
        <f>Table2[[#This Row],[Followers gained]]/Table2[[#This Row],[Total_Followers]]</f>
        <v>6.9173294769824048E-2</v>
      </c>
    </row>
    <row r="169" spans="1:9" x14ac:dyDescent="0.3">
      <c r="A169" s="33" t="s">
        <v>609</v>
      </c>
      <c r="B169" s="34" t="s">
        <v>24</v>
      </c>
      <c r="C169" s="35">
        <v>1596</v>
      </c>
      <c r="D169" s="35">
        <v>211</v>
      </c>
      <c r="E169" s="35">
        <v>17380</v>
      </c>
      <c r="F169" s="32">
        <v>8.64</v>
      </c>
      <c r="G169" s="35">
        <v>35801</v>
      </c>
      <c r="H169" s="17">
        <f>Table2[[#This Row],[New_Followers]]-Table2[[#This Row],[Unfollows]]</f>
        <v>1385</v>
      </c>
      <c r="I169" s="36">
        <f>Table2[[#This Row],[Followers gained]]/Table2[[#This Row],[Total_Followers]]</f>
        <v>7.9689298043728429E-2</v>
      </c>
    </row>
    <row r="170" spans="1:9" x14ac:dyDescent="0.3">
      <c r="A170" s="33" t="s">
        <v>226</v>
      </c>
      <c r="B170" s="34" t="s">
        <v>30</v>
      </c>
      <c r="C170" s="35">
        <v>490</v>
      </c>
      <c r="D170" s="35">
        <v>29</v>
      </c>
      <c r="E170" s="35">
        <v>364810</v>
      </c>
      <c r="F170" s="32">
        <v>1.53</v>
      </c>
      <c r="G170" s="35">
        <v>49077</v>
      </c>
      <c r="H170" s="17">
        <f>Table2[[#This Row],[New_Followers]]-Table2[[#This Row],[Unfollows]]</f>
        <v>461</v>
      </c>
      <c r="I170" s="36">
        <f>Table2[[#This Row],[Followers gained]]/Table2[[#This Row],[Total_Followers]]</f>
        <v>1.2636715002329981E-3</v>
      </c>
    </row>
    <row r="171" spans="1:9" x14ac:dyDescent="0.3">
      <c r="A171" s="33" t="s">
        <v>226</v>
      </c>
      <c r="B171" s="34" t="s">
        <v>39</v>
      </c>
      <c r="C171" s="35">
        <v>609</v>
      </c>
      <c r="D171" s="35">
        <v>135</v>
      </c>
      <c r="E171" s="35">
        <v>373606</v>
      </c>
      <c r="F171" s="32">
        <v>8.52</v>
      </c>
      <c r="G171" s="35">
        <v>21453</v>
      </c>
      <c r="H171" s="17">
        <f>Table2[[#This Row],[New_Followers]]-Table2[[#This Row],[Unfollows]]</f>
        <v>474</v>
      </c>
      <c r="I171" s="36">
        <f>Table2[[#This Row],[Followers gained]]/Table2[[#This Row],[Total_Followers]]</f>
        <v>1.268716241173857E-3</v>
      </c>
    </row>
    <row r="172" spans="1:9" x14ac:dyDescent="0.3">
      <c r="A172" s="33" t="s">
        <v>226</v>
      </c>
      <c r="B172" s="34" t="s">
        <v>13</v>
      </c>
      <c r="C172" s="35">
        <v>364</v>
      </c>
      <c r="D172" s="35">
        <v>72</v>
      </c>
      <c r="E172" s="35">
        <v>211090</v>
      </c>
      <c r="F172" s="32">
        <v>5.53</v>
      </c>
      <c r="G172" s="35">
        <v>21061</v>
      </c>
      <c r="H172" s="17">
        <f>Table2[[#This Row],[New_Followers]]-Table2[[#This Row],[Unfollows]]</f>
        <v>292</v>
      </c>
      <c r="I172" s="36">
        <f>Table2[[#This Row],[Followers gained]]/Table2[[#This Row],[Total_Followers]]</f>
        <v>1.3832962243592781E-3</v>
      </c>
    </row>
    <row r="173" spans="1:9" x14ac:dyDescent="0.3">
      <c r="A173" s="33" t="s">
        <v>226</v>
      </c>
      <c r="B173" s="34" t="s">
        <v>24</v>
      </c>
      <c r="C173" s="35">
        <v>442</v>
      </c>
      <c r="D173" s="35">
        <v>53</v>
      </c>
      <c r="E173" s="35">
        <v>441931</v>
      </c>
      <c r="F173" s="32">
        <v>1.87</v>
      </c>
      <c r="G173" s="35">
        <v>20059</v>
      </c>
      <c r="H173" s="17">
        <f>Table2[[#This Row],[New_Followers]]-Table2[[#This Row],[Unfollows]]</f>
        <v>389</v>
      </c>
      <c r="I173" s="36">
        <f>Table2[[#This Row],[Followers gained]]/Table2[[#This Row],[Total_Followers]]</f>
        <v>8.8022790888170322E-4</v>
      </c>
    </row>
    <row r="174" spans="1:9" x14ac:dyDescent="0.3">
      <c r="A174" s="33" t="s">
        <v>610</v>
      </c>
      <c r="B174" s="34" t="s">
        <v>30</v>
      </c>
      <c r="C174" s="35">
        <v>1033</v>
      </c>
      <c r="D174" s="35">
        <v>392</v>
      </c>
      <c r="E174" s="35">
        <v>282780</v>
      </c>
      <c r="F174" s="32">
        <v>6.27</v>
      </c>
      <c r="G174" s="35">
        <v>23140</v>
      </c>
      <c r="H174" s="17">
        <f>Table2[[#This Row],[New_Followers]]-Table2[[#This Row],[Unfollows]]</f>
        <v>641</v>
      </c>
      <c r="I174" s="36">
        <f>Table2[[#This Row],[Followers gained]]/Table2[[#This Row],[Total_Followers]]</f>
        <v>2.2667798288422093E-3</v>
      </c>
    </row>
    <row r="175" spans="1:9" x14ac:dyDescent="0.3">
      <c r="A175" s="33" t="s">
        <v>610</v>
      </c>
      <c r="B175" s="34" t="s">
        <v>39</v>
      </c>
      <c r="C175" s="35">
        <v>988</v>
      </c>
      <c r="D175" s="35">
        <v>474</v>
      </c>
      <c r="E175" s="35">
        <v>370070</v>
      </c>
      <c r="F175" s="32">
        <v>9.4600000000000009</v>
      </c>
      <c r="G175" s="35">
        <v>23461</v>
      </c>
      <c r="H175" s="17">
        <f>Table2[[#This Row],[New_Followers]]-Table2[[#This Row],[Unfollows]]</f>
        <v>514</v>
      </c>
      <c r="I175" s="36">
        <f>Table2[[#This Row],[Followers gained]]/Table2[[#This Row],[Total_Followers]]</f>
        <v>1.3889264193260734E-3</v>
      </c>
    </row>
    <row r="176" spans="1:9" x14ac:dyDescent="0.3">
      <c r="A176" s="33" t="s">
        <v>610</v>
      </c>
      <c r="B176" s="34" t="s">
        <v>13</v>
      </c>
      <c r="C176" s="35">
        <v>1946</v>
      </c>
      <c r="D176" s="35">
        <v>270</v>
      </c>
      <c r="E176" s="35">
        <v>198350</v>
      </c>
      <c r="F176" s="32">
        <v>7.5</v>
      </c>
      <c r="G176" s="35">
        <v>11805</v>
      </c>
      <c r="H176" s="17">
        <f>Table2[[#This Row],[New_Followers]]-Table2[[#This Row],[Unfollows]]</f>
        <v>1676</v>
      </c>
      <c r="I176" s="36">
        <f>Table2[[#This Row],[Followers gained]]/Table2[[#This Row],[Total_Followers]]</f>
        <v>8.4497101083942528E-3</v>
      </c>
    </row>
    <row r="177" spans="1:9" x14ac:dyDescent="0.3">
      <c r="A177" s="33" t="s">
        <v>610</v>
      </c>
      <c r="B177" s="34" t="s">
        <v>24</v>
      </c>
      <c r="C177" s="35">
        <v>1957</v>
      </c>
      <c r="D177" s="35">
        <v>490</v>
      </c>
      <c r="E177" s="35">
        <v>435726</v>
      </c>
      <c r="F177" s="32">
        <v>4.7300000000000004</v>
      </c>
      <c r="G177" s="35">
        <v>15969</v>
      </c>
      <c r="H177" s="17">
        <f>Table2[[#This Row],[New_Followers]]-Table2[[#This Row],[Unfollows]]</f>
        <v>1467</v>
      </c>
      <c r="I177" s="36">
        <f>Table2[[#This Row],[Followers gained]]/Table2[[#This Row],[Total_Followers]]</f>
        <v>3.3667947287974553E-3</v>
      </c>
    </row>
    <row r="178" spans="1:9" x14ac:dyDescent="0.3">
      <c r="A178" s="33" t="s">
        <v>402</v>
      </c>
      <c r="B178" s="34" t="s">
        <v>30</v>
      </c>
      <c r="C178" s="35">
        <v>559</v>
      </c>
      <c r="D178" s="35">
        <v>392</v>
      </c>
      <c r="E178" s="35">
        <v>78789</v>
      </c>
      <c r="F178" s="32">
        <v>3.19</v>
      </c>
      <c r="G178" s="35">
        <v>2436</v>
      </c>
      <c r="H178" s="17">
        <f>Table2[[#This Row],[New_Followers]]-Table2[[#This Row],[Unfollows]]</f>
        <v>167</v>
      </c>
      <c r="I178" s="36">
        <f>Table2[[#This Row],[Followers gained]]/Table2[[#This Row],[Total_Followers]]</f>
        <v>2.1195852212872357E-3</v>
      </c>
    </row>
    <row r="179" spans="1:9" x14ac:dyDescent="0.3">
      <c r="A179" s="33" t="s">
        <v>402</v>
      </c>
      <c r="B179" s="34" t="s">
        <v>39</v>
      </c>
      <c r="C179" s="35">
        <v>1307</v>
      </c>
      <c r="D179" s="35">
        <v>278</v>
      </c>
      <c r="E179" s="35">
        <v>98596</v>
      </c>
      <c r="F179" s="32">
        <v>2.4900000000000002</v>
      </c>
      <c r="G179" s="35">
        <v>47603</v>
      </c>
      <c r="H179" s="17">
        <f>Table2[[#This Row],[New_Followers]]-Table2[[#This Row],[Unfollows]]</f>
        <v>1029</v>
      </c>
      <c r="I179" s="36">
        <f>Table2[[#This Row],[Followers gained]]/Table2[[#This Row],[Total_Followers]]</f>
        <v>1.0436528865268368E-2</v>
      </c>
    </row>
    <row r="180" spans="1:9" x14ac:dyDescent="0.3">
      <c r="A180" s="33" t="s">
        <v>402</v>
      </c>
      <c r="B180" s="34" t="s">
        <v>13</v>
      </c>
      <c r="C180" s="35">
        <v>1432</v>
      </c>
      <c r="D180" s="35">
        <v>425</v>
      </c>
      <c r="E180" s="35">
        <v>29589</v>
      </c>
      <c r="F180" s="32">
        <v>4.5</v>
      </c>
      <c r="G180" s="35">
        <v>42964</v>
      </c>
      <c r="H180" s="17">
        <f>Table2[[#This Row],[New_Followers]]-Table2[[#This Row],[Unfollows]]</f>
        <v>1007</v>
      </c>
      <c r="I180" s="36">
        <f>Table2[[#This Row],[Followers gained]]/Table2[[#This Row],[Total_Followers]]</f>
        <v>3.4032917638311531E-2</v>
      </c>
    </row>
    <row r="181" spans="1:9" x14ac:dyDescent="0.3">
      <c r="A181" s="33" t="s">
        <v>402</v>
      </c>
      <c r="B181" s="34" t="s">
        <v>24</v>
      </c>
      <c r="C181" s="35">
        <v>623</v>
      </c>
      <c r="D181" s="35">
        <v>414</v>
      </c>
      <c r="E181" s="35">
        <v>290354</v>
      </c>
      <c r="F181" s="32">
        <v>6.49</v>
      </c>
      <c r="G181" s="35">
        <v>39923</v>
      </c>
      <c r="H181" s="17">
        <f>Table2[[#This Row],[New_Followers]]-Table2[[#This Row],[Unfollows]]</f>
        <v>209</v>
      </c>
      <c r="I181" s="36">
        <f>Table2[[#This Row],[Followers gained]]/Table2[[#This Row],[Total_Followers]]</f>
        <v>7.1981098934404211E-4</v>
      </c>
    </row>
    <row r="182" spans="1:9" x14ac:dyDescent="0.3">
      <c r="A182" s="33" t="s">
        <v>611</v>
      </c>
      <c r="B182" s="34" t="s">
        <v>30</v>
      </c>
      <c r="C182" s="35">
        <v>198</v>
      </c>
      <c r="D182" s="35">
        <v>358</v>
      </c>
      <c r="E182" s="35">
        <v>66682</v>
      </c>
      <c r="F182" s="32">
        <v>6.73</v>
      </c>
      <c r="G182" s="35">
        <v>2293</v>
      </c>
      <c r="H182" s="17">
        <f>Table2[[#This Row],[New_Followers]]-Table2[[#This Row],[Unfollows]]</f>
        <v>-160</v>
      </c>
      <c r="I182" s="36">
        <f>Table2[[#This Row],[Followers gained]]/Table2[[#This Row],[Total_Followers]]</f>
        <v>-2.3994481269308059E-3</v>
      </c>
    </row>
    <row r="183" spans="1:9" x14ac:dyDescent="0.3">
      <c r="A183" s="33" t="s">
        <v>611</v>
      </c>
      <c r="B183" s="34" t="s">
        <v>39</v>
      </c>
      <c r="C183" s="35">
        <v>198</v>
      </c>
      <c r="D183" s="35">
        <v>373</v>
      </c>
      <c r="E183" s="35">
        <v>70707</v>
      </c>
      <c r="F183" s="32">
        <v>4.83</v>
      </c>
      <c r="G183" s="35">
        <v>25920</v>
      </c>
      <c r="H183" s="17">
        <f>Table2[[#This Row],[New_Followers]]-Table2[[#This Row],[Unfollows]]</f>
        <v>-175</v>
      </c>
      <c r="I183" s="36">
        <f>Table2[[#This Row],[Followers gained]]/Table2[[#This Row],[Total_Followers]]</f>
        <v>-2.4750024750024749E-3</v>
      </c>
    </row>
    <row r="184" spans="1:9" x14ac:dyDescent="0.3">
      <c r="A184" s="33" t="s">
        <v>611</v>
      </c>
      <c r="B184" s="34" t="s">
        <v>13</v>
      </c>
      <c r="C184" s="35">
        <v>353</v>
      </c>
      <c r="D184" s="35">
        <v>300</v>
      </c>
      <c r="E184" s="35">
        <v>142507</v>
      </c>
      <c r="F184" s="32">
        <v>5.3</v>
      </c>
      <c r="G184" s="35">
        <v>11035</v>
      </c>
      <c r="H184" s="17">
        <f>Table2[[#This Row],[New_Followers]]-Table2[[#This Row],[Unfollows]]</f>
        <v>53</v>
      </c>
      <c r="I184" s="36">
        <f>Table2[[#This Row],[Followers gained]]/Table2[[#This Row],[Total_Followers]]</f>
        <v>3.7191155522184875E-4</v>
      </c>
    </row>
    <row r="185" spans="1:9" x14ac:dyDescent="0.3">
      <c r="A185" s="33" t="s">
        <v>611</v>
      </c>
      <c r="B185" s="34" t="s">
        <v>24</v>
      </c>
      <c r="C185" s="35">
        <v>520</v>
      </c>
      <c r="D185" s="35">
        <v>375</v>
      </c>
      <c r="E185" s="35">
        <v>369525</v>
      </c>
      <c r="F185" s="32">
        <v>6.54</v>
      </c>
      <c r="G185" s="35">
        <v>20733</v>
      </c>
      <c r="H185" s="17">
        <f>Table2[[#This Row],[New_Followers]]-Table2[[#This Row],[Unfollows]]</f>
        <v>145</v>
      </c>
      <c r="I185" s="36">
        <f>Table2[[#This Row],[Followers gained]]/Table2[[#This Row],[Total_Followers]]</f>
        <v>3.9239564305527366E-4</v>
      </c>
    </row>
    <row r="186" spans="1:9" x14ac:dyDescent="0.3">
      <c r="A186" s="33" t="s">
        <v>612</v>
      </c>
      <c r="B186" s="34" t="s">
        <v>30</v>
      </c>
      <c r="C186" s="35">
        <v>961</v>
      </c>
      <c r="D186" s="35">
        <v>358</v>
      </c>
      <c r="E186" s="35">
        <v>62942</v>
      </c>
      <c r="F186" s="32">
        <v>6.8</v>
      </c>
      <c r="G186" s="35">
        <v>18693</v>
      </c>
      <c r="H186" s="17">
        <f>Table2[[#This Row],[New_Followers]]-Table2[[#This Row],[Unfollows]]</f>
        <v>603</v>
      </c>
      <c r="I186" s="36">
        <f>Table2[[#This Row],[Followers gained]]/Table2[[#This Row],[Total_Followers]]</f>
        <v>9.5802484827301332E-3</v>
      </c>
    </row>
    <row r="187" spans="1:9" x14ac:dyDescent="0.3">
      <c r="A187" s="33" t="s">
        <v>612</v>
      </c>
      <c r="B187" s="34" t="s">
        <v>39</v>
      </c>
      <c r="C187" s="35">
        <v>1375</v>
      </c>
      <c r="D187" s="35">
        <v>330</v>
      </c>
      <c r="E187" s="35">
        <v>377382</v>
      </c>
      <c r="F187" s="32">
        <v>2.6</v>
      </c>
      <c r="G187" s="35">
        <v>7875</v>
      </c>
      <c r="H187" s="17">
        <f>Table2[[#This Row],[New_Followers]]-Table2[[#This Row],[Unfollows]]</f>
        <v>1045</v>
      </c>
      <c r="I187" s="36">
        <f>Table2[[#This Row],[Followers gained]]/Table2[[#This Row],[Total_Followers]]</f>
        <v>2.7690774864725927E-3</v>
      </c>
    </row>
    <row r="188" spans="1:9" x14ac:dyDescent="0.3">
      <c r="A188" s="33" t="s">
        <v>612</v>
      </c>
      <c r="B188" s="34" t="s">
        <v>13</v>
      </c>
      <c r="C188" s="35">
        <v>1147</v>
      </c>
      <c r="D188" s="35">
        <v>388</v>
      </c>
      <c r="E188" s="35">
        <v>333851</v>
      </c>
      <c r="F188" s="32">
        <v>2.44</v>
      </c>
      <c r="G188" s="35">
        <v>8471</v>
      </c>
      <c r="H188" s="17">
        <f>Table2[[#This Row],[New_Followers]]-Table2[[#This Row],[Unfollows]]</f>
        <v>759</v>
      </c>
      <c r="I188" s="36">
        <f>Table2[[#This Row],[Followers gained]]/Table2[[#This Row],[Total_Followers]]</f>
        <v>2.2734693021737242E-3</v>
      </c>
    </row>
    <row r="189" spans="1:9" x14ac:dyDescent="0.3">
      <c r="A189" s="33" t="s">
        <v>612</v>
      </c>
      <c r="B189" s="34" t="s">
        <v>24</v>
      </c>
      <c r="C189" s="35">
        <v>1707</v>
      </c>
      <c r="D189" s="35">
        <v>74</v>
      </c>
      <c r="E189" s="35">
        <v>270958</v>
      </c>
      <c r="F189" s="32">
        <v>3.09</v>
      </c>
      <c r="G189" s="35">
        <v>14090</v>
      </c>
      <c r="H189" s="17">
        <f>Table2[[#This Row],[New_Followers]]-Table2[[#This Row],[Unfollows]]</f>
        <v>1633</v>
      </c>
      <c r="I189" s="36">
        <f>Table2[[#This Row],[Followers gained]]/Table2[[#This Row],[Total_Followers]]</f>
        <v>6.0267642955734836E-3</v>
      </c>
    </row>
    <row r="190" spans="1:9" x14ac:dyDescent="0.3">
      <c r="A190" s="33" t="s">
        <v>354</v>
      </c>
      <c r="B190" s="34" t="s">
        <v>30</v>
      </c>
      <c r="C190" s="35">
        <v>1693</v>
      </c>
      <c r="D190" s="35">
        <v>154</v>
      </c>
      <c r="E190" s="35">
        <v>445944</v>
      </c>
      <c r="F190" s="32">
        <v>5.69</v>
      </c>
      <c r="G190" s="35">
        <v>14216</v>
      </c>
      <c r="H190" s="17">
        <f>Table2[[#This Row],[New_Followers]]-Table2[[#This Row],[Unfollows]]</f>
        <v>1539</v>
      </c>
      <c r="I190" s="36">
        <f>Table2[[#This Row],[Followers gained]]/Table2[[#This Row],[Total_Followers]]</f>
        <v>3.4511059684624078E-3</v>
      </c>
    </row>
    <row r="191" spans="1:9" x14ac:dyDescent="0.3">
      <c r="A191" s="33" t="s">
        <v>354</v>
      </c>
      <c r="B191" s="34" t="s">
        <v>39</v>
      </c>
      <c r="C191" s="35">
        <v>833</v>
      </c>
      <c r="D191" s="35">
        <v>380</v>
      </c>
      <c r="E191" s="35">
        <v>224830</v>
      </c>
      <c r="F191" s="32">
        <v>3.86</v>
      </c>
      <c r="G191" s="35">
        <v>3582</v>
      </c>
      <c r="H191" s="17">
        <f>Table2[[#This Row],[New_Followers]]-Table2[[#This Row],[Unfollows]]</f>
        <v>453</v>
      </c>
      <c r="I191" s="36">
        <f>Table2[[#This Row],[Followers gained]]/Table2[[#This Row],[Total_Followers]]</f>
        <v>2.014855668727483E-3</v>
      </c>
    </row>
    <row r="192" spans="1:9" x14ac:dyDescent="0.3">
      <c r="A192" s="33" t="s">
        <v>354</v>
      </c>
      <c r="B192" s="34" t="s">
        <v>13</v>
      </c>
      <c r="C192" s="35">
        <v>1222</v>
      </c>
      <c r="D192" s="35">
        <v>274</v>
      </c>
      <c r="E192" s="35">
        <v>487289</v>
      </c>
      <c r="F192" s="32">
        <v>3.16</v>
      </c>
      <c r="G192" s="35">
        <v>32500</v>
      </c>
      <c r="H192" s="17">
        <f>Table2[[#This Row],[New_Followers]]-Table2[[#This Row],[Unfollows]]</f>
        <v>948</v>
      </c>
      <c r="I192" s="36">
        <f>Table2[[#This Row],[Followers gained]]/Table2[[#This Row],[Total_Followers]]</f>
        <v>1.9454574184929272E-3</v>
      </c>
    </row>
    <row r="193" spans="1:9" x14ac:dyDescent="0.3">
      <c r="A193" s="33" t="s">
        <v>354</v>
      </c>
      <c r="B193" s="34" t="s">
        <v>24</v>
      </c>
      <c r="C193" s="35">
        <v>777</v>
      </c>
      <c r="D193" s="35">
        <v>140</v>
      </c>
      <c r="E193" s="35">
        <v>11435</v>
      </c>
      <c r="F193" s="32">
        <v>1.6</v>
      </c>
      <c r="G193" s="35">
        <v>6832</v>
      </c>
      <c r="H193" s="17">
        <f>Table2[[#This Row],[New_Followers]]-Table2[[#This Row],[Unfollows]]</f>
        <v>637</v>
      </c>
      <c r="I193" s="36">
        <f>Table2[[#This Row],[Followers gained]]/Table2[[#This Row],[Total_Followers]]</f>
        <v>5.5706165282028861E-2</v>
      </c>
    </row>
    <row r="194" spans="1:9" x14ac:dyDescent="0.3">
      <c r="A194" s="33" t="s">
        <v>75</v>
      </c>
      <c r="B194" s="34" t="s">
        <v>30</v>
      </c>
      <c r="C194" s="35">
        <v>1957</v>
      </c>
      <c r="D194" s="35">
        <v>76</v>
      </c>
      <c r="E194" s="35">
        <v>447902</v>
      </c>
      <c r="F194" s="32">
        <v>6.09</v>
      </c>
      <c r="G194" s="35">
        <v>33381</v>
      </c>
      <c r="H194" s="17">
        <f>Table2[[#This Row],[New_Followers]]-Table2[[#This Row],[Unfollows]]</f>
        <v>1881</v>
      </c>
      <c r="I194" s="36">
        <f>Table2[[#This Row],[Followers gained]]/Table2[[#This Row],[Total_Followers]]</f>
        <v>4.1995793722733989E-3</v>
      </c>
    </row>
    <row r="195" spans="1:9" x14ac:dyDescent="0.3">
      <c r="A195" s="33" t="s">
        <v>75</v>
      </c>
      <c r="B195" s="34" t="s">
        <v>39</v>
      </c>
      <c r="C195" s="35">
        <v>405</v>
      </c>
      <c r="D195" s="35">
        <v>66</v>
      </c>
      <c r="E195" s="35">
        <v>418696</v>
      </c>
      <c r="F195" s="32">
        <v>5.59</v>
      </c>
      <c r="G195" s="35">
        <v>48419</v>
      </c>
      <c r="H195" s="17">
        <f>Table2[[#This Row],[New_Followers]]-Table2[[#This Row],[Unfollows]]</f>
        <v>339</v>
      </c>
      <c r="I195" s="36">
        <f>Table2[[#This Row],[Followers gained]]/Table2[[#This Row],[Total_Followers]]</f>
        <v>8.0965664826031301E-4</v>
      </c>
    </row>
    <row r="196" spans="1:9" x14ac:dyDescent="0.3">
      <c r="A196" s="33" t="s">
        <v>75</v>
      </c>
      <c r="B196" s="34" t="s">
        <v>13</v>
      </c>
      <c r="C196" s="35">
        <v>1581</v>
      </c>
      <c r="D196" s="35">
        <v>71</v>
      </c>
      <c r="E196" s="35">
        <v>484364</v>
      </c>
      <c r="F196" s="32">
        <v>3.55</v>
      </c>
      <c r="G196" s="35">
        <v>16149</v>
      </c>
      <c r="H196" s="17">
        <f>Table2[[#This Row],[New_Followers]]-Table2[[#This Row],[Unfollows]]</f>
        <v>1510</v>
      </c>
      <c r="I196" s="36">
        <f>Table2[[#This Row],[Followers gained]]/Table2[[#This Row],[Total_Followers]]</f>
        <v>3.1174901520344203E-3</v>
      </c>
    </row>
    <row r="197" spans="1:9" x14ac:dyDescent="0.3">
      <c r="A197" s="33" t="s">
        <v>75</v>
      </c>
      <c r="B197" s="34" t="s">
        <v>24</v>
      </c>
      <c r="C197" s="35">
        <v>1035</v>
      </c>
      <c r="D197" s="35">
        <v>171</v>
      </c>
      <c r="E197" s="35">
        <v>148477</v>
      </c>
      <c r="F197" s="32">
        <v>5.21</v>
      </c>
      <c r="G197" s="35">
        <v>7541</v>
      </c>
      <c r="H197" s="17">
        <f>Table2[[#This Row],[New_Followers]]-Table2[[#This Row],[Unfollows]]</f>
        <v>864</v>
      </c>
      <c r="I197" s="36">
        <f>Table2[[#This Row],[Followers gained]]/Table2[[#This Row],[Total_Followers]]</f>
        <v>5.8190830903102836E-3</v>
      </c>
    </row>
    <row r="198" spans="1:9" x14ac:dyDescent="0.3">
      <c r="A198" s="33" t="s">
        <v>25</v>
      </c>
      <c r="B198" s="34" t="s">
        <v>30</v>
      </c>
      <c r="C198" s="35">
        <v>1765</v>
      </c>
      <c r="D198" s="35">
        <v>109</v>
      </c>
      <c r="E198" s="35">
        <v>468301</v>
      </c>
      <c r="F198" s="32">
        <v>1.82</v>
      </c>
      <c r="G198" s="35">
        <v>20042</v>
      </c>
      <c r="H198" s="17">
        <f>Table2[[#This Row],[New_Followers]]-Table2[[#This Row],[Unfollows]]</f>
        <v>1656</v>
      </c>
      <c r="I198" s="36">
        <f>Table2[[#This Row],[Followers gained]]/Table2[[#This Row],[Total_Followers]]</f>
        <v>3.5361871958419907E-3</v>
      </c>
    </row>
    <row r="199" spans="1:9" x14ac:dyDescent="0.3">
      <c r="A199" s="33" t="s">
        <v>25</v>
      </c>
      <c r="B199" s="34" t="s">
        <v>39</v>
      </c>
      <c r="C199" s="35">
        <v>837</v>
      </c>
      <c r="D199" s="35">
        <v>430</v>
      </c>
      <c r="E199" s="35">
        <v>364820</v>
      </c>
      <c r="F199" s="32">
        <v>4</v>
      </c>
      <c r="G199" s="35">
        <v>49400</v>
      </c>
      <c r="H199" s="17">
        <f>Table2[[#This Row],[New_Followers]]-Table2[[#This Row],[Unfollows]]</f>
        <v>407</v>
      </c>
      <c r="I199" s="36">
        <f>Table2[[#This Row],[Followers gained]]/Table2[[#This Row],[Total_Followers]]</f>
        <v>1.1156186612576065E-3</v>
      </c>
    </row>
    <row r="200" spans="1:9" x14ac:dyDescent="0.3">
      <c r="A200" s="33" t="s">
        <v>25</v>
      </c>
      <c r="B200" s="34" t="s">
        <v>13</v>
      </c>
      <c r="C200" s="35">
        <v>337</v>
      </c>
      <c r="D200" s="35">
        <v>68</v>
      </c>
      <c r="E200" s="35">
        <v>456298</v>
      </c>
      <c r="F200" s="32">
        <v>7.57</v>
      </c>
      <c r="G200" s="35">
        <v>4007</v>
      </c>
      <c r="H200" s="17">
        <f>Table2[[#This Row],[New_Followers]]-Table2[[#This Row],[Unfollows]]</f>
        <v>269</v>
      </c>
      <c r="I200" s="36">
        <f>Table2[[#This Row],[Followers gained]]/Table2[[#This Row],[Total_Followers]]</f>
        <v>5.8952701962314107E-4</v>
      </c>
    </row>
    <row r="201" spans="1:9" x14ac:dyDescent="0.3">
      <c r="A201" s="33" t="s">
        <v>25</v>
      </c>
      <c r="B201" s="34" t="s">
        <v>24</v>
      </c>
      <c r="C201" s="35">
        <v>119</v>
      </c>
      <c r="D201" s="35">
        <v>456</v>
      </c>
      <c r="E201" s="35">
        <v>82558</v>
      </c>
      <c r="F201" s="32">
        <v>6.81</v>
      </c>
      <c r="G201" s="35">
        <v>12174</v>
      </c>
      <c r="H201" s="17">
        <f>Table2[[#This Row],[New_Followers]]-Table2[[#This Row],[Unfollows]]</f>
        <v>-337</v>
      </c>
      <c r="I201" s="36">
        <f>Table2[[#This Row],[Followers gained]]/Table2[[#This Row],[Total_Followers]]</f>
        <v>-4.0819787301048958E-3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F26A-532A-450F-BDF6-D9E6A7B3CC05}">
  <sheetPr>
    <tabColor rgb="FF00B0F0"/>
  </sheetPr>
  <dimension ref="A1:H8"/>
  <sheetViews>
    <sheetView topLeftCell="I1" workbookViewId="0">
      <selection sqref="A1:H1"/>
    </sheetView>
  </sheetViews>
  <sheetFormatPr defaultRowHeight="14.4" x14ac:dyDescent="0.3"/>
  <cols>
    <col min="1" max="1" width="12.5546875" bestFit="1" customWidth="1"/>
    <col min="2" max="2" width="26.33203125" bestFit="1" customWidth="1"/>
  </cols>
  <sheetData>
    <row r="1" spans="1:8" ht="18" x14ac:dyDescent="0.3">
      <c r="A1" s="57" t="s">
        <v>622</v>
      </c>
      <c r="B1" s="57"/>
      <c r="C1" s="57"/>
      <c r="D1" s="57"/>
      <c r="E1" s="57"/>
      <c r="F1" s="57"/>
      <c r="G1" s="57"/>
      <c r="H1" s="57"/>
    </row>
    <row r="3" spans="1:8" x14ac:dyDescent="0.3">
      <c r="A3" s="15" t="s">
        <v>579</v>
      </c>
      <c r="B3" t="s">
        <v>621</v>
      </c>
    </row>
    <row r="4" spans="1:8" x14ac:dyDescent="0.3">
      <c r="A4" s="16" t="s">
        <v>39</v>
      </c>
      <c r="B4">
        <v>5.6486000000000001</v>
      </c>
    </row>
    <row r="5" spans="1:8" x14ac:dyDescent="0.3">
      <c r="A5" s="16" t="s">
        <v>30</v>
      </c>
      <c r="B5">
        <v>5.7156000000000002</v>
      </c>
    </row>
    <row r="6" spans="1:8" x14ac:dyDescent="0.3">
      <c r="A6" s="16" t="s">
        <v>13</v>
      </c>
      <c r="B6">
        <v>5.6558000000000002</v>
      </c>
    </row>
    <row r="7" spans="1:8" x14ac:dyDescent="0.3">
      <c r="A7" s="16" t="s">
        <v>24</v>
      </c>
      <c r="B7">
        <v>5.5587999999999997</v>
      </c>
    </row>
    <row r="8" spans="1:8" x14ac:dyDescent="0.3">
      <c r="A8" s="16" t="s">
        <v>580</v>
      </c>
      <c r="B8">
        <v>5.6446999999999994</v>
      </c>
    </row>
  </sheetData>
  <mergeCells count="1">
    <mergeCell ref="A1:H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1AB4D-2D4B-43B9-AE79-F1DC1E95DC30}">
  <sheetPr>
    <tabColor rgb="FF00B0F0"/>
  </sheetPr>
  <dimension ref="A1:H8"/>
  <sheetViews>
    <sheetView topLeftCell="H1" workbookViewId="0">
      <selection activeCell="V22" sqref="V22"/>
    </sheetView>
  </sheetViews>
  <sheetFormatPr defaultRowHeight="14.4" x14ac:dyDescent="0.3"/>
  <cols>
    <col min="1" max="1" width="12.5546875" bestFit="1" customWidth="1"/>
    <col min="2" max="2" width="21.33203125" bestFit="1" customWidth="1"/>
  </cols>
  <sheetData>
    <row r="1" spans="1:8" ht="18" x14ac:dyDescent="0.3">
      <c r="A1" s="57" t="s">
        <v>624</v>
      </c>
      <c r="B1" s="57"/>
      <c r="C1" s="57"/>
      <c r="D1" s="57"/>
      <c r="E1" s="57"/>
      <c r="F1" s="57"/>
      <c r="G1" s="57"/>
      <c r="H1" s="57"/>
    </row>
    <row r="3" spans="1:8" x14ac:dyDescent="0.3">
      <c r="A3" s="15" t="s">
        <v>579</v>
      </c>
      <c r="B3" t="s">
        <v>623</v>
      </c>
    </row>
    <row r="4" spans="1:8" x14ac:dyDescent="0.3">
      <c r="A4" s="16" t="s">
        <v>39</v>
      </c>
      <c r="B4" s="39">
        <v>5.4649906832972654E-3</v>
      </c>
    </row>
    <row r="5" spans="1:8" x14ac:dyDescent="0.3">
      <c r="A5" s="16" t="s">
        <v>30</v>
      </c>
      <c r="B5" s="39">
        <v>5.7625321264951823E-3</v>
      </c>
    </row>
    <row r="6" spans="1:8" x14ac:dyDescent="0.3">
      <c r="A6" s="16" t="s">
        <v>13</v>
      </c>
      <c r="B6" s="39">
        <v>9.2800256766213396E-3</v>
      </c>
    </row>
    <row r="7" spans="1:8" x14ac:dyDescent="0.3">
      <c r="A7" s="16" t="s">
        <v>24</v>
      </c>
      <c r="B7" s="39">
        <v>9.021066631336009E-3</v>
      </c>
    </row>
    <row r="8" spans="1:8" x14ac:dyDescent="0.3">
      <c r="A8" s="16" t="s">
        <v>580</v>
      </c>
      <c r="B8" s="39">
        <v>7.3821537794374484E-3</v>
      </c>
    </row>
  </sheetData>
  <mergeCells count="1">
    <mergeCell ref="A1:H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502D-83C1-4023-9556-5821D0801FA4}">
  <sheetPr>
    <tabColor rgb="FF00B0F0"/>
  </sheetPr>
  <dimension ref="A1:H8"/>
  <sheetViews>
    <sheetView topLeftCell="D1" workbookViewId="0">
      <selection activeCell="D9" sqref="D9"/>
    </sheetView>
  </sheetViews>
  <sheetFormatPr defaultRowHeight="14.4" x14ac:dyDescent="0.3"/>
  <cols>
    <col min="1" max="1" width="12.5546875" bestFit="1" customWidth="1"/>
    <col min="2" max="2" width="26.33203125" bestFit="1" customWidth="1"/>
    <col min="3" max="3" width="19.44140625" bestFit="1" customWidth="1"/>
  </cols>
  <sheetData>
    <row r="1" spans="1:8" ht="18" x14ac:dyDescent="0.3">
      <c r="A1" s="57" t="s">
        <v>664</v>
      </c>
      <c r="B1" s="57"/>
      <c r="C1" s="57"/>
      <c r="D1" s="57"/>
      <c r="E1" s="57"/>
      <c r="F1" s="57"/>
      <c r="G1" s="57"/>
      <c r="H1" s="57"/>
    </row>
    <row r="3" spans="1:8" x14ac:dyDescent="0.3">
      <c r="A3" s="15" t="s">
        <v>579</v>
      </c>
      <c r="B3" t="s">
        <v>621</v>
      </c>
      <c r="C3" t="s">
        <v>692</v>
      </c>
    </row>
    <row r="4" spans="1:8" x14ac:dyDescent="0.3">
      <c r="A4" s="16" t="s">
        <v>39</v>
      </c>
      <c r="B4">
        <v>5.6486000000000001</v>
      </c>
      <c r="C4" s="17">
        <v>27590.78</v>
      </c>
    </row>
    <row r="5" spans="1:8" x14ac:dyDescent="0.3">
      <c r="A5" s="16" t="s">
        <v>30</v>
      </c>
      <c r="B5">
        <v>5.7156000000000002</v>
      </c>
      <c r="C5" s="17">
        <v>23287.46</v>
      </c>
    </row>
    <row r="6" spans="1:8" x14ac:dyDescent="0.3">
      <c r="A6" s="16" t="s">
        <v>13</v>
      </c>
      <c r="B6">
        <v>5.6558000000000002</v>
      </c>
      <c r="C6" s="17">
        <v>21207.14</v>
      </c>
    </row>
    <row r="7" spans="1:8" x14ac:dyDescent="0.3">
      <c r="A7" s="16" t="s">
        <v>24</v>
      </c>
      <c r="B7">
        <v>5.5587999999999997</v>
      </c>
      <c r="C7" s="17">
        <v>24572.94</v>
      </c>
    </row>
    <row r="8" spans="1:8" x14ac:dyDescent="0.3">
      <c r="A8" s="16" t="s">
        <v>580</v>
      </c>
      <c r="B8">
        <v>5.6446999999999994</v>
      </c>
      <c r="C8" s="17">
        <v>24164.58</v>
      </c>
    </row>
  </sheetData>
  <mergeCells count="1">
    <mergeCell ref="A1:H1"/>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4769-E392-4BC6-AEB5-730DBD0014A3}">
  <sheetPr>
    <tabColor theme="9" tint="0.59999389629810485"/>
  </sheetPr>
  <dimension ref="C4:D9"/>
  <sheetViews>
    <sheetView topLeftCell="B1" workbookViewId="0">
      <selection activeCell="C9" sqref="C9"/>
    </sheetView>
  </sheetViews>
  <sheetFormatPr defaultRowHeight="14.4" x14ac:dyDescent="0.3"/>
  <cols>
    <col min="3" max="3" width="71.6640625" bestFit="1" customWidth="1"/>
    <col min="4" max="4" width="102.77734375" bestFit="1" customWidth="1"/>
  </cols>
  <sheetData>
    <row r="4" spans="3:4" ht="18" x14ac:dyDescent="0.35">
      <c r="C4" s="53" t="s">
        <v>626</v>
      </c>
      <c r="D4" s="53"/>
    </row>
    <row r="5" spans="3:4" ht="18" x14ac:dyDescent="0.35">
      <c r="C5" s="12" t="s">
        <v>560</v>
      </c>
      <c r="D5" s="13" t="s">
        <v>566</v>
      </c>
    </row>
    <row r="6" spans="3:4" ht="18" x14ac:dyDescent="0.35">
      <c r="C6" s="20" t="s">
        <v>627</v>
      </c>
      <c r="D6" s="10" t="s">
        <v>680</v>
      </c>
    </row>
    <row r="7" spans="3:4" ht="18" x14ac:dyDescent="0.35">
      <c r="C7" s="10" t="s">
        <v>628</v>
      </c>
      <c r="D7" s="10" t="s">
        <v>682</v>
      </c>
    </row>
    <row r="8" spans="3:4" ht="72" x14ac:dyDescent="0.35">
      <c r="C8" s="20" t="s">
        <v>629</v>
      </c>
      <c r="D8" s="10" t="s">
        <v>681</v>
      </c>
    </row>
    <row r="9" spans="3:4" ht="54" x14ac:dyDescent="0.35">
      <c r="C9" s="20" t="s">
        <v>630</v>
      </c>
      <c r="D9" s="43" t="s">
        <v>694</v>
      </c>
    </row>
  </sheetData>
  <mergeCells count="1">
    <mergeCell ref="C4:D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800F-8A1B-4FB8-AA43-8EC015D8FD6C}">
  <sheetPr>
    <tabColor theme="9" tint="0.59999389629810485"/>
  </sheetPr>
  <dimension ref="A1:O340"/>
  <sheetViews>
    <sheetView topLeftCell="B1" zoomScale="99" zoomScaleNormal="99" workbookViewId="0">
      <selection activeCell="K25" sqref="K25"/>
    </sheetView>
  </sheetViews>
  <sheetFormatPr defaultRowHeight="14.4" x14ac:dyDescent="0.3"/>
  <cols>
    <col min="1" max="1" width="9.109375" bestFit="1" customWidth="1"/>
    <col min="2" max="2" width="10.5546875" bestFit="1" customWidth="1"/>
    <col min="3" max="3" width="10.33203125" style="42" bestFit="1" customWidth="1"/>
    <col min="4" max="4" width="14.5546875" bestFit="1" customWidth="1"/>
    <col min="5" max="5" width="37" bestFit="1" customWidth="1"/>
    <col min="6" max="6" width="7.5546875" style="17" bestFit="1" customWidth="1"/>
    <col min="7" max="7" width="8.77734375" style="17" bestFit="1" customWidth="1"/>
    <col min="8" max="8" width="12.33203125" style="17" bestFit="1" customWidth="1"/>
    <col min="9" max="9" width="13.21875" style="17" bestFit="1" customWidth="1"/>
    <col min="10" max="10" width="8.5546875" style="17" bestFit="1" customWidth="1"/>
    <col min="11" max="11" width="7.88671875" style="17" bestFit="1" customWidth="1"/>
    <col min="12" max="12" width="20.21875" style="41" bestFit="1" customWidth="1"/>
    <col min="13" max="13" width="17.77734375" style="41" bestFit="1" customWidth="1"/>
    <col min="14" max="14" width="17.5546875" bestFit="1" customWidth="1"/>
    <col min="15" max="15" width="20.21875" bestFit="1" customWidth="1"/>
    <col min="16" max="16" width="18.44140625" bestFit="1" customWidth="1"/>
    <col min="17" max="17" width="71.6640625" bestFit="1" customWidth="1"/>
    <col min="18" max="18" width="101.21875" bestFit="1" customWidth="1"/>
  </cols>
  <sheetData>
    <row r="1" spans="1:15" x14ac:dyDescent="0.3">
      <c r="A1" t="s">
        <v>0</v>
      </c>
      <c r="B1" s="41" t="s">
        <v>1</v>
      </c>
      <c r="C1" s="42" t="s">
        <v>2</v>
      </c>
      <c r="D1" t="s">
        <v>3</v>
      </c>
      <c r="E1" t="s">
        <v>4</v>
      </c>
      <c r="F1" s="17" t="s">
        <v>5</v>
      </c>
      <c r="G1" s="17" t="s">
        <v>6</v>
      </c>
      <c r="H1" s="17" t="s">
        <v>7</v>
      </c>
      <c r="I1" s="17" t="s">
        <v>8</v>
      </c>
      <c r="J1" s="17" t="s">
        <v>9</v>
      </c>
      <c r="K1" s="17" t="s">
        <v>10</v>
      </c>
      <c r="L1" s="41" t="s">
        <v>631</v>
      </c>
      <c r="M1" s="41" t="s">
        <v>11</v>
      </c>
      <c r="N1" t="s">
        <v>633</v>
      </c>
      <c r="O1" t="s">
        <v>634</v>
      </c>
    </row>
    <row r="2" spans="1:15" x14ac:dyDescent="0.3">
      <c r="A2" t="s">
        <v>12</v>
      </c>
      <c r="B2" s="41" t="s">
        <v>13</v>
      </c>
      <c r="C2" s="42">
        <v>45649</v>
      </c>
      <c r="D2" s="41" t="s">
        <v>15</v>
      </c>
      <c r="E2" t="s">
        <v>16</v>
      </c>
      <c r="F2" s="17">
        <v>1461</v>
      </c>
      <c r="G2" s="17">
        <v>184</v>
      </c>
      <c r="H2" s="17">
        <v>344</v>
      </c>
      <c r="I2" s="17">
        <v>21915</v>
      </c>
      <c r="J2" s="17">
        <v>21675</v>
      </c>
      <c r="K2" s="17">
        <v>15</v>
      </c>
      <c r="L2" s="41" t="s">
        <v>58</v>
      </c>
      <c r="M2" s="41" t="s">
        <v>17</v>
      </c>
      <c r="N2" s="17">
        <f>Table1_1[[#This Row],[Likes]]+Table1_1[[#This Row],[Shares]]+Table1_1[[#This Row],[Comments]]+Table1_1[[#This Row],[Clicks]]</f>
        <v>2004</v>
      </c>
      <c r="O2" s="36">
        <f>(Table1_1[[#This Row],[Likes]]+Table1_1[[#This Row],[Shares]]+Table1_1[[#This Row],[Comments]])/ Table1_1[[#This Row],[Impressions]]</f>
        <v>9.0759753593429152E-2</v>
      </c>
    </row>
    <row r="3" spans="1:15" x14ac:dyDescent="0.3">
      <c r="A3" t="s">
        <v>12</v>
      </c>
      <c r="B3" s="41" t="s">
        <v>13</v>
      </c>
      <c r="C3" s="42">
        <v>45649</v>
      </c>
      <c r="D3" s="41" t="s">
        <v>15</v>
      </c>
      <c r="E3" t="s">
        <v>16</v>
      </c>
      <c r="F3" s="17">
        <v>1461</v>
      </c>
      <c r="G3" s="17">
        <v>184</v>
      </c>
      <c r="H3" s="17">
        <v>344</v>
      </c>
      <c r="I3" s="17">
        <v>21915</v>
      </c>
      <c r="J3" s="17">
        <v>21675</v>
      </c>
      <c r="K3" s="17">
        <v>15</v>
      </c>
      <c r="L3" s="41" t="s">
        <v>551</v>
      </c>
      <c r="M3" s="41" t="s">
        <v>17</v>
      </c>
      <c r="N3" s="17">
        <f>Table1_1[[#This Row],[Likes]]+Table1_1[[#This Row],[Shares]]+Table1_1[[#This Row],[Comments]]+Table1_1[[#This Row],[Clicks]]</f>
        <v>2004</v>
      </c>
      <c r="O3" s="36">
        <f>(Table1_1[[#This Row],[Likes]]+Table1_1[[#This Row],[Shares]]+Table1_1[[#This Row],[Comments]])/ Table1_1[[#This Row],[Impressions]]</f>
        <v>9.0759753593429152E-2</v>
      </c>
    </row>
    <row r="4" spans="1:15" x14ac:dyDescent="0.3">
      <c r="A4" t="s">
        <v>18</v>
      </c>
      <c r="B4" s="41" t="s">
        <v>13</v>
      </c>
      <c r="C4" s="42">
        <v>45750</v>
      </c>
      <c r="D4" s="41" t="s">
        <v>20</v>
      </c>
      <c r="E4" t="s">
        <v>21</v>
      </c>
      <c r="F4" s="17">
        <v>4054</v>
      </c>
      <c r="G4" s="17">
        <v>389</v>
      </c>
      <c r="H4" s="17">
        <v>493</v>
      </c>
      <c r="I4" s="17">
        <v>64864</v>
      </c>
      <c r="J4" s="17">
        <v>64383</v>
      </c>
      <c r="K4" s="17">
        <v>117</v>
      </c>
      <c r="L4" s="41" t="s">
        <v>27</v>
      </c>
      <c r="M4" s="41" t="s">
        <v>22</v>
      </c>
      <c r="N4" s="17">
        <f>Table1_1[[#This Row],[Likes]]+Table1_1[[#This Row],[Shares]]+Table1_1[[#This Row],[Comments]]+Table1_1[[#This Row],[Clicks]]</f>
        <v>5053</v>
      </c>
      <c r="O4" s="36">
        <f>(Table1_1[[#This Row],[Likes]]+Table1_1[[#This Row],[Shares]]+Table1_1[[#This Row],[Comments]])/ Table1_1[[#This Row],[Impressions]]</f>
        <v>7.6097681302417369E-2</v>
      </c>
    </row>
    <row r="5" spans="1:15" x14ac:dyDescent="0.3">
      <c r="A5" t="s">
        <v>18</v>
      </c>
      <c r="B5" s="41" t="s">
        <v>13</v>
      </c>
      <c r="C5" s="42">
        <v>45750</v>
      </c>
      <c r="D5" s="41" t="s">
        <v>20</v>
      </c>
      <c r="E5" t="s">
        <v>21</v>
      </c>
      <c r="F5" s="17">
        <v>4054</v>
      </c>
      <c r="G5" s="17">
        <v>389</v>
      </c>
      <c r="H5" s="17">
        <v>493</v>
      </c>
      <c r="I5" s="17">
        <v>64864</v>
      </c>
      <c r="J5" s="17">
        <v>64383</v>
      </c>
      <c r="K5" s="17">
        <v>117</v>
      </c>
      <c r="L5" s="41" t="s">
        <v>553</v>
      </c>
      <c r="M5" s="41" t="s">
        <v>22</v>
      </c>
      <c r="N5" s="17">
        <f>Table1_1[[#This Row],[Likes]]+Table1_1[[#This Row],[Shares]]+Table1_1[[#This Row],[Comments]]+Table1_1[[#This Row],[Clicks]]</f>
        <v>5053</v>
      </c>
      <c r="O5" s="36">
        <f>(Table1_1[[#This Row],[Likes]]+Table1_1[[#This Row],[Shares]]+Table1_1[[#This Row],[Comments]])/ Table1_1[[#This Row],[Impressions]]</f>
        <v>7.6097681302417369E-2</v>
      </c>
    </row>
    <row r="6" spans="1:15" x14ac:dyDescent="0.3">
      <c r="A6" t="s">
        <v>23</v>
      </c>
      <c r="B6" s="41" t="s">
        <v>24</v>
      </c>
      <c r="C6" s="42">
        <v>45789</v>
      </c>
      <c r="D6" s="41" t="s">
        <v>15</v>
      </c>
      <c r="E6" t="s">
        <v>26</v>
      </c>
      <c r="F6" s="17">
        <v>2795</v>
      </c>
      <c r="G6" s="17">
        <v>105</v>
      </c>
      <c r="H6" s="17">
        <v>49</v>
      </c>
      <c r="I6" s="17">
        <v>53105</v>
      </c>
      <c r="J6" s="17">
        <v>52307</v>
      </c>
      <c r="K6" s="17">
        <v>204</v>
      </c>
      <c r="L6" s="41" t="s">
        <v>27</v>
      </c>
      <c r="M6" s="41" t="s">
        <v>28</v>
      </c>
      <c r="N6" s="17">
        <f>Table1_1[[#This Row],[Likes]]+Table1_1[[#This Row],[Shares]]+Table1_1[[#This Row],[Comments]]+Table1_1[[#This Row],[Clicks]]</f>
        <v>3153</v>
      </c>
      <c r="O6" s="36">
        <f>(Table1_1[[#This Row],[Likes]]+Table1_1[[#This Row],[Shares]]+Table1_1[[#This Row],[Comments]])/ Table1_1[[#This Row],[Impressions]]</f>
        <v>5.5531494209584788E-2</v>
      </c>
    </row>
    <row r="7" spans="1:15" ht="27" customHeight="1" x14ac:dyDescent="0.3">
      <c r="A7" t="s">
        <v>29</v>
      </c>
      <c r="B7" s="41" t="s">
        <v>30</v>
      </c>
      <c r="C7" s="42">
        <v>45516</v>
      </c>
      <c r="D7" s="41" t="s">
        <v>32</v>
      </c>
      <c r="E7" t="s">
        <v>33</v>
      </c>
      <c r="F7" s="17">
        <v>2404</v>
      </c>
      <c r="G7" s="17">
        <v>363</v>
      </c>
      <c r="H7" s="17">
        <v>138</v>
      </c>
      <c r="I7" s="17">
        <v>19232</v>
      </c>
      <c r="J7" s="17">
        <v>18636</v>
      </c>
      <c r="K7" s="17">
        <v>128</v>
      </c>
      <c r="L7" s="41" t="s">
        <v>34</v>
      </c>
      <c r="M7" s="41" t="s">
        <v>35</v>
      </c>
      <c r="N7" s="17">
        <f>Table1_1[[#This Row],[Likes]]+Table1_1[[#This Row],[Shares]]+Table1_1[[#This Row],[Comments]]+Table1_1[[#This Row],[Clicks]]</f>
        <v>3033</v>
      </c>
      <c r="O7" s="36">
        <f>(Table1_1[[#This Row],[Likes]]+Table1_1[[#This Row],[Shares]]+Table1_1[[#This Row],[Comments]])/ Table1_1[[#This Row],[Impressions]]</f>
        <v>0.15105033277870217</v>
      </c>
    </row>
    <row r="8" spans="1:15" x14ac:dyDescent="0.3">
      <c r="A8" t="s">
        <v>36</v>
      </c>
      <c r="B8" s="41" t="s">
        <v>24</v>
      </c>
      <c r="C8" s="42">
        <v>45469</v>
      </c>
      <c r="D8" s="41" t="s">
        <v>15</v>
      </c>
      <c r="E8" t="s">
        <v>26</v>
      </c>
      <c r="F8" s="17">
        <v>3557</v>
      </c>
      <c r="G8" s="17">
        <v>687</v>
      </c>
      <c r="H8" s="17">
        <v>424</v>
      </c>
      <c r="I8" s="17">
        <v>71140</v>
      </c>
      <c r="J8" s="17">
        <v>70701</v>
      </c>
      <c r="K8" s="17">
        <v>224</v>
      </c>
      <c r="L8" s="41" t="s">
        <v>34</v>
      </c>
      <c r="M8" s="41" t="s">
        <v>17</v>
      </c>
      <c r="N8" s="17">
        <f>Table1_1[[#This Row],[Likes]]+Table1_1[[#This Row],[Shares]]+Table1_1[[#This Row],[Comments]]+Table1_1[[#This Row],[Clicks]]</f>
        <v>4892</v>
      </c>
      <c r="O8" s="36">
        <f>(Table1_1[[#This Row],[Likes]]+Table1_1[[#This Row],[Shares]]+Table1_1[[#This Row],[Comments]])/ Table1_1[[#This Row],[Impressions]]</f>
        <v>6.5617093055946027E-2</v>
      </c>
    </row>
    <row r="9" spans="1:15" x14ac:dyDescent="0.3">
      <c r="A9" t="s">
        <v>36</v>
      </c>
      <c r="B9" s="41" t="s">
        <v>24</v>
      </c>
      <c r="C9" s="42">
        <v>45469</v>
      </c>
      <c r="D9" s="41" t="s">
        <v>15</v>
      </c>
      <c r="E9" t="s">
        <v>26</v>
      </c>
      <c r="F9" s="17">
        <v>3557</v>
      </c>
      <c r="G9" s="17">
        <v>687</v>
      </c>
      <c r="H9" s="17">
        <v>424</v>
      </c>
      <c r="I9" s="17">
        <v>71140</v>
      </c>
      <c r="J9" s="17">
        <v>70701</v>
      </c>
      <c r="K9" s="17">
        <v>224</v>
      </c>
      <c r="L9" s="41" t="s">
        <v>27</v>
      </c>
      <c r="M9" s="41" t="s">
        <v>17</v>
      </c>
      <c r="N9" s="17">
        <f>Table1_1[[#This Row],[Likes]]+Table1_1[[#This Row],[Shares]]+Table1_1[[#This Row],[Comments]]+Table1_1[[#This Row],[Clicks]]</f>
        <v>4892</v>
      </c>
      <c r="O9" s="36">
        <f>(Table1_1[[#This Row],[Likes]]+Table1_1[[#This Row],[Shares]]+Table1_1[[#This Row],[Comments]])/ Table1_1[[#This Row],[Impressions]]</f>
        <v>6.5617093055946027E-2</v>
      </c>
    </row>
    <row r="10" spans="1:15" x14ac:dyDescent="0.3">
      <c r="A10" t="s">
        <v>38</v>
      </c>
      <c r="B10" s="41" t="s">
        <v>39</v>
      </c>
      <c r="C10" s="42">
        <v>45596</v>
      </c>
      <c r="D10" s="41" t="s">
        <v>41</v>
      </c>
      <c r="E10" t="s">
        <v>42</v>
      </c>
      <c r="F10" s="17">
        <v>2945</v>
      </c>
      <c r="G10" s="17">
        <v>930</v>
      </c>
      <c r="H10" s="17">
        <v>355</v>
      </c>
      <c r="I10" s="17">
        <v>23560</v>
      </c>
      <c r="J10" s="17">
        <v>23275</v>
      </c>
      <c r="K10" s="17">
        <v>256</v>
      </c>
      <c r="L10" s="41" t="s">
        <v>27</v>
      </c>
      <c r="M10" s="41" t="s">
        <v>22</v>
      </c>
      <c r="N10" s="17">
        <f>Table1_1[[#This Row],[Likes]]+Table1_1[[#This Row],[Shares]]+Table1_1[[#This Row],[Comments]]+Table1_1[[#This Row],[Clicks]]</f>
        <v>4486</v>
      </c>
      <c r="O10" s="36">
        <f>(Table1_1[[#This Row],[Likes]]+Table1_1[[#This Row],[Shares]]+Table1_1[[#This Row],[Comments]])/ Table1_1[[#This Row],[Impressions]]</f>
        <v>0.17954159592529711</v>
      </c>
    </row>
    <row r="11" spans="1:15" x14ac:dyDescent="0.3">
      <c r="A11" t="s">
        <v>43</v>
      </c>
      <c r="B11" s="41" t="s">
        <v>13</v>
      </c>
      <c r="C11" s="42">
        <v>45467</v>
      </c>
      <c r="D11" s="41" t="s">
        <v>41</v>
      </c>
      <c r="E11" t="s">
        <v>45</v>
      </c>
      <c r="F11" s="17">
        <v>3860</v>
      </c>
      <c r="G11" s="17">
        <v>201</v>
      </c>
      <c r="H11" s="17">
        <v>279</v>
      </c>
      <c r="I11" s="17">
        <v>61760</v>
      </c>
      <c r="J11" s="17">
        <v>61660</v>
      </c>
      <c r="K11" s="17">
        <v>235</v>
      </c>
      <c r="L11" s="41" t="s">
        <v>27</v>
      </c>
      <c r="M11" s="41" t="s">
        <v>22</v>
      </c>
      <c r="N11" s="17">
        <f>Table1_1[[#This Row],[Likes]]+Table1_1[[#This Row],[Shares]]+Table1_1[[#This Row],[Comments]]+Table1_1[[#This Row],[Clicks]]</f>
        <v>4575</v>
      </c>
      <c r="O11" s="36">
        <f>(Table1_1[[#This Row],[Likes]]+Table1_1[[#This Row],[Shares]]+Table1_1[[#This Row],[Comments]])/ Table1_1[[#This Row],[Impressions]]</f>
        <v>7.0272020725388601E-2</v>
      </c>
    </row>
    <row r="12" spans="1:15" x14ac:dyDescent="0.3">
      <c r="A12" t="s">
        <v>46</v>
      </c>
      <c r="B12" s="41" t="s">
        <v>24</v>
      </c>
      <c r="C12" s="42">
        <v>45486</v>
      </c>
      <c r="D12" s="41" t="s">
        <v>48</v>
      </c>
      <c r="E12" t="s">
        <v>49</v>
      </c>
      <c r="F12" s="17">
        <v>3929</v>
      </c>
      <c r="G12" s="17">
        <v>262</v>
      </c>
      <c r="H12" s="17">
        <v>278</v>
      </c>
      <c r="I12" s="17">
        <v>43219</v>
      </c>
      <c r="J12" s="17">
        <v>42841</v>
      </c>
      <c r="K12" s="17">
        <v>39</v>
      </c>
      <c r="L12" s="41" t="s">
        <v>34</v>
      </c>
      <c r="M12" s="41" t="s">
        <v>35</v>
      </c>
      <c r="N12" s="17">
        <f>Table1_1[[#This Row],[Likes]]+Table1_1[[#This Row],[Shares]]+Table1_1[[#This Row],[Comments]]+Table1_1[[#This Row],[Clicks]]</f>
        <v>4508</v>
      </c>
      <c r="O12" s="36">
        <f>(Table1_1[[#This Row],[Likes]]+Table1_1[[#This Row],[Shares]]+Table1_1[[#This Row],[Comments]])/ Table1_1[[#This Row],[Impressions]]</f>
        <v>0.10340359564080613</v>
      </c>
    </row>
    <row r="13" spans="1:15" x14ac:dyDescent="0.3">
      <c r="A13" t="s">
        <v>50</v>
      </c>
      <c r="B13" s="41" t="s">
        <v>39</v>
      </c>
      <c r="C13" s="42">
        <v>45534</v>
      </c>
      <c r="D13" s="41" t="s">
        <v>20</v>
      </c>
      <c r="E13" t="s">
        <v>52</v>
      </c>
      <c r="F13" s="17">
        <v>3784</v>
      </c>
      <c r="G13" s="17">
        <v>808</v>
      </c>
      <c r="H13" s="17">
        <v>404</v>
      </c>
      <c r="I13" s="17">
        <v>56760</v>
      </c>
      <c r="J13" s="17">
        <v>56343</v>
      </c>
      <c r="K13" s="17">
        <v>131</v>
      </c>
      <c r="L13" s="41" t="s">
        <v>27</v>
      </c>
      <c r="M13" s="41" t="s">
        <v>22</v>
      </c>
      <c r="N13" s="17">
        <f>Table1_1[[#This Row],[Likes]]+Table1_1[[#This Row],[Shares]]+Table1_1[[#This Row],[Comments]]+Table1_1[[#This Row],[Clicks]]</f>
        <v>5127</v>
      </c>
      <c r="O13" s="36">
        <f>(Table1_1[[#This Row],[Likes]]+Table1_1[[#This Row],[Shares]]+Table1_1[[#This Row],[Comments]])/ Table1_1[[#This Row],[Impressions]]</f>
        <v>8.8019732205778717E-2</v>
      </c>
    </row>
    <row r="14" spans="1:15" x14ac:dyDescent="0.3">
      <c r="A14" t="s">
        <v>53</v>
      </c>
      <c r="B14" s="41" t="s">
        <v>39</v>
      </c>
      <c r="C14" s="42">
        <v>45727</v>
      </c>
      <c r="D14" s="41" t="s">
        <v>48</v>
      </c>
      <c r="E14" t="s">
        <v>55</v>
      </c>
      <c r="F14" s="17">
        <v>4241</v>
      </c>
      <c r="G14" s="17">
        <v>902</v>
      </c>
      <c r="H14" s="17">
        <v>47</v>
      </c>
      <c r="I14" s="17">
        <v>72097</v>
      </c>
      <c r="J14" s="17">
        <v>71598</v>
      </c>
      <c r="K14" s="17">
        <v>167</v>
      </c>
      <c r="L14" s="41" t="s">
        <v>27</v>
      </c>
      <c r="M14" s="41" t="s">
        <v>22</v>
      </c>
      <c r="N14" s="17">
        <f>Table1_1[[#This Row],[Likes]]+Table1_1[[#This Row],[Shares]]+Table1_1[[#This Row],[Comments]]+Table1_1[[#This Row],[Clicks]]</f>
        <v>5357</v>
      </c>
      <c r="O14" s="36">
        <f>(Table1_1[[#This Row],[Likes]]+Table1_1[[#This Row],[Shares]]+Table1_1[[#This Row],[Comments]])/ Table1_1[[#This Row],[Impressions]]</f>
        <v>7.198635172059864E-2</v>
      </c>
    </row>
    <row r="15" spans="1:15" x14ac:dyDescent="0.3">
      <c r="A15" t="s">
        <v>56</v>
      </c>
      <c r="B15" s="41" t="s">
        <v>30</v>
      </c>
      <c r="C15" s="42">
        <v>45690</v>
      </c>
      <c r="D15" s="41" t="s">
        <v>32</v>
      </c>
      <c r="E15" t="s">
        <v>33</v>
      </c>
      <c r="F15" s="17">
        <v>1792</v>
      </c>
      <c r="G15" s="17">
        <v>614</v>
      </c>
      <c r="H15" s="17">
        <v>497</v>
      </c>
      <c r="I15" s="17">
        <v>25088</v>
      </c>
      <c r="J15" s="17">
        <v>24675</v>
      </c>
      <c r="K15" s="17">
        <v>65</v>
      </c>
      <c r="L15" s="41" t="s">
        <v>58</v>
      </c>
      <c r="M15" s="41" t="s">
        <v>35</v>
      </c>
      <c r="N15" s="17">
        <f>Table1_1[[#This Row],[Likes]]+Table1_1[[#This Row],[Shares]]+Table1_1[[#This Row],[Comments]]+Table1_1[[#This Row],[Clicks]]</f>
        <v>2968</v>
      </c>
      <c r="O15" s="36">
        <f>(Table1_1[[#This Row],[Likes]]+Table1_1[[#This Row],[Shares]]+Table1_1[[#This Row],[Comments]])/ Table1_1[[#This Row],[Impressions]]</f>
        <v>0.11571269132653061</v>
      </c>
    </row>
    <row r="16" spans="1:15" x14ac:dyDescent="0.3">
      <c r="A16" t="s">
        <v>59</v>
      </c>
      <c r="B16" s="41" t="s">
        <v>39</v>
      </c>
      <c r="C16" s="42">
        <v>45494</v>
      </c>
      <c r="D16" s="41" t="s">
        <v>15</v>
      </c>
      <c r="E16" t="s">
        <v>61</v>
      </c>
      <c r="F16" s="17">
        <v>1946</v>
      </c>
      <c r="G16" s="17">
        <v>686</v>
      </c>
      <c r="H16" s="17">
        <v>377</v>
      </c>
      <c r="I16" s="17">
        <v>23352</v>
      </c>
      <c r="J16" s="17">
        <v>22982</v>
      </c>
      <c r="K16" s="17">
        <v>213</v>
      </c>
      <c r="L16" s="41" t="s">
        <v>58</v>
      </c>
      <c r="M16" s="41" t="s">
        <v>28</v>
      </c>
      <c r="N16" s="17">
        <f>Table1_1[[#This Row],[Likes]]+Table1_1[[#This Row],[Shares]]+Table1_1[[#This Row],[Comments]]+Table1_1[[#This Row],[Clicks]]</f>
        <v>3222</v>
      </c>
      <c r="O16" s="36">
        <f>(Table1_1[[#This Row],[Likes]]+Table1_1[[#This Row],[Shares]]+Table1_1[[#This Row],[Comments]])/ Table1_1[[#This Row],[Impressions]]</f>
        <v>0.12885405960945528</v>
      </c>
    </row>
    <row r="17" spans="1:15" x14ac:dyDescent="0.3">
      <c r="A17" t="s">
        <v>62</v>
      </c>
      <c r="B17" s="41" t="s">
        <v>24</v>
      </c>
      <c r="C17" s="42">
        <v>45614</v>
      </c>
      <c r="D17" s="41" t="s">
        <v>41</v>
      </c>
      <c r="E17" t="s">
        <v>64</v>
      </c>
      <c r="F17" s="17">
        <v>1171</v>
      </c>
      <c r="G17" s="17">
        <v>286</v>
      </c>
      <c r="H17" s="17">
        <v>231</v>
      </c>
      <c r="I17" s="17">
        <v>22249</v>
      </c>
      <c r="J17" s="17">
        <v>21282</v>
      </c>
      <c r="K17" s="17">
        <v>114</v>
      </c>
      <c r="L17" s="41" t="s">
        <v>34</v>
      </c>
      <c r="M17" s="41" t="s">
        <v>17</v>
      </c>
      <c r="N17" s="17">
        <f>Table1_1[[#This Row],[Likes]]+Table1_1[[#This Row],[Shares]]+Table1_1[[#This Row],[Comments]]+Table1_1[[#This Row],[Clicks]]</f>
        <v>1802</v>
      </c>
      <c r="O17" s="36">
        <f>(Table1_1[[#This Row],[Likes]]+Table1_1[[#This Row],[Shares]]+Table1_1[[#This Row],[Comments]])/ Table1_1[[#This Row],[Impressions]]</f>
        <v>7.5868578363072495E-2</v>
      </c>
    </row>
    <row r="18" spans="1:15" x14ac:dyDescent="0.3">
      <c r="A18" t="s">
        <v>65</v>
      </c>
      <c r="B18" s="41" t="s">
        <v>39</v>
      </c>
      <c r="C18" s="42">
        <v>45704</v>
      </c>
      <c r="D18" s="41" t="s">
        <v>32</v>
      </c>
      <c r="E18" t="s">
        <v>67</v>
      </c>
      <c r="F18" s="17">
        <v>4242</v>
      </c>
      <c r="G18" s="17">
        <v>555</v>
      </c>
      <c r="H18" s="17">
        <v>131</v>
      </c>
      <c r="I18" s="17">
        <v>33936</v>
      </c>
      <c r="J18" s="17">
        <v>33802</v>
      </c>
      <c r="K18" s="17">
        <v>265</v>
      </c>
      <c r="L18" s="41" t="s">
        <v>58</v>
      </c>
      <c r="N18" s="17">
        <f>Table1_1[[#This Row],[Likes]]+Table1_1[[#This Row],[Shares]]+Table1_1[[#This Row],[Comments]]+Table1_1[[#This Row],[Clicks]]</f>
        <v>5193</v>
      </c>
      <c r="O18" s="36">
        <f>(Table1_1[[#This Row],[Likes]]+Table1_1[[#This Row],[Shares]]+Table1_1[[#This Row],[Comments]])/ Table1_1[[#This Row],[Impressions]]</f>
        <v>0.14521452145214522</v>
      </c>
    </row>
    <row r="19" spans="1:15" x14ac:dyDescent="0.3">
      <c r="A19" t="s">
        <v>68</v>
      </c>
      <c r="B19" s="41" t="s">
        <v>39</v>
      </c>
      <c r="C19" s="42">
        <v>45589</v>
      </c>
      <c r="D19" s="41" t="s">
        <v>70</v>
      </c>
      <c r="E19" t="s">
        <v>71</v>
      </c>
      <c r="F19" s="17">
        <v>3888</v>
      </c>
      <c r="G19" s="17">
        <v>604</v>
      </c>
      <c r="H19" s="17">
        <v>128</v>
      </c>
      <c r="I19" s="17">
        <v>77760</v>
      </c>
      <c r="J19" s="17">
        <v>77167</v>
      </c>
      <c r="K19" s="17">
        <v>20</v>
      </c>
      <c r="L19" s="41" t="s">
        <v>58</v>
      </c>
      <c r="M19" s="41" t="s">
        <v>17</v>
      </c>
      <c r="N19" s="17">
        <f>Table1_1[[#This Row],[Likes]]+Table1_1[[#This Row],[Shares]]+Table1_1[[#This Row],[Comments]]+Table1_1[[#This Row],[Clicks]]</f>
        <v>4640</v>
      </c>
      <c r="O19" s="36">
        <f>(Table1_1[[#This Row],[Likes]]+Table1_1[[#This Row],[Shares]]+Table1_1[[#This Row],[Comments]])/ Table1_1[[#This Row],[Impressions]]</f>
        <v>5.941358024691358E-2</v>
      </c>
    </row>
    <row r="20" spans="1:15" x14ac:dyDescent="0.3">
      <c r="A20" t="s">
        <v>72</v>
      </c>
      <c r="B20" s="41" t="s">
        <v>39</v>
      </c>
      <c r="C20" s="42">
        <v>45530</v>
      </c>
      <c r="D20" s="41" t="s">
        <v>20</v>
      </c>
      <c r="E20" t="s">
        <v>52</v>
      </c>
      <c r="F20" s="17">
        <v>3452</v>
      </c>
      <c r="G20" s="17">
        <v>377</v>
      </c>
      <c r="H20" s="17">
        <v>360</v>
      </c>
      <c r="I20" s="17">
        <v>55232</v>
      </c>
      <c r="J20" s="17">
        <v>55075</v>
      </c>
      <c r="K20" s="17">
        <v>87</v>
      </c>
      <c r="L20" s="41" t="s">
        <v>58</v>
      </c>
      <c r="M20" s="41" t="s">
        <v>28</v>
      </c>
      <c r="N20" s="17">
        <f>Table1_1[[#This Row],[Likes]]+Table1_1[[#This Row],[Shares]]+Table1_1[[#This Row],[Comments]]+Table1_1[[#This Row],[Clicks]]</f>
        <v>4276</v>
      </c>
      <c r="O20" s="36">
        <f>(Table1_1[[#This Row],[Likes]]+Table1_1[[#This Row],[Shares]]+Table1_1[[#This Row],[Comments]])/ Table1_1[[#This Row],[Impressions]]</f>
        <v>7.5843713789107758E-2</v>
      </c>
    </row>
    <row r="21" spans="1:15" x14ac:dyDescent="0.3">
      <c r="A21" t="s">
        <v>74</v>
      </c>
      <c r="B21" s="41" t="s">
        <v>39</v>
      </c>
      <c r="C21" s="42">
        <v>45782</v>
      </c>
      <c r="D21" s="41" t="s">
        <v>20</v>
      </c>
      <c r="E21" t="s">
        <v>52</v>
      </c>
      <c r="F21" s="17">
        <v>4441</v>
      </c>
      <c r="G21" s="17">
        <v>511</v>
      </c>
      <c r="H21" s="17">
        <v>70</v>
      </c>
      <c r="I21" s="17">
        <v>53292</v>
      </c>
      <c r="J21" s="17">
        <v>53082</v>
      </c>
      <c r="K21" s="17">
        <v>159</v>
      </c>
      <c r="L21" s="41" t="s">
        <v>34</v>
      </c>
      <c r="M21" s="41" t="s">
        <v>35</v>
      </c>
      <c r="N21" s="17">
        <f>Table1_1[[#This Row],[Likes]]+Table1_1[[#This Row],[Shares]]+Table1_1[[#This Row],[Comments]]+Table1_1[[#This Row],[Clicks]]</f>
        <v>5181</v>
      </c>
      <c r="O21" s="36">
        <f>(Table1_1[[#This Row],[Likes]]+Table1_1[[#This Row],[Shares]]+Table1_1[[#This Row],[Comments]])/ Table1_1[[#This Row],[Impressions]]</f>
        <v>9.4235532537716729E-2</v>
      </c>
    </row>
    <row r="22" spans="1:15" x14ac:dyDescent="0.3">
      <c r="A22" t="s">
        <v>76</v>
      </c>
      <c r="B22" s="41" t="s">
        <v>30</v>
      </c>
      <c r="C22" s="42">
        <v>45523</v>
      </c>
      <c r="D22" s="41" t="s">
        <v>15</v>
      </c>
      <c r="E22" t="s">
        <v>78</v>
      </c>
      <c r="F22" s="17">
        <v>3000</v>
      </c>
      <c r="G22" s="17">
        <v>382</v>
      </c>
      <c r="H22" s="17">
        <v>325</v>
      </c>
      <c r="I22" s="17">
        <v>36000</v>
      </c>
      <c r="J22" s="17">
        <v>35819</v>
      </c>
      <c r="K22" s="17">
        <v>19</v>
      </c>
      <c r="L22" s="41" t="s">
        <v>58</v>
      </c>
      <c r="M22" s="41" t="s">
        <v>17</v>
      </c>
      <c r="N22" s="17">
        <f>Table1_1[[#This Row],[Likes]]+Table1_1[[#This Row],[Shares]]+Table1_1[[#This Row],[Comments]]+Table1_1[[#This Row],[Clicks]]</f>
        <v>3726</v>
      </c>
      <c r="O22" s="36">
        <f>(Table1_1[[#This Row],[Likes]]+Table1_1[[#This Row],[Shares]]+Table1_1[[#This Row],[Comments]])/ Table1_1[[#This Row],[Impressions]]</f>
        <v>0.10297222222222223</v>
      </c>
    </row>
    <row r="23" spans="1:15" x14ac:dyDescent="0.3">
      <c r="A23" t="s">
        <v>79</v>
      </c>
      <c r="B23" s="41" t="s">
        <v>30</v>
      </c>
      <c r="C23" s="42">
        <v>45466</v>
      </c>
      <c r="D23" s="41" t="s">
        <v>70</v>
      </c>
      <c r="E23" t="s">
        <v>81</v>
      </c>
      <c r="F23" s="17">
        <v>1071</v>
      </c>
      <c r="G23" s="17">
        <v>519</v>
      </c>
      <c r="H23" s="17">
        <v>22</v>
      </c>
      <c r="I23" s="17">
        <v>16065</v>
      </c>
      <c r="J23" s="17">
        <v>15865</v>
      </c>
      <c r="K23" s="17">
        <v>103</v>
      </c>
      <c r="L23" s="41" t="s">
        <v>27</v>
      </c>
      <c r="M23" s="41" t="s">
        <v>35</v>
      </c>
      <c r="N23" s="17">
        <f>Table1_1[[#This Row],[Likes]]+Table1_1[[#This Row],[Shares]]+Table1_1[[#This Row],[Comments]]+Table1_1[[#This Row],[Clicks]]</f>
        <v>1715</v>
      </c>
      <c r="O23" s="36">
        <f>(Table1_1[[#This Row],[Likes]]+Table1_1[[#This Row],[Shares]]+Table1_1[[#This Row],[Comments]])/ Table1_1[[#This Row],[Impressions]]</f>
        <v>0.10034235916588857</v>
      </c>
    </row>
    <row r="24" spans="1:15" x14ac:dyDescent="0.3">
      <c r="A24" t="s">
        <v>82</v>
      </c>
      <c r="B24" s="41" t="s">
        <v>30</v>
      </c>
      <c r="C24" s="42">
        <v>45544</v>
      </c>
      <c r="D24" s="41" t="s">
        <v>41</v>
      </c>
      <c r="E24" t="s">
        <v>84</v>
      </c>
      <c r="F24" s="17">
        <v>4054</v>
      </c>
      <c r="G24" s="17">
        <v>488</v>
      </c>
      <c r="H24" s="17">
        <v>373</v>
      </c>
      <c r="I24" s="17">
        <v>77026</v>
      </c>
      <c r="J24" s="17">
        <v>76881</v>
      </c>
      <c r="K24" s="17">
        <v>25</v>
      </c>
      <c r="L24" s="41" t="s">
        <v>27</v>
      </c>
      <c r="M24" s="41" t="s">
        <v>17</v>
      </c>
      <c r="N24" s="17">
        <f>Table1_1[[#This Row],[Likes]]+Table1_1[[#This Row],[Shares]]+Table1_1[[#This Row],[Comments]]+Table1_1[[#This Row],[Clicks]]</f>
        <v>4940</v>
      </c>
      <c r="O24" s="36">
        <f>(Table1_1[[#This Row],[Likes]]+Table1_1[[#This Row],[Shares]]+Table1_1[[#This Row],[Comments]])/ Table1_1[[#This Row],[Impressions]]</f>
        <v>6.3809622724794221E-2</v>
      </c>
    </row>
    <row r="25" spans="1:15" x14ac:dyDescent="0.3">
      <c r="A25" t="s">
        <v>85</v>
      </c>
      <c r="B25" s="41" t="s">
        <v>30</v>
      </c>
      <c r="C25" s="42">
        <v>45661</v>
      </c>
      <c r="D25" s="41" t="s">
        <v>15</v>
      </c>
      <c r="E25" t="s">
        <v>78</v>
      </c>
      <c r="F25" s="17">
        <v>4838</v>
      </c>
      <c r="G25" s="17">
        <v>640</v>
      </c>
      <c r="H25" s="17">
        <v>128</v>
      </c>
      <c r="I25" s="17">
        <v>72570</v>
      </c>
      <c r="J25" s="17">
        <v>72396</v>
      </c>
      <c r="K25" s="17">
        <v>83</v>
      </c>
      <c r="L25" s="41" t="s">
        <v>58</v>
      </c>
      <c r="M25" s="41" t="s">
        <v>35</v>
      </c>
      <c r="N25" s="17">
        <f>Table1_1[[#This Row],[Likes]]+Table1_1[[#This Row],[Shares]]+Table1_1[[#This Row],[Comments]]+Table1_1[[#This Row],[Clicks]]</f>
        <v>5689</v>
      </c>
      <c r="O25" s="36">
        <f>(Table1_1[[#This Row],[Likes]]+Table1_1[[#This Row],[Shares]]+Table1_1[[#This Row],[Comments]])/ Table1_1[[#This Row],[Impressions]]</f>
        <v>7.7249552156538517E-2</v>
      </c>
    </row>
    <row r="26" spans="1:15" x14ac:dyDescent="0.3">
      <c r="A26" t="s">
        <v>87</v>
      </c>
      <c r="B26" s="41" t="s">
        <v>39</v>
      </c>
      <c r="C26" s="42">
        <v>45715</v>
      </c>
      <c r="D26" s="41" t="s">
        <v>20</v>
      </c>
      <c r="E26" t="s">
        <v>52</v>
      </c>
      <c r="F26" s="17">
        <v>1570</v>
      </c>
      <c r="G26" s="17">
        <v>187</v>
      </c>
      <c r="H26" s="17">
        <v>260</v>
      </c>
      <c r="I26" s="17">
        <v>25120</v>
      </c>
      <c r="J26" s="17">
        <v>24613</v>
      </c>
      <c r="K26" s="17">
        <v>133</v>
      </c>
      <c r="L26" s="41" t="s">
        <v>27</v>
      </c>
      <c r="M26" s="41" t="s">
        <v>35</v>
      </c>
      <c r="N26" s="17">
        <f>Table1_1[[#This Row],[Likes]]+Table1_1[[#This Row],[Shares]]+Table1_1[[#This Row],[Comments]]+Table1_1[[#This Row],[Clicks]]</f>
        <v>2150</v>
      </c>
      <c r="O26" s="36">
        <f>(Table1_1[[#This Row],[Likes]]+Table1_1[[#This Row],[Shares]]+Table1_1[[#This Row],[Comments]])/ Table1_1[[#This Row],[Impressions]]</f>
        <v>8.0294585987261149E-2</v>
      </c>
    </row>
    <row r="27" spans="1:15" x14ac:dyDescent="0.3">
      <c r="A27" t="s">
        <v>89</v>
      </c>
      <c r="B27" s="41" t="s">
        <v>39</v>
      </c>
      <c r="C27" s="42">
        <v>45602</v>
      </c>
      <c r="D27" s="41" t="s">
        <v>70</v>
      </c>
      <c r="E27" t="s">
        <v>71</v>
      </c>
      <c r="F27" s="17">
        <v>1606</v>
      </c>
      <c r="G27" s="17">
        <v>547</v>
      </c>
      <c r="H27" s="17">
        <v>316</v>
      </c>
      <c r="I27" s="17">
        <v>32120</v>
      </c>
      <c r="J27" s="17">
        <v>31736</v>
      </c>
      <c r="K27" s="17">
        <v>225</v>
      </c>
      <c r="L27" s="41" t="s">
        <v>27</v>
      </c>
      <c r="M27" s="41" t="s">
        <v>22</v>
      </c>
      <c r="N27" s="17">
        <f>Table1_1[[#This Row],[Likes]]+Table1_1[[#This Row],[Shares]]+Table1_1[[#This Row],[Comments]]+Table1_1[[#This Row],[Clicks]]</f>
        <v>2694</v>
      </c>
      <c r="O27" s="36">
        <f>(Table1_1[[#This Row],[Likes]]+Table1_1[[#This Row],[Shares]]+Table1_1[[#This Row],[Comments]])/ Table1_1[[#This Row],[Impressions]]</f>
        <v>7.6867995018679955E-2</v>
      </c>
    </row>
    <row r="28" spans="1:15" x14ac:dyDescent="0.3">
      <c r="A28" t="s">
        <v>89</v>
      </c>
      <c r="B28" s="41" t="s">
        <v>39</v>
      </c>
      <c r="C28" s="42">
        <v>45602</v>
      </c>
      <c r="D28" s="41" t="s">
        <v>70</v>
      </c>
      <c r="E28" t="s">
        <v>71</v>
      </c>
      <c r="F28" s="17">
        <v>1606</v>
      </c>
      <c r="G28" s="17">
        <v>547</v>
      </c>
      <c r="H28" s="17">
        <v>316</v>
      </c>
      <c r="I28" s="17">
        <v>32120</v>
      </c>
      <c r="J28" s="17">
        <v>31736</v>
      </c>
      <c r="K28" s="17">
        <v>225</v>
      </c>
      <c r="L28" s="41" t="s">
        <v>551</v>
      </c>
      <c r="M28" s="41" t="s">
        <v>22</v>
      </c>
      <c r="N28" s="17">
        <f>Table1_1[[#This Row],[Likes]]+Table1_1[[#This Row],[Shares]]+Table1_1[[#This Row],[Comments]]+Table1_1[[#This Row],[Clicks]]</f>
        <v>2694</v>
      </c>
      <c r="O28" s="36">
        <f>(Table1_1[[#This Row],[Likes]]+Table1_1[[#This Row],[Shares]]+Table1_1[[#This Row],[Comments]])/ Table1_1[[#This Row],[Impressions]]</f>
        <v>7.6867995018679955E-2</v>
      </c>
    </row>
    <row r="29" spans="1:15" x14ac:dyDescent="0.3">
      <c r="A29" t="s">
        <v>91</v>
      </c>
      <c r="B29" s="41" t="s">
        <v>39</v>
      </c>
      <c r="C29" s="42">
        <v>45680</v>
      </c>
      <c r="D29" s="41" t="s">
        <v>70</v>
      </c>
      <c r="E29" t="s">
        <v>71</v>
      </c>
      <c r="F29" s="17">
        <v>3961</v>
      </c>
      <c r="G29" s="17">
        <v>761</v>
      </c>
      <c r="H29" s="17">
        <v>131</v>
      </c>
      <c r="I29" s="17">
        <v>67337</v>
      </c>
      <c r="J29" s="17">
        <v>66615</v>
      </c>
      <c r="K29" s="17">
        <v>161</v>
      </c>
      <c r="L29" s="41" t="s">
        <v>58</v>
      </c>
      <c r="M29" s="41" t="s">
        <v>28</v>
      </c>
      <c r="N29" s="17">
        <f>Table1_1[[#This Row],[Likes]]+Table1_1[[#This Row],[Shares]]+Table1_1[[#This Row],[Comments]]+Table1_1[[#This Row],[Clicks]]</f>
        <v>5014</v>
      </c>
      <c r="O29" s="36">
        <f>(Table1_1[[#This Row],[Likes]]+Table1_1[[#This Row],[Shares]]+Table1_1[[#This Row],[Comments]])/ Table1_1[[#This Row],[Impressions]]</f>
        <v>7.2070332803659209E-2</v>
      </c>
    </row>
    <row r="30" spans="1:15" x14ac:dyDescent="0.3">
      <c r="A30" t="s">
        <v>93</v>
      </c>
      <c r="B30" s="41" t="s">
        <v>13</v>
      </c>
      <c r="C30" s="42">
        <v>45757</v>
      </c>
      <c r="D30" s="41" t="s">
        <v>41</v>
      </c>
      <c r="E30" t="s">
        <v>45</v>
      </c>
      <c r="F30" s="17">
        <v>3128</v>
      </c>
      <c r="G30" s="17">
        <v>211</v>
      </c>
      <c r="H30" s="17">
        <v>197</v>
      </c>
      <c r="I30" s="17">
        <v>59432</v>
      </c>
      <c r="J30" s="17">
        <v>59182</v>
      </c>
      <c r="K30" s="17">
        <v>238</v>
      </c>
      <c r="L30" s="41" t="s">
        <v>34</v>
      </c>
      <c r="N30" s="17">
        <f>Table1_1[[#This Row],[Likes]]+Table1_1[[#This Row],[Shares]]+Table1_1[[#This Row],[Comments]]+Table1_1[[#This Row],[Clicks]]</f>
        <v>3774</v>
      </c>
      <c r="O30" s="36">
        <f>(Table1_1[[#This Row],[Likes]]+Table1_1[[#This Row],[Shares]]+Table1_1[[#This Row],[Comments]])/ Table1_1[[#This Row],[Impressions]]</f>
        <v>5.9496567505720827E-2</v>
      </c>
    </row>
    <row r="31" spans="1:15" x14ac:dyDescent="0.3">
      <c r="A31" t="s">
        <v>95</v>
      </c>
      <c r="B31" s="41" t="s">
        <v>24</v>
      </c>
      <c r="C31" s="42">
        <v>45752</v>
      </c>
      <c r="D31" s="41" t="s">
        <v>15</v>
      </c>
      <c r="E31" t="s">
        <v>26</v>
      </c>
      <c r="F31" s="17">
        <v>3009</v>
      </c>
      <c r="G31" s="17">
        <v>413</v>
      </c>
      <c r="H31" s="17">
        <v>358</v>
      </c>
      <c r="I31" s="17">
        <v>42126</v>
      </c>
      <c r="J31" s="17">
        <v>41309</v>
      </c>
      <c r="K31" s="17">
        <v>211</v>
      </c>
      <c r="L31" s="41" t="s">
        <v>58</v>
      </c>
      <c r="M31" s="41" t="s">
        <v>22</v>
      </c>
      <c r="N31" s="17">
        <f>Table1_1[[#This Row],[Likes]]+Table1_1[[#This Row],[Shares]]+Table1_1[[#This Row],[Comments]]+Table1_1[[#This Row],[Clicks]]</f>
        <v>3991</v>
      </c>
      <c r="O31" s="36">
        <f>(Table1_1[[#This Row],[Likes]]+Table1_1[[#This Row],[Shares]]+Table1_1[[#This Row],[Comments]])/ Table1_1[[#This Row],[Impressions]]</f>
        <v>8.9730807577268201E-2</v>
      </c>
    </row>
    <row r="32" spans="1:15" x14ac:dyDescent="0.3">
      <c r="A32" t="s">
        <v>97</v>
      </c>
      <c r="B32" s="41" t="s">
        <v>24</v>
      </c>
      <c r="C32" s="42">
        <v>45552</v>
      </c>
      <c r="D32" s="41" t="s">
        <v>20</v>
      </c>
      <c r="E32" t="s">
        <v>99</v>
      </c>
      <c r="F32" s="17">
        <v>2076</v>
      </c>
      <c r="G32" s="17">
        <v>195</v>
      </c>
      <c r="H32" s="17">
        <v>104</v>
      </c>
      <c r="I32" s="17">
        <v>33216</v>
      </c>
      <c r="J32" s="17">
        <v>32244</v>
      </c>
      <c r="K32" s="17">
        <v>51</v>
      </c>
      <c r="L32" s="41" t="s">
        <v>58</v>
      </c>
      <c r="M32" s="41" t="s">
        <v>35</v>
      </c>
      <c r="N32" s="17">
        <f>Table1_1[[#This Row],[Likes]]+Table1_1[[#This Row],[Shares]]+Table1_1[[#This Row],[Comments]]+Table1_1[[#This Row],[Clicks]]</f>
        <v>2426</v>
      </c>
      <c r="O32" s="36">
        <f>(Table1_1[[#This Row],[Likes]]+Table1_1[[#This Row],[Shares]]+Table1_1[[#This Row],[Comments]])/ Table1_1[[#This Row],[Impressions]]</f>
        <v>7.1501685934489398E-2</v>
      </c>
    </row>
    <row r="33" spans="1:15" x14ac:dyDescent="0.3">
      <c r="A33" t="s">
        <v>100</v>
      </c>
      <c r="B33" s="41" t="s">
        <v>30</v>
      </c>
      <c r="C33" s="42">
        <v>45720</v>
      </c>
      <c r="D33" s="41" t="s">
        <v>70</v>
      </c>
      <c r="E33" t="s">
        <v>81</v>
      </c>
      <c r="F33" s="17">
        <v>432</v>
      </c>
      <c r="G33" s="17">
        <v>624</v>
      </c>
      <c r="H33" s="17">
        <v>123</v>
      </c>
      <c r="I33" s="17">
        <v>6912</v>
      </c>
      <c r="J33" s="17">
        <v>6259</v>
      </c>
      <c r="K33" s="17">
        <v>79</v>
      </c>
      <c r="L33" s="41" t="s">
        <v>58</v>
      </c>
      <c r="M33" s="41" t="s">
        <v>35</v>
      </c>
      <c r="N33" s="17">
        <f>Table1_1[[#This Row],[Likes]]+Table1_1[[#This Row],[Shares]]+Table1_1[[#This Row],[Comments]]+Table1_1[[#This Row],[Clicks]]</f>
        <v>1258</v>
      </c>
      <c r="O33" s="36">
        <f>(Table1_1[[#This Row],[Likes]]+Table1_1[[#This Row],[Shares]]+Table1_1[[#This Row],[Comments]])/ Table1_1[[#This Row],[Impressions]]</f>
        <v>0.17057291666666666</v>
      </c>
    </row>
    <row r="34" spans="1:15" x14ac:dyDescent="0.3">
      <c r="A34" t="s">
        <v>102</v>
      </c>
      <c r="B34" s="41" t="s">
        <v>30</v>
      </c>
      <c r="C34" s="42">
        <v>45688</v>
      </c>
      <c r="D34" s="41" t="s">
        <v>41</v>
      </c>
      <c r="E34" t="s">
        <v>84</v>
      </c>
      <c r="F34" s="17">
        <v>2566</v>
      </c>
      <c r="G34" s="17">
        <v>118</v>
      </c>
      <c r="H34" s="17">
        <v>37</v>
      </c>
      <c r="I34" s="17">
        <v>12830</v>
      </c>
      <c r="J34" s="17">
        <v>12264</v>
      </c>
      <c r="K34" s="17">
        <v>221</v>
      </c>
      <c r="L34" s="41" t="s">
        <v>58</v>
      </c>
      <c r="M34" s="41" t="s">
        <v>28</v>
      </c>
      <c r="N34" s="17">
        <f>Table1_1[[#This Row],[Likes]]+Table1_1[[#This Row],[Shares]]+Table1_1[[#This Row],[Comments]]+Table1_1[[#This Row],[Clicks]]</f>
        <v>2942</v>
      </c>
      <c r="O34" s="36">
        <f>(Table1_1[[#This Row],[Likes]]+Table1_1[[#This Row],[Shares]]+Table1_1[[#This Row],[Comments]])/ Table1_1[[#This Row],[Impressions]]</f>
        <v>0.21208106001558846</v>
      </c>
    </row>
    <row r="35" spans="1:15" x14ac:dyDescent="0.3">
      <c r="A35" t="s">
        <v>104</v>
      </c>
      <c r="B35" s="41" t="s">
        <v>30</v>
      </c>
      <c r="C35" s="42">
        <v>45713</v>
      </c>
      <c r="D35" s="41" t="s">
        <v>70</v>
      </c>
      <c r="E35" t="s">
        <v>81</v>
      </c>
      <c r="F35" s="17">
        <v>3095</v>
      </c>
      <c r="G35" s="17">
        <v>39</v>
      </c>
      <c r="H35" s="17">
        <v>78</v>
      </c>
      <c r="I35" s="17">
        <v>55710</v>
      </c>
      <c r="J35" s="17">
        <v>54808</v>
      </c>
      <c r="K35" s="17">
        <v>93</v>
      </c>
      <c r="L35" s="41" t="s">
        <v>34</v>
      </c>
      <c r="N35" s="17">
        <f>Table1_1[[#This Row],[Likes]]+Table1_1[[#This Row],[Shares]]+Table1_1[[#This Row],[Comments]]+Table1_1[[#This Row],[Clicks]]</f>
        <v>3305</v>
      </c>
      <c r="O35" s="36">
        <f>(Table1_1[[#This Row],[Likes]]+Table1_1[[#This Row],[Shares]]+Table1_1[[#This Row],[Comments]])/ Table1_1[[#This Row],[Impressions]]</f>
        <v>5.7655717106444085E-2</v>
      </c>
    </row>
    <row r="36" spans="1:15" x14ac:dyDescent="0.3">
      <c r="A36" t="s">
        <v>106</v>
      </c>
      <c r="B36" s="41" t="s">
        <v>30</v>
      </c>
      <c r="C36" s="42">
        <v>45642</v>
      </c>
      <c r="D36" s="41" t="s">
        <v>20</v>
      </c>
      <c r="E36" t="s">
        <v>108</v>
      </c>
      <c r="F36" s="17">
        <v>438</v>
      </c>
      <c r="G36" s="17">
        <v>153</v>
      </c>
      <c r="H36" s="17">
        <v>275</v>
      </c>
      <c r="I36" s="17">
        <v>3066</v>
      </c>
      <c r="J36" s="17">
        <v>2701</v>
      </c>
      <c r="K36" s="17">
        <v>282</v>
      </c>
      <c r="L36" s="41" t="s">
        <v>27</v>
      </c>
      <c r="M36" s="41" t="s">
        <v>22</v>
      </c>
      <c r="N36" s="17">
        <f>Table1_1[[#This Row],[Likes]]+Table1_1[[#This Row],[Shares]]+Table1_1[[#This Row],[Comments]]+Table1_1[[#This Row],[Clicks]]</f>
        <v>1148</v>
      </c>
      <c r="O36" s="36">
        <f>(Table1_1[[#This Row],[Likes]]+Table1_1[[#This Row],[Shares]]+Table1_1[[#This Row],[Comments]])/ Table1_1[[#This Row],[Impressions]]</f>
        <v>0.28245270711024134</v>
      </c>
    </row>
    <row r="37" spans="1:15" x14ac:dyDescent="0.3">
      <c r="A37" t="s">
        <v>109</v>
      </c>
      <c r="B37" s="41" t="s">
        <v>13</v>
      </c>
      <c r="C37" s="42">
        <v>45504</v>
      </c>
      <c r="D37" s="41" t="s">
        <v>41</v>
      </c>
      <c r="E37" t="s">
        <v>45</v>
      </c>
      <c r="F37" s="17">
        <v>2278</v>
      </c>
      <c r="G37" s="17">
        <v>10</v>
      </c>
      <c r="H37" s="17">
        <v>321</v>
      </c>
      <c r="I37" s="17">
        <v>13668</v>
      </c>
      <c r="J37" s="17">
        <v>12676</v>
      </c>
      <c r="K37" s="17">
        <v>275</v>
      </c>
      <c r="L37" s="41" t="s">
        <v>34</v>
      </c>
      <c r="M37" s="41" t="s">
        <v>17</v>
      </c>
      <c r="N37" s="17">
        <f>Table1_1[[#This Row],[Likes]]+Table1_1[[#This Row],[Shares]]+Table1_1[[#This Row],[Comments]]+Table1_1[[#This Row],[Clicks]]</f>
        <v>2884</v>
      </c>
      <c r="O37" s="36">
        <f>(Table1_1[[#This Row],[Likes]]+Table1_1[[#This Row],[Shares]]+Table1_1[[#This Row],[Comments]])/ Table1_1[[#This Row],[Impressions]]</f>
        <v>0.19088381621305239</v>
      </c>
    </row>
    <row r="38" spans="1:15" x14ac:dyDescent="0.3">
      <c r="A38" t="s">
        <v>111</v>
      </c>
      <c r="B38" s="41" t="s">
        <v>39</v>
      </c>
      <c r="C38" s="42">
        <v>45525</v>
      </c>
      <c r="D38" s="41" t="s">
        <v>48</v>
      </c>
      <c r="E38" t="s">
        <v>55</v>
      </c>
      <c r="F38" s="17">
        <v>1407</v>
      </c>
      <c r="G38" s="17">
        <v>400</v>
      </c>
      <c r="H38" s="17">
        <v>351</v>
      </c>
      <c r="I38" s="17">
        <v>16884</v>
      </c>
      <c r="J38" s="17">
        <v>15954</v>
      </c>
      <c r="K38" s="17">
        <v>113</v>
      </c>
      <c r="L38" s="41" t="s">
        <v>27</v>
      </c>
      <c r="M38" s="41" t="s">
        <v>17</v>
      </c>
      <c r="N38" s="17">
        <f>Table1_1[[#This Row],[Likes]]+Table1_1[[#This Row],[Shares]]+Table1_1[[#This Row],[Comments]]+Table1_1[[#This Row],[Clicks]]</f>
        <v>2271</v>
      </c>
      <c r="O38" s="36">
        <f>(Table1_1[[#This Row],[Likes]]+Table1_1[[#This Row],[Shares]]+Table1_1[[#This Row],[Comments]])/ Table1_1[[#This Row],[Impressions]]</f>
        <v>0.12781331438047855</v>
      </c>
    </row>
    <row r="39" spans="1:15" x14ac:dyDescent="0.3">
      <c r="A39" t="s">
        <v>113</v>
      </c>
      <c r="B39" s="41" t="s">
        <v>39</v>
      </c>
      <c r="C39" s="42">
        <v>45742</v>
      </c>
      <c r="D39" s="41" t="s">
        <v>20</v>
      </c>
      <c r="E39" t="s">
        <v>52</v>
      </c>
      <c r="F39" s="17">
        <v>1652</v>
      </c>
      <c r="G39" s="17">
        <v>89</v>
      </c>
      <c r="H39" s="17">
        <v>357</v>
      </c>
      <c r="I39" s="17">
        <v>29736</v>
      </c>
      <c r="J39" s="17">
        <v>28771</v>
      </c>
      <c r="K39" s="17">
        <v>215</v>
      </c>
      <c r="L39" s="41" t="s">
        <v>27</v>
      </c>
      <c r="M39" s="41" t="s">
        <v>28</v>
      </c>
      <c r="N39" s="17">
        <f>Table1_1[[#This Row],[Likes]]+Table1_1[[#This Row],[Shares]]+Table1_1[[#This Row],[Comments]]+Table1_1[[#This Row],[Clicks]]</f>
        <v>2313</v>
      </c>
      <c r="O39" s="36">
        <f>(Table1_1[[#This Row],[Likes]]+Table1_1[[#This Row],[Shares]]+Table1_1[[#This Row],[Comments]])/ Table1_1[[#This Row],[Impressions]]</f>
        <v>7.055421038471886E-2</v>
      </c>
    </row>
    <row r="40" spans="1:15" x14ac:dyDescent="0.3">
      <c r="A40" t="s">
        <v>115</v>
      </c>
      <c r="B40" s="41" t="s">
        <v>30</v>
      </c>
      <c r="C40" s="42">
        <v>45626</v>
      </c>
      <c r="D40" s="41" t="s">
        <v>70</v>
      </c>
      <c r="E40" t="s">
        <v>81</v>
      </c>
      <c r="F40" s="17">
        <v>3775</v>
      </c>
      <c r="G40" s="17">
        <v>16</v>
      </c>
      <c r="H40" s="17">
        <v>239</v>
      </c>
      <c r="I40" s="17">
        <v>33975</v>
      </c>
      <c r="J40" s="17">
        <v>33310</v>
      </c>
      <c r="K40" s="17">
        <v>271</v>
      </c>
      <c r="L40" s="41" t="s">
        <v>58</v>
      </c>
      <c r="M40" s="41" t="s">
        <v>22</v>
      </c>
      <c r="N40" s="17">
        <f>Table1_1[[#This Row],[Likes]]+Table1_1[[#This Row],[Shares]]+Table1_1[[#This Row],[Comments]]+Table1_1[[#This Row],[Clicks]]</f>
        <v>4301</v>
      </c>
      <c r="O40" s="36">
        <f>(Table1_1[[#This Row],[Likes]]+Table1_1[[#This Row],[Shares]]+Table1_1[[#This Row],[Comments]])/ Table1_1[[#This Row],[Impressions]]</f>
        <v>0.11861662987490802</v>
      </c>
    </row>
    <row r="41" spans="1:15" x14ac:dyDescent="0.3">
      <c r="A41" t="s">
        <v>117</v>
      </c>
      <c r="B41" s="41" t="s">
        <v>30</v>
      </c>
      <c r="C41" s="42">
        <v>45766</v>
      </c>
      <c r="D41" s="41" t="s">
        <v>32</v>
      </c>
      <c r="E41" t="s">
        <v>33</v>
      </c>
      <c r="F41" s="17">
        <v>4518</v>
      </c>
      <c r="G41" s="17">
        <v>285</v>
      </c>
      <c r="H41" s="17">
        <v>383</v>
      </c>
      <c r="I41" s="17">
        <v>67770</v>
      </c>
      <c r="J41" s="17">
        <v>67621</v>
      </c>
      <c r="K41" s="17">
        <v>31</v>
      </c>
      <c r="L41" s="41" t="s">
        <v>34</v>
      </c>
      <c r="M41" s="41" t="s">
        <v>22</v>
      </c>
      <c r="N41" s="17">
        <f>Table1_1[[#This Row],[Likes]]+Table1_1[[#This Row],[Shares]]+Table1_1[[#This Row],[Comments]]+Table1_1[[#This Row],[Clicks]]</f>
        <v>5217</v>
      </c>
      <c r="O41" s="36">
        <f>(Table1_1[[#This Row],[Likes]]+Table1_1[[#This Row],[Shares]]+Table1_1[[#This Row],[Comments]])/ Table1_1[[#This Row],[Impressions]]</f>
        <v>7.6523535487678915E-2</v>
      </c>
    </row>
    <row r="42" spans="1:15" x14ac:dyDescent="0.3">
      <c r="A42" t="s">
        <v>119</v>
      </c>
      <c r="B42" s="41" t="s">
        <v>39</v>
      </c>
      <c r="C42" s="42">
        <v>45663</v>
      </c>
      <c r="D42" s="41" t="s">
        <v>41</v>
      </c>
      <c r="E42" t="s">
        <v>42</v>
      </c>
      <c r="F42" s="17">
        <v>3024</v>
      </c>
      <c r="G42" s="17">
        <v>925</v>
      </c>
      <c r="H42" s="17">
        <v>350</v>
      </c>
      <c r="I42" s="17">
        <v>24192</v>
      </c>
      <c r="J42" s="17">
        <v>23518</v>
      </c>
      <c r="K42" s="17">
        <v>36</v>
      </c>
      <c r="L42" s="41" t="s">
        <v>34</v>
      </c>
      <c r="M42" s="41" t="s">
        <v>22</v>
      </c>
      <c r="N42" s="17">
        <f>Table1_1[[#This Row],[Likes]]+Table1_1[[#This Row],[Shares]]+Table1_1[[#This Row],[Comments]]+Table1_1[[#This Row],[Clicks]]</f>
        <v>4335</v>
      </c>
      <c r="O42" s="36">
        <f>(Table1_1[[#This Row],[Likes]]+Table1_1[[#This Row],[Shares]]+Table1_1[[#This Row],[Comments]])/ Table1_1[[#This Row],[Impressions]]</f>
        <v>0.17770337301587302</v>
      </c>
    </row>
    <row r="43" spans="1:15" x14ac:dyDescent="0.3">
      <c r="A43" t="s">
        <v>121</v>
      </c>
      <c r="B43" s="41" t="s">
        <v>24</v>
      </c>
      <c r="C43" s="42">
        <v>45705</v>
      </c>
      <c r="D43" s="41" t="s">
        <v>15</v>
      </c>
      <c r="E43" t="s">
        <v>26</v>
      </c>
      <c r="F43" s="17">
        <v>3138</v>
      </c>
      <c r="G43" s="17">
        <v>123</v>
      </c>
      <c r="H43" s="17">
        <v>291</v>
      </c>
      <c r="I43" s="17">
        <v>28242</v>
      </c>
      <c r="J43" s="17">
        <v>27550</v>
      </c>
      <c r="K43" s="17">
        <v>87</v>
      </c>
      <c r="L43" s="41" t="s">
        <v>27</v>
      </c>
      <c r="M43" s="41" t="s">
        <v>35</v>
      </c>
      <c r="N43" s="17">
        <f>Table1_1[[#This Row],[Likes]]+Table1_1[[#This Row],[Shares]]+Table1_1[[#This Row],[Comments]]+Table1_1[[#This Row],[Clicks]]</f>
        <v>3639</v>
      </c>
      <c r="O43" s="36">
        <f>(Table1_1[[#This Row],[Likes]]+Table1_1[[#This Row],[Shares]]+Table1_1[[#This Row],[Comments]])/ Table1_1[[#This Row],[Impressions]]</f>
        <v>0.12577012959422137</v>
      </c>
    </row>
    <row r="44" spans="1:15" x14ac:dyDescent="0.3">
      <c r="A44" t="s">
        <v>123</v>
      </c>
      <c r="B44" s="41" t="s">
        <v>39</v>
      </c>
      <c r="C44" s="42">
        <v>45621</v>
      </c>
      <c r="D44" s="41" t="s">
        <v>48</v>
      </c>
      <c r="E44" t="s">
        <v>55</v>
      </c>
      <c r="F44" s="17">
        <v>3564</v>
      </c>
      <c r="G44" s="17">
        <v>629</v>
      </c>
      <c r="H44" s="17">
        <v>177</v>
      </c>
      <c r="I44" s="17">
        <v>60588</v>
      </c>
      <c r="J44" s="17">
        <v>59627</v>
      </c>
      <c r="K44" s="17">
        <v>92</v>
      </c>
      <c r="L44" s="41" t="s">
        <v>27</v>
      </c>
      <c r="N44" s="17">
        <f>Table1_1[[#This Row],[Likes]]+Table1_1[[#This Row],[Shares]]+Table1_1[[#This Row],[Comments]]+Table1_1[[#This Row],[Clicks]]</f>
        <v>4462</v>
      </c>
      <c r="O44" s="36">
        <f>(Table1_1[[#This Row],[Likes]]+Table1_1[[#This Row],[Shares]]+Table1_1[[#This Row],[Comments]])/ Table1_1[[#This Row],[Impressions]]</f>
        <v>7.2126493695121141E-2</v>
      </c>
    </row>
    <row r="45" spans="1:15" x14ac:dyDescent="0.3">
      <c r="A45" t="s">
        <v>125</v>
      </c>
      <c r="B45" s="41" t="s">
        <v>13</v>
      </c>
      <c r="C45" s="42">
        <v>45723</v>
      </c>
      <c r="D45" s="41" t="s">
        <v>48</v>
      </c>
      <c r="E45" t="s">
        <v>127</v>
      </c>
      <c r="F45" s="17">
        <v>4750</v>
      </c>
      <c r="G45" s="17">
        <v>151</v>
      </c>
      <c r="H45" s="17">
        <v>415</v>
      </c>
      <c r="I45" s="17">
        <v>38000</v>
      </c>
      <c r="J45" s="17">
        <v>37792</v>
      </c>
      <c r="K45" s="17">
        <v>299</v>
      </c>
      <c r="L45" s="41" t="s">
        <v>34</v>
      </c>
      <c r="M45" s="41" t="s">
        <v>35</v>
      </c>
      <c r="N45" s="17">
        <f>Table1_1[[#This Row],[Likes]]+Table1_1[[#This Row],[Shares]]+Table1_1[[#This Row],[Comments]]+Table1_1[[#This Row],[Clicks]]</f>
        <v>5615</v>
      </c>
      <c r="O45" s="36">
        <f>(Table1_1[[#This Row],[Likes]]+Table1_1[[#This Row],[Shares]]+Table1_1[[#This Row],[Comments]])/ Table1_1[[#This Row],[Impressions]]</f>
        <v>0.13989473684210527</v>
      </c>
    </row>
    <row r="46" spans="1:15" x14ac:dyDescent="0.3">
      <c r="A46" t="s">
        <v>128</v>
      </c>
      <c r="B46" s="41" t="s">
        <v>30</v>
      </c>
      <c r="C46" s="42">
        <v>45724</v>
      </c>
      <c r="D46" s="41" t="s">
        <v>15</v>
      </c>
      <c r="E46" t="s">
        <v>78</v>
      </c>
      <c r="F46" s="17">
        <v>456</v>
      </c>
      <c r="G46" s="17">
        <v>629</v>
      </c>
      <c r="H46" s="17">
        <v>428</v>
      </c>
      <c r="I46" s="17">
        <v>8208</v>
      </c>
      <c r="J46" s="17">
        <v>7377</v>
      </c>
      <c r="K46" s="17">
        <v>205</v>
      </c>
      <c r="L46" s="41" t="s">
        <v>58</v>
      </c>
      <c r="M46" s="41" t="s">
        <v>35</v>
      </c>
      <c r="N46" s="17">
        <f>Table1_1[[#This Row],[Likes]]+Table1_1[[#This Row],[Shares]]+Table1_1[[#This Row],[Comments]]+Table1_1[[#This Row],[Clicks]]</f>
        <v>1718</v>
      </c>
      <c r="O46" s="36">
        <f>(Table1_1[[#This Row],[Likes]]+Table1_1[[#This Row],[Shares]]+Table1_1[[#This Row],[Comments]])/ Table1_1[[#This Row],[Impressions]]</f>
        <v>0.18433235867446393</v>
      </c>
    </row>
    <row r="47" spans="1:15" x14ac:dyDescent="0.3">
      <c r="A47" t="s">
        <v>130</v>
      </c>
      <c r="B47" s="41" t="s">
        <v>24</v>
      </c>
      <c r="C47" s="42">
        <v>45721</v>
      </c>
      <c r="D47" s="41" t="s">
        <v>15</v>
      </c>
      <c r="E47" t="s">
        <v>26</v>
      </c>
      <c r="F47" s="17">
        <v>1543</v>
      </c>
      <c r="G47" s="17">
        <v>820</v>
      </c>
      <c r="H47" s="17">
        <v>333</v>
      </c>
      <c r="I47" s="17">
        <v>12344</v>
      </c>
      <c r="J47" s="17">
        <v>11496</v>
      </c>
      <c r="K47" s="17">
        <v>241</v>
      </c>
      <c r="L47" s="41" t="s">
        <v>34</v>
      </c>
      <c r="N47" s="17">
        <f>Table1_1[[#This Row],[Likes]]+Table1_1[[#This Row],[Shares]]+Table1_1[[#This Row],[Comments]]+Table1_1[[#This Row],[Clicks]]</f>
        <v>2937</v>
      </c>
      <c r="O47" s="36">
        <f>(Table1_1[[#This Row],[Likes]]+Table1_1[[#This Row],[Shares]]+Table1_1[[#This Row],[Comments]])/ Table1_1[[#This Row],[Impressions]]</f>
        <v>0.21840570317563188</v>
      </c>
    </row>
    <row r="48" spans="1:15" x14ac:dyDescent="0.3">
      <c r="A48" t="s">
        <v>132</v>
      </c>
      <c r="B48" s="41" t="s">
        <v>30</v>
      </c>
      <c r="C48" s="42">
        <v>45640</v>
      </c>
      <c r="D48" s="41" t="s">
        <v>41</v>
      </c>
      <c r="E48" t="s">
        <v>84</v>
      </c>
      <c r="F48" s="17">
        <v>2174</v>
      </c>
      <c r="G48" s="17">
        <v>658</v>
      </c>
      <c r="H48" s="17">
        <v>15</v>
      </c>
      <c r="I48" s="17">
        <v>13044</v>
      </c>
      <c r="J48" s="17">
        <v>12206</v>
      </c>
      <c r="K48" s="17">
        <v>137</v>
      </c>
      <c r="L48" s="41" t="s">
        <v>27</v>
      </c>
      <c r="M48" s="41" t="s">
        <v>28</v>
      </c>
      <c r="N48" s="17">
        <f>Table1_1[[#This Row],[Likes]]+Table1_1[[#This Row],[Shares]]+Table1_1[[#This Row],[Comments]]+Table1_1[[#This Row],[Clicks]]</f>
        <v>2984</v>
      </c>
      <c r="O48" s="36">
        <f>(Table1_1[[#This Row],[Likes]]+Table1_1[[#This Row],[Shares]]+Table1_1[[#This Row],[Comments]])/ Table1_1[[#This Row],[Impressions]]</f>
        <v>0.21826126954921804</v>
      </c>
    </row>
    <row r="49" spans="1:15" x14ac:dyDescent="0.3">
      <c r="A49" t="s">
        <v>134</v>
      </c>
      <c r="B49" s="41" t="s">
        <v>13</v>
      </c>
      <c r="C49" s="42">
        <v>45718</v>
      </c>
      <c r="D49" s="41" t="s">
        <v>48</v>
      </c>
      <c r="E49" t="s">
        <v>127</v>
      </c>
      <c r="F49" s="17">
        <v>2358</v>
      </c>
      <c r="G49" s="17">
        <v>784</v>
      </c>
      <c r="H49" s="17">
        <v>344</v>
      </c>
      <c r="I49" s="17">
        <v>35370</v>
      </c>
      <c r="J49" s="17">
        <v>34475</v>
      </c>
      <c r="K49" s="17">
        <v>216</v>
      </c>
      <c r="L49" s="41" t="s">
        <v>27</v>
      </c>
      <c r="N49" s="17">
        <f>Table1_1[[#This Row],[Likes]]+Table1_1[[#This Row],[Shares]]+Table1_1[[#This Row],[Comments]]+Table1_1[[#This Row],[Clicks]]</f>
        <v>3702</v>
      </c>
      <c r="O49" s="36">
        <f>(Table1_1[[#This Row],[Likes]]+Table1_1[[#This Row],[Shares]]+Table1_1[[#This Row],[Comments]])/ Table1_1[[#This Row],[Impressions]]</f>
        <v>9.8558100084817649E-2</v>
      </c>
    </row>
    <row r="50" spans="1:15" x14ac:dyDescent="0.3">
      <c r="A50" t="s">
        <v>136</v>
      </c>
      <c r="B50" s="41" t="s">
        <v>39</v>
      </c>
      <c r="C50" s="42">
        <v>45597</v>
      </c>
      <c r="D50" s="41" t="s">
        <v>70</v>
      </c>
      <c r="E50" t="s">
        <v>71</v>
      </c>
      <c r="F50" s="17">
        <v>3371</v>
      </c>
      <c r="G50" s="17">
        <v>106</v>
      </c>
      <c r="H50" s="17">
        <v>327</v>
      </c>
      <c r="I50" s="17">
        <v>50565</v>
      </c>
      <c r="J50" s="17">
        <v>49816</v>
      </c>
      <c r="K50" s="17">
        <v>176</v>
      </c>
      <c r="L50" s="41" t="s">
        <v>58</v>
      </c>
      <c r="M50" s="41" t="s">
        <v>17</v>
      </c>
      <c r="N50" s="17">
        <f>Table1_1[[#This Row],[Likes]]+Table1_1[[#This Row],[Shares]]+Table1_1[[#This Row],[Comments]]+Table1_1[[#This Row],[Clicks]]</f>
        <v>3980</v>
      </c>
      <c r="O50" s="36">
        <f>(Table1_1[[#This Row],[Likes]]+Table1_1[[#This Row],[Shares]]+Table1_1[[#This Row],[Comments]])/ Table1_1[[#This Row],[Impressions]]</f>
        <v>7.5229902106199939E-2</v>
      </c>
    </row>
    <row r="51" spans="1:15" x14ac:dyDescent="0.3">
      <c r="A51" t="s">
        <v>138</v>
      </c>
      <c r="B51" s="41" t="s">
        <v>13</v>
      </c>
      <c r="C51" s="42">
        <v>45779</v>
      </c>
      <c r="D51" s="41" t="s">
        <v>70</v>
      </c>
      <c r="E51" t="s">
        <v>140</v>
      </c>
      <c r="F51" s="17">
        <v>1108</v>
      </c>
      <c r="G51" s="17">
        <v>177</v>
      </c>
      <c r="H51" s="17">
        <v>212</v>
      </c>
      <c r="I51" s="17">
        <v>8864</v>
      </c>
      <c r="J51" s="17">
        <v>8710</v>
      </c>
      <c r="K51" s="17">
        <v>97</v>
      </c>
      <c r="L51" s="41" t="s">
        <v>27</v>
      </c>
      <c r="M51" s="41" t="s">
        <v>35</v>
      </c>
      <c r="N51" s="17">
        <f>Table1_1[[#This Row],[Likes]]+Table1_1[[#This Row],[Shares]]+Table1_1[[#This Row],[Comments]]+Table1_1[[#This Row],[Clicks]]</f>
        <v>1594</v>
      </c>
      <c r="O51" s="36">
        <f>(Table1_1[[#This Row],[Likes]]+Table1_1[[#This Row],[Shares]]+Table1_1[[#This Row],[Comments]])/ Table1_1[[#This Row],[Impressions]]</f>
        <v>0.16888537906137185</v>
      </c>
    </row>
    <row r="52" spans="1:15" x14ac:dyDescent="0.3">
      <c r="A52" t="s">
        <v>141</v>
      </c>
      <c r="B52" s="41" t="s">
        <v>13</v>
      </c>
      <c r="C52" s="42">
        <v>45712</v>
      </c>
      <c r="D52" s="41" t="s">
        <v>41</v>
      </c>
      <c r="E52" t="s">
        <v>45</v>
      </c>
      <c r="F52" s="17">
        <v>2704</v>
      </c>
      <c r="G52" s="17">
        <v>752</v>
      </c>
      <c r="H52" s="17">
        <v>153</v>
      </c>
      <c r="I52" s="17">
        <v>21632</v>
      </c>
      <c r="J52" s="17">
        <v>20792</v>
      </c>
      <c r="K52" s="17">
        <v>127</v>
      </c>
      <c r="L52" s="41" t="s">
        <v>58</v>
      </c>
      <c r="N52" s="17">
        <f>Table1_1[[#This Row],[Likes]]+Table1_1[[#This Row],[Shares]]+Table1_1[[#This Row],[Comments]]+Table1_1[[#This Row],[Clicks]]</f>
        <v>3736</v>
      </c>
      <c r="O52" s="36">
        <f>(Table1_1[[#This Row],[Likes]]+Table1_1[[#This Row],[Shares]]+Table1_1[[#This Row],[Comments]])/ Table1_1[[#This Row],[Impressions]]</f>
        <v>0.16683616863905326</v>
      </c>
    </row>
    <row r="53" spans="1:15" x14ac:dyDescent="0.3">
      <c r="A53" t="s">
        <v>143</v>
      </c>
      <c r="B53" s="41" t="s">
        <v>13</v>
      </c>
      <c r="C53" s="42">
        <v>45727</v>
      </c>
      <c r="D53" s="41" t="s">
        <v>32</v>
      </c>
      <c r="E53" t="s">
        <v>144</v>
      </c>
      <c r="F53" s="17">
        <v>1950</v>
      </c>
      <c r="G53" s="17">
        <v>295</v>
      </c>
      <c r="H53" s="17">
        <v>478</v>
      </c>
      <c r="I53" s="17">
        <v>37050</v>
      </c>
      <c r="J53" s="17">
        <v>36272</v>
      </c>
      <c r="K53" s="17">
        <v>119</v>
      </c>
      <c r="L53" s="41" t="s">
        <v>27</v>
      </c>
      <c r="N53" s="17">
        <f>Table1_1[[#This Row],[Likes]]+Table1_1[[#This Row],[Shares]]+Table1_1[[#This Row],[Comments]]+Table1_1[[#This Row],[Clicks]]</f>
        <v>2842</v>
      </c>
      <c r="O53" s="36">
        <f>(Table1_1[[#This Row],[Likes]]+Table1_1[[#This Row],[Shares]]+Table1_1[[#This Row],[Comments]])/ Table1_1[[#This Row],[Impressions]]</f>
        <v>7.349527665317139E-2</v>
      </c>
    </row>
    <row r="54" spans="1:15" x14ac:dyDescent="0.3">
      <c r="A54" t="s">
        <v>145</v>
      </c>
      <c r="B54" s="41" t="s">
        <v>13</v>
      </c>
      <c r="C54" s="42">
        <v>45453</v>
      </c>
      <c r="D54" s="41" t="s">
        <v>32</v>
      </c>
      <c r="E54" t="s">
        <v>144</v>
      </c>
      <c r="F54" s="17">
        <v>2164</v>
      </c>
      <c r="G54" s="17">
        <v>549</v>
      </c>
      <c r="H54" s="17">
        <v>274</v>
      </c>
      <c r="I54" s="17">
        <v>28132</v>
      </c>
      <c r="J54" s="17">
        <v>27361</v>
      </c>
      <c r="K54" s="17">
        <v>177</v>
      </c>
      <c r="L54" s="41" t="s">
        <v>27</v>
      </c>
      <c r="M54" s="41" t="s">
        <v>35</v>
      </c>
      <c r="N54" s="17">
        <f>Table1_1[[#This Row],[Likes]]+Table1_1[[#This Row],[Shares]]+Table1_1[[#This Row],[Comments]]+Table1_1[[#This Row],[Clicks]]</f>
        <v>3164</v>
      </c>
      <c r="O54" s="36">
        <f>(Table1_1[[#This Row],[Likes]]+Table1_1[[#This Row],[Shares]]+Table1_1[[#This Row],[Comments]])/ Table1_1[[#This Row],[Impressions]]</f>
        <v>0.10617801791554102</v>
      </c>
    </row>
    <row r="55" spans="1:15" x14ac:dyDescent="0.3">
      <c r="A55" t="s">
        <v>147</v>
      </c>
      <c r="B55" s="41" t="s">
        <v>24</v>
      </c>
      <c r="C55" s="42">
        <v>45476</v>
      </c>
      <c r="D55" s="41" t="s">
        <v>32</v>
      </c>
      <c r="E55" t="s">
        <v>149</v>
      </c>
      <c r="F55" s="17">
        <v>2754</v>
      </c>
      <c r="G55" s="17">
        <v>130</v>
      </c>
      <c r="H55" s="17">
        <v>90</v>
      </c>
      <c r="I55" s="17">
        <v>22032</v>
      </c>
      <c r="J55" s="17">
        <v>21288</v>
      </c>
      <c r="K55" s="17">
        <v>112</v>
      </c>
      <c r="L55" s="41" t="s">
        <v>27</v>
      </c>
      <c r="M55" s="41" t="s">
        <v>28</v>
      </c>
      <c r="N55" s="17">
        <f>Table1_1[[#This Row],[Likes]]+Table1_1[[#This Row],[Shares]]+Table1_1[[#This Row],[Comments]]+Table1_1[[#This Row],[Clicks]]</f>
        <v>3086</v>
      </c>
      <c r="O55" s="36">
        <f>(Table1_1[[#This Row],[Likes]]+Table1_1[[#This Row],[Shares]]+Table1_1[[#This Row],[Comments]])/ Table1_1[[#This Row],[Impressions]]</f>
        <v>0.13498547567175018</v>
      </c>
    </row>
    <row r="56" spans="1:15" x14ac:dyDescent="0.3">
      <c r="A56" t="s">
        <v>150</v>
      </c>
      <c r="B56" s="41" t="s">
        <v>39</v>
      </c>
      <c r="C56" s="42">
        <v>45456</v>
      </c>
      <c r="D56" s="41" t="s">
        <v>41</v>
      </c>
      <c r="E56" t="s">
        <v>42</v>
      </c>
      <c r="F56" s="17">
        <v>2200</v>
      </c>
      <c r="G56" s="17">
        <v>504</v>
      </c>
      <c r="H56" s="17">
        <v>239</v>
      </c>
      <c r="I56" s="17">
        <v>37400</v>
      </c>
      <c r="J56" s="17">
        <v>36938</v>
      </c>
      <c r="K56" s="17">
        <v>225</v>
      </c>
      <c r="L56" s="41" t="s">
        <v>58</v>
      </c>
      <c r="M56" s="41" t="s">
        <v>22</v>
      </c>
      <c r="N56" s="17">
        <f>Table1_1[[#This Row],[Likes]]+Table1_1[[#This Row],[Shares]]+Table1_1[[#This Row],[Comments]]+Table1_1[[#This Row],[Clicks]]</f>
        <v>3168</v>
      </c>
      <c r="O56" s="36">
        <f>(Table1_1[[#This Row],[Likes]]+Table1_1[[#This Row],[Shares]]+Table1_1[[#This Row],[Comments]])/ Table1_1[[#This Row],[Impressions]]</f>
        <v>7.8689839572192513E-2</v>
      </c>
    </row>
    <row r="57" spans="1:15" x14ac:dyDescent="0.3">
      <c r="A57" t="s">
        <v>152</v>
      </c>
      <c r="B57" s="41" t="s">
        <v>39</v>
      </c>
      <c r="C57" s="42">
        <v>45660</v>
      </c>
      <c r="D57" s="41" t="s">
        <v>48</v>
      </c>
      <c r="E57" t="s">
        <v>55</v>
      </c>
      <c r="F57" s="17">
        <v>947</v>
      </c>
      <c r="G57" s="17">
        <v>338</v>
      </c>
      <c r="H57" s="17">
        <v>350</v>
      </c>
      <c r="I57" s="17">
        <v>10417</v>
      </c>
      <c r="J57" s="17">
        <v>9730</v>
      </c>
      <c r="K57" s="17">
        <v>34</v>
      </c>
      <c r="L57" s="41" t="s">
        <v>27</v>
      </c>
      <c r="M57" s="41" t="s">
        <v>35</v>
      </c>
      <c r="N57" s="17">
        <f>Table1_1[[#This Row],[Likes]]+Table1_1[[#This Row],[Shares]]+Table1_1[[#This Row],[Comments]]+Table1_1[[#This Row],[Clicks]]</f>
        <v>1669</v>
      </c>
      <c r="O57" s="36">
        <f>(Table1_1[[#This Row],[Likes]]+Table1_1[[#This Row],[Shares]]+Table1_1[[#This Row],[Comments]])/ Table1_1[[#This Row],[Impressions]]</f>
        <v>0.1569549774407219</v>
      </c>
    </row>
    <row r="58" spans="1:15" x14ac:dyDescent="0.3">
      <c r="A58" t="s">
        <v>154</v>
      </c>
      <c r="B58" s="41" t="s">
        <v>24</v>
      </c>
      <c r="C58" s="42">
        <v>45712</v>
      </c>
      <c r="D58" s="41" t="s">
        <v>41</v>
      </c>
      <c r="E58" t="s">
        <v>64</v>
      </c>
      <c r="F58" s="17">
        <v>804</v>
      </c>
      <c r="G58" s="17">
        <v>639</v>
      </c>
      <c r="H58" s="17">
        <v>43</v>
      </c>
      <c r="I58" s="17">
        <v>4020</v>
      </c>
      <c r="J58" s="17">
        <v>3144</v>
      </c>
      <c r="K58" s="17">
        <v>11</v>
      </c>
      <c r="L58" s="41" t="s">
        <v>34</v>
      </c>
      <c r="N58" s="17">
        <f>Table1_1[[#This Row],[Likes]]+Table1_1[[#This Row],[Shares]]+Table1_1[[#This Row],[Comments]]+Table1_1[[#This Row],[Clicks]]</f>
        <v>1497</v>
      </c>
      <c r="O58" s="36">
        <f>(Table1_1[[#This Row],[Likes]]+Table1_1[[#This Row],[Shares]]+Table1_1[[#This Row],[Comments]])/ Table1_1[[#This Row],[Impressions]]</f>
        <v>0.36965174129353234</v>
      </c>
    </row>
    <row r="59" spans="1:15" x14ac:dyDescent="0.3">
      <c r="A59" t="s">
        <v>154</v>
      </c>
      <c r="B59" s="41" t="s">
        <v>24</v>
      </c>
      <c r="C59" s="42">
        <v>45712</v>
      </c>
      <c r="D59" s="41" t="s">
        <v>41</v>
      </c>
      <c r="E59" t="s">
        <v>64</v>
      </c>
      <c r="F59" s="17">
        <v>804</v>
      </c>
      <c r="G59" s="17">
        <v>639</v>
      </c>
      <c r="H59" s="17">
        <v>43</v>
      </c>
      <c r="I59" s="17">
        <v>4020</v>
      </c>
      <c r="J59" s="17">
        <v>3144</v>
      </c>
      <c r="K59" s="17">
        <v>11</v>
      </c>
      <c r="L59" s="41" t="s">
        <v>553</v>
      </c>
      <c r="N59" s="17">
        <f>Table1_1[[#This Row],[Likes]]+Table1_1[[#This Row],[Shares]]+Table1_1[[#This Row],[Comments]]+Table1_1[[#This Row],[Clicks]]</f>
        <v>1497</v>
      </c>
      <c r="O59" s="36">
        <f>(Table1_1[[#This Row],[Likes]]+Table1_1[[#This Row],[Shares]]+Table1_1[[#This Row],[Comments]])/ Table1_1[[#This Row],[Impressions]]</f>
        <v>0.36965174129353234</v>
      </c>
    </row>
    <row r="60" spans="1:15" x14ac:dyDescent="0.3">
      <c r="A60" t="s">
        <v>155</v>
      </c>
      <c r="B60" s="41" t="s">
        <v>24</v>
      </c>
      <c r="C60" s="42">
        <v>45729</v>
      </c>
      <c r="D60" s="41" t="s">
        <v>41</v>
      </c>
      <c r="E60" t="s">
        <v>64</v>
      </c>
      <c r="F60" s="17">
        <v>1686</v>
      </c>
      <c r="G60" s="17">
        <v>904</v>
      </c>
      <c r="H60" s="17">
        <v>472</v>
      </c>
      <c r="I60" s="17">
        <v>18546</v>
      </c>
      <c r="J60" s="17">
        <v>18171</v>
      </c>
      <c r="K60" s="17">
        <v>52</v>
      </c>
      <c r="L60" s="41" t="s">
        <v>58</v>
      </c>
      <c r="M60" s="41" t="s">
        <v>22</v>
      </c>
      <c r="N60" s="17">
        <f>Table1_1[[#This Row],[Likes]]+Table1_1[[#This Row],[Shares]]+Table1_1[[#This Row],[Comments]]+Table1_1[[#This Row],[Clicks]]</f>
        <v>3114</v>
      </c>
      <c r="O60" s="36">
        <f>(Table1_1[[#This Row],[Likes]]+Table1_1[[#This Row],[Shares]]+Table1_1[[#This Row],[Comments]])/ Table1_1[[#This Row],[Impressions]]</f>
        <v>0.16510298716704411</v>
      </c>
    </row>
    <row r="61" spans="1:15" x14ac:dyDescent="0.3">
      <c r="A61" t="s">
        <v>157</v>
      </c>
      <c r="B61" s="41" t="s">
        <v>39</v>
      </c>
      <c r="C61" s="42">
        <v>45460</v>
      </c>
      <c r="D61" s="41" t="s">
        <v>48</v>
      </c>
      <c r="E61" t="s">
        <v>55</v>
      </c>
      <c r="F61" s="17">
        <v>1226</v>
      </c>
      <c r="G61" s="17">
        <v>119</v>
      </c>
      <c r="H61" s="17">
        <v>7</v>
      </c>
      <c r="I61" s="17">
        <v>14712</v>
      </c>
      <c r="J61" s="17">
        <v>14049</v>
      </c>
      <c r="K61" s="17">
        <v>123</v>
      </c>
      <c r="L61" s="41" t="s">
        <v>34</v>
      </c>
      <c r="M61" s="41" t="s">
        <v>35</v>
      </c>
      <c r="N61" s="17">
        <f>Table1_1[[#This Row],[Likes]]+Table1_1[[#This Row],[Shares]]+Table1_1[[#This Row],[Comments]]+Table1_1[[#This Row],[Clicks]]</f>
        <v>1475</v>
      </c>
      <c r="O61" s="36">
        <f>(Table1_1[[#This Row],[Likes]]+Table1_1[[#This Row],[Shares]]+Table1_1[[#This Row],[Comments]])/ Table1_1[[#This Row],[Impressions]]</f>
        <v>9.1897770527460579E-2</v>
      </c>
    </row>
    <row r="62" spans="1:15" x14ac:dyDescent="0.3">
      <c r="A62" t="s">
        <v>159</v>
      </c>
      <c r="B62" s="41" t="s">
        <v>39</v>
      </c>
      <c r="C62" s="42">
        <v>45644</v>
      </c>
      <c r="D62" s="41" t="s">
        <v>41</v>
      </c>
      <c r="E62" t="s">
        <v>42</v>
      </c>
      <c r="F62" s="17">
        <v>2946</v>
      </c>
      <c r="G62" s="17">
        <v>498</v>
      </c>
      <c r="H62" s="17">
        <v>367</v>
      </c>
      <c r="I62" s="17">
        <v>29460</v>
      </c>
      <c r="J62" s="17">
        <v>28527</v>
      </c>
      <c r="K62" s="17">
        <v>60</v>
      </c>
      <c r="L62" s="41" t="s">
        <v>58</v>
      </c>
      <c r="M62" s="41" t="s">
        <v>28</v>
      </c>
      <c r="N62" s="17">
        <f>Table1_1[[#This Row],[Likes]]+Table1_1[[#This Row],[Shares]]+Table1_1[[#This Row],[Comments]]+Table1_1[[#This Row],[Clicks]]</f>
        <v>3871</v>
      </c>
      <c r="O62" s="36">
        <f>(Table1_1[[#This Row],[Likes]]+Table1_1[[#This Row],[Shares]]+Table1_1[[#This Row],[Comments]])/ Table1_1[[#This Row],[Impressions]]</f>
        <v>0.12936184657162253</v>
      </c>
    </row>
    <row r="63" spans="1:15" x14ac:dyDescent="0.3">
      <c r="A63" t="s">
        <v>161</v>
      </c>
      <c r="B63" s="41" t="s">
        <v>13</v>
      </c>
      <c r="C63" s="42">
        <v>45586</v>
      </c>
      <c r="D63" s="41" t="s">
        <v>70</v>
      </c>
      <c r="E63" t="s">
        <v>140</v>
      </c>
      <c r="F63" s="17">
        <v>2825</v>
      </c>
      <c r="G63" s="17">
        <v>535</v>
      </c>
      <c r="H63" s="17">
        <v>295</v>
      </c>
      <c r="I63" s="17">
        <v>45200</v>
      </c>
      <c r="J63" s="17">
        <v>44739</v>
      </c>
      <c r="K63" s="17">
        <v>169</v>
      </c>
      <c r="L63" s="41" t="s">
        <v>27</v>
      </c>
      <c r="M63" s="41" t="s">
        <v>17</v>
      </c>
      <c r="N63" s="17">
        <f>Table1_1[[#This Row],[Likes]]+Table1_1[[#This Row],[Shares]]+Table1_1[[#This Row],[Comments]]+Table1_1[[#This Row],[Clicks]]</f>
        <v>3824</v>
      </c>
      <c r="O63" s="36">
        <f>(Table1_1[[#This Row],[Likes]]+Table1_1[[#This Row],[Shares]]+Table1_1[[#This Row],[Comments]])/ Table1_1[[#This Row],[Impressions]]</f>
        <v>8.0862831858407078E-2</v>
      </c>
    </row>
    <row r="64" spans="1:15" x14ac:dyDescent="0.3">
      <c r="A64" t="s">
        <v>163</v>
      </c>
      <c r="B64" s="41" t="s">
        <v>30</v>
      </c>
      <c r="C64" s="42">
        <v>45762</v>
      </c>
      <c r="D64" s="41" t="s">
        <v>15</v>
      </c>
      <c r="E64" t="s">
        <v>78</v>
      </c>
      <c r="F64" s="17">
        <v>103</v>
      </c>
      <c r="G64" s="17">
        <v>770</v>
      </c>
      <c r="H64" s="17">
        <v>19</v>
      </c>
      <c r="I64" s="17">
        <v>1030</v>
      </c>
      <c r="J64" s="17">
        <v>410</v>
      </c>
      <c r="K64" s="17">
        <v>262</v>
      </c>
      <c r="L64" s="41" t="s">
        <v>27</v>
      </c>
      <c r="M64" s="41" t="s">
        <v>35</v>
      </c>
      <c r="N64" s="17">
        <f>Table1_1[[#This Row],[Likes]]+Table1_1[[#This Row],[Shares]]+Table1_1[[#This Row],[Comments]]+Table1_1[[#This Row],[Clicks]]</f>
        <v>1154</v>
      </c>
      <c r="O64" s="36">
        <f>(Table1_1[[#This Row],[Likes]]+Table1_1[[#This Row],[Shares]]+Table1_1[[#This Row],[Comments]])/ Table1_1[[#This Row],[Impressions]]</f>
        <v>0.86601941747572819</v>
      </c>
    </row>
    <row r="65" spans="1:15" x14ac:dyDescent="0.3">
      <c r="A65" t="s">
        <v>165</v>
      </c>
      <c r="B65" s="41" t="s">
        <v>30</v>
      </c>
      <c r="C65" s="42">
        <v>45465</v>
      </c>
      <c r="D65" s="41" t="s">
        <v>20</v>
      </c>
      <c r="E65" t="s">
        <v>108</v>
      </c>
      <c r="F65" s="17">
        <v>2180</v>
      </c>
      <c r="G65" s="17">
        <v>263</v>
      </c>
      <c r="H65" s="17">
        <v>387</v>
      </c>
      <c r="I65" s="17">
        <v>30520</v>
      </c>
      <c r="J65" s="17">
        <v>30059</v>
      </c>
      <c r="K65" s="17">
        <v>174</v>
      </c>
      <c r="L65" s="41" t="s">
        <v>34</v>
      </c>
      <c r="N65" s="17">
        <f>Table1_1[[#This Row],[Likes]]+Table1_1[[#This Row],[Shares]]+Table1_1[[#This Row],[Comments]]+Table1_1[[#This Row],[Clicks]]</f>
        <v>3004</v>
      </c>
      <c r="O65" s="36">
        <f>(Table1_1[[#This Row],[Likes]]+Table1_1[[#This Row],[Shares]]+Table1_1[[#This Row],[Comments]])/ Table1_1[[#This Row],[Impressions]]</f>
        <v>9.2726081258191345E-2</v>
      </c>
    </row>
    <row r="66" spans="1:15" x14ac:dyDescent="0.3">
      <c r="A66" t="s">
        <v>167</v>
      </c>
      <c r="B66" s="41" t="s">
        <v>30</v>
      </c>
      <c r="C66" s="42">
        <v>45685</v>
      </c>
      <c r="D66" s="41" t="s">
        <v>70</v>
      </c>
      <c r="E66" t="s">
        <v>81</v>
      </c>
      <c r="F66" s="17">
        <v>904</v>
      </c>
      <c r="G66" s="17">
        <v>973</v>
      </c>
      <c r="H66" s="17">
        <v>63</v>
      </c>
      <c r="I66" s="17">
        <v>11752</v>
      </c>
      <c r="J66" s="17">
        <v>11580</v>
      </c>
      <c r="K66" s="17">
        <v>84</v>
      </c>
      <c r="L66" s="41" t="s">
        <v>34</v>
      </c>
      <c r="M66" s="41" t="s">
        <v>28</v>
      </c>
      <c r="N66" s="17">
        <f>Table1_1[[#This Row],[Likes]]+Table1_1[[#This Row],[Shares]]+Table1_1[[#This Row],[Comments]]+Table1_1[[#This Row],[Clicks]]</f>
        <v>2024</v>
      </c>
      <c r="O66" s="36">
        <f>(Table1_1[[#This Row],[Likes]]+Table1_1[[#This Row],[Shares]]+Table1_1[[#This Row],[Comments]])/ Table1_1[[#This Row],[Impressions]]</f>
        <v>0.1650782845473111</v>
      </c>
    </row>
    <row r="67" spans="1:15" x14ac:dyDescent="0.3">
      <c r="A67" t="s">
        <v>167</v>
      </c>
      <c r="B67" s="41" t="s">
        <v>30</v>
      </c>
      <c r="C67" s="42">
        <v>45685</v>
      </c>
      <c r="D67" s="41" t="s">
        <v>70</v>
      </c>
      <c r="E67" t="s">
        <v>81</v>
      </c>
      <c r="F67" s="17">
        <v>904</v>
      </c>
      <c r="G67" s="17">
        <v>973</v>
      </c>
      <c r="H67" s="17">
        <v>63</v>
      </c>
      <c r="I67" s="17">
        <v>11752</v>
      </c>
      <c r="J67" s="17">
        <v>11580</v>
      </c>
      <c r="K67" s="17">
        <v>84</v>
      </c>
      <c r="L67" s="41" t="s">
        <v>27</v>
      </c>
      <c r="M67" s="41" t="s">
        <v>28</v>
      </c>
      <c r="N67" s="17">
        <f>Table1_1[[#This Row],[Likes]]+Table1_1[[#This Row],[Shares]]+Table1_1[[#This Row],[Comments]]+Table1_1[[#This Row],[Clicks]]</f>
        <v>2024</v>
      </c>
      <c r="O67" s="36">
        <f>(Table1_1[[#This Row],[Likes]]+Table1_1[[#This Row],[Shares]]+Table1_1[[#This Row],[Comments]])/ Table1_1[[#This Row],[Impressions]]</f>
        <v>0.1650782845473111</v>
      </c>
    </row>
    <row r="68" spans="1:15" x14ac:dyDescent="0.3">
      <c r="A68" t="s">
        <v>167</v>
      </c>
      <c r="B68" s="41" t="s">
        <v>30</v>
      </c>
      <c r="C68" s="42">
        <v>45685</v>
      </c>
      <c r="D68" s="41" t="s">
        <v>70</v>
      </c>
      <c r="E68" t="s">
        <v>81</v>
      </c>
      <c r="F68" s="17">
        <v>904</v>
      </c>
      <c r="G68" s="17">
        <v>973</v>
      </c>
      <c r="H68" s="17">
        <v>63</v>
      </c>
      <c r="I68" s="17">
        <v>11752</v>
      </c>
      <c r="J68" s="17">
        <v>11580</v>
      </c>
      <c r="K68" s="17">
        <v>84</v>
      </c>
      <c r="L68" s="41" t="s">
        <v>551</v>
      </c>
      <c r="M68" s="41" t="s">
        <v>28</v>
      </c>
      <c r="N68" s="17">
        <f>Table1_1[[#This Row],[Likes]]+Table1_1[[#This Row],[Shares]]+Table1_1[[#This Row],[Comments]]+Table1_1[[#This Row],[Clicks]]</f>
        <v>2024</v>
      </c>
      <c r="O68" s="36">
        <f>(Table1_1[[#This Row],[Likes]]+Table1_1[[#This Row],[Shares]]+Table1_1[[#This Row],[Comments]])/ Table1_1[[#This Row],[Impressions]]</f>
        <v>0.1650782845473111</v>
      </c>
    </row>
    <row r="69" spans="1:15" x14ac:dyDescent="0.3">
      <c r="A69" t="s">
        <v>169</v>
      </c>
      <c r="B69" s="41" t="s">
        <v>13</v>
      </c>
      <c r="C69" s="42">
        <v>45540</v>
      </c>
      <c r="D69" s="41" t="s">
        <v>70</v>
      </c>
      <c r="E69" t="s">
        <v>140</v>
      </c>
      <c r="F69" s="17">
        <v>4886</v>
      </c>
      <c r="G69" s="17">
        <v>983</v>
      </c>
      <c r="H69" s="17">
        <v>409</v>
      </c>
      <c r="I69" s="17">
        <v>43974</v>
      </c>
      <c r="J69" s="17">
        <v>43239</v>
      </c>
      <c r="K69" s="17">
        <v>65</v>
      </c>
      <c r="L69" s="41" t="s">
        <v>27</v>
      </c>
      <c r="M69" s="41" t="s">
        <v>17</v>
      </c>
      <c r="N69" s="17">
        <f>Table1_1[[#This Row],[Likes]]+Table1_1[[#This Row],[Shares]]+Table1_1[[#This Row],[Comments]]+Table1_1[[#This Row],[Clicks]]</f>
        <v>6343</v>
      </c>
      <c r="O69" s="36">
        <f>(Table1_1[[#This Row],[Likes]]+Table1_1[[#This Row],[Shares]]+Table1_1[[#This Row],[Comments]])/ Table1_1[[#This Row],[Impressions]]</f>
        <v>0.14276618001546368</v>
      </c>
    </row>
    <row r="70" spans="1:15" x14ac:dyDescent="0.3">
      <c r="A70" t="s">
        <v>171</v>
      </c>
      <c r="B70" s="41" t="s">
        <v>13</v>
      </c>
      <c r="C70" s="42">
        <v>45618</v>
      </c>
      <c r="D70" s="41" t="s">
        <v>41</v>
      </c>
      <c r="E70" t="s">
        <v>45</v>
      </c>
      <c r="F70" s="17">
        <v>53</v>
      </c>
      <c r="G70" s="17">
        <v>81</v>
      </c>
      <c r="H70" s="17">
        <v>379</v>
      </c>
      <c r="I70" s="17">
        <v>954</v>
      </c>
      <c r="J70" s="17">
        <v>7</v>
      </c>
      <c r="K70" s="17">
        <v>148</v>
      </c>
      <c r="L70" s="41" t="s">
        <v>27</v>
      </c>
      <c r="M70" s="41" t="s">
        <v>28</v>
      </c>
      <c r="N70" s="17">
        <f>Table1_1[[#This Row],[Likes]]+Table1_1[[#This Row],[Shares]]+Table1_1[[#This Row],[Comments]]+Table1_1[[#This Row],[Clicks]]</f>
        <v>661</v>
      </c>
      <c r="O70" s="36">
        <f>(Table1_1[[#This Row],[Likes]]+Table1_1[[#This Row],[Shares]]+Table1_1[[#This Row],[Comments]])/ Table1_1[[#This Row],[Impressions]]</f>
        <v>0.53773584905660377</v>
      </c>
    </row>
    <row r="71" spans="1:15" x14ac:dyDescent="0.3">
      <c r="A71" t="s">
        <v>173</v>
      </c>
      <c r="B71" s="41" t="s">
        <v>13</v>
      </c>
      <c r="C71" s="42">
        <v>45504</v>
      </c>
      <c r="D71" s="41" t="s">
        <v>41</v>
      </c>
      <c r="E71" t="s">
        <v>45</v>
      </c>
      <c r="F71" s="17">
        <v>4507</v>
      </c>
      <c r="G71" s="17">
        <v>217</v>
      </c>
      <c r="H71" s="17">
        <v>13</v>
      </c>
      <c r="I71" s="17">
        <v>90140</v>
      </c>
      <c r="J71" s="17">
        <v>89591</v>
      </c>
      <c r="K71" s="17">
        <v>125</v>
      </c>
      <c r="L71" s="41" t="s">
        <v>58</v>
      </c>
      <c r="M71" s="41" t="s">
        <v>28</v>
      </c>
      <c r="N71" s="17">
        <f>Table1_1[[#This Row],[Likes]]+Table1_1[[#This Row],[Shares]]+Table1_1[[#This Row],[Comments]]+Table1_1[[#This Row],[Clicks]]</f>
        <v>4862</v>
      </c>
      <c r="O71" s="36">
        <f>(Table1_1[[#This Row],[Likes]]+Table1_1[[#This Row],[Shares]]+Table1_1[[#This Row],[Comments]])/ Table1_1[[#This Row],[Impressions]]</f>
        <v>5.2551586421122697E-2</v>
      </c>
    </row>
    <row r="72" spans="1:15" x14ac:dyDescent="0.3">
      <c r="A72" t="s">
        <v>174</v>
      </c>
      <c r="B72" s="41" t="s">
        <v>39</v>
      </c>
      <c r="C72" s="42">
        <v>45521</v>
      </c>
      <c r="D72" s="41" t="s">
        <v>48</v>
      </c>
      <c r="E72" t="s">
        <v>55</v>
      </c>
      <c r="F72" s="17">
        <v>2878</v>
      </c>
      <c r="G72" s="17">
        <v>248</v>
      </c>
      <c r="H72" s="17">
        <v>416</v>
      </c>
      <c r="I72" s="17">
        <v>43170</v>
      </c>
      <c r="J72" s="17">
        <v>42667</v>
      </c>
      <c r="K72" s="17">
        <v>75</v>
      </c>
      <c r="L72" s="41" t="s">
        <v>58</v>
      </c>
      <c r="M72" s="41" t="s">
        <v>28</v>
      </c>
      <c r="N72" s="17">
        <f>Table1_1[[#This Row],[Likes]]+Table1_1[[#This Row],[Shares]]+Table1_1[[#This Row],[Comments]]+Table1_1[[#This Row],[Clicks]]</f>
        <v>3617</v>
      </c>
      <c r="O72" s="36">
        <f>(Table1_1[[#This Row],[Likes]]+Table1_1[[#This Row],[Shares]]+Table1_1[[#This Row],[Comments]])/ Table1_1[[#This Row],[Impressions]]</f>
        <v>8.2047718322909427E-2</v>
      </c>
    </row>
    <row r="73" spans="1:15" x14ac:dyDescent="0.3">
      <c r="A73" t="s">
        <v>176</v>
      </c>
      <c r="B73" s="41" t="s">
        <v>30</v>
      </c>
      <c r="C73" s="42">
        <v>45744</v>
      </c>
      <c r="D73" s="41" t="s">
        <v>32</v>
      </c>
      <c r="E73" t="s">
        <v>33</v>
      </c>
      <c r="F73" s="17">
        <v>1881</v>
      </c>
      <c r="G73" s="17">
        <v>501</v>
      </c>
      <c r="H73" s="17">
        <v>99</v>
      </c>
      <c r="I73" s="17">
        <v>20691</v>
      </c>
      <c r="J73" s="17">
        <v>19987</v>
      </c>
      <c r="K73" s="17">
        <v>289</v>
      </c>
      <c r="L73" s="41" t="s">
        <v>34</v>
      </c>
      <c r="N73" s="17">
        <f>Table1_1[[#This Row],[Likes]]+Table1_1[[#This Row],[Shares]]+Table1_1[[#This Row],[Comments]]+Table1_1[[#This Row],[Clicks]]</f>
        <v>2770</v>
      </c>
      <c r="O73" s="36">
        <f>(Table1_1[[#This Row],[Likes]]+Table1_1[[#This Row],[Shares]]+Table1_1[[#This Row],[Comments]])/ Table1_1[[#This Row],[Impressions]]</f>
        <v>0.11990720603160794</v>
      </c>
    </row>
    <row r="74" spans="1:15" x14ac:dyDescent="0.3">
      <c r="A74" t="s">
        <v>178</v>
      </c>
      <c r="B74" s="41" t="s">
        <v>13</v>
      </c>
      <c r="C74" s="42">
        <v>45499</v>
      </c>
      <c r="D74" s="41" t="s">
        <v>41</v>
      </c>
      <c r="E74" t="s">
        <v>45</v>
      </c>
      <c r="F74" s="17">
        <v>432</v>
      </c>
      <c r="G74" s="17">
        <v>171</v>
      </c>
      <c r="H74" s="17">
        <v>280</v>
      </c>
      <c r="I74" s="17">
        <v>3024</v>
      </c>
      <c r="J74" s="17">
        <v>2285</v>
      </c>
      <c r="K74" s="17">
        <v>184</v>
      </c>
      <c r="L74" s="41" t="s">
        <v>34</v>
      </c>
      <c r="M74" s="41" t="s">
        <v>17</v>
      </c>
      <c r="N74" s="17">
        <f>Table1_1[[#This Row],[Likes]]+Table1_1[[#This Row],[Shares]]+Table1_1[[#This Row],[Comments]]+Table1_1[[#This Row],[Clicks]]</f>
        <v>1067</v>
      </c>
      <c r="O74" s="36">
        <f>(Table1_1[[#This Row],[Likes]]+Table1_1[[#This Row],[Shares]]+Table1_1[[#This Row],[Comments]])/ Table1_1[[#This Row],[Impressions]]</f>
        <v>0.29199735449735448</v>
      </c>
    </row>
    <row r="75" spans="1:15" x14ac:dyDescent="0.3">
      <c r="A75" t="s">
        <v>180</v>
      </c>
      <c r="B75" s="41" t="s">
        <v>39</v>
      </c>
      <c r="C75" s="42">
        <v>45745</v>
      </c>
      <c r="D75" s="41" t="s">
        <v>41</v>
      </c>
      <c r="E75" t="s">
        <v>42</v>
      </c>
      <c r="F75" s="17">
        <v>4712</v>
      </c>
      <c r="G75" s="17">
        <v>568</v>
      </c>
      <c r="H75" s="17">
        <v>127</v>
      </c>
      <c r="I75" s="17">
        <v>84816</v>
      </c>
      <c r="J75" s="17">
        <v>84691</v>
      </c>
      <c r="K75" s="17">
        <v>100</v>
      </c>
      <c r="L75" s="41" t="s">
        <v>34</v>
      </c>
      <c r="M75" s="41" t="s">
        <v>28</v>
      </c>
      <c r="N75" s="17">
        <f>Table1_1[[#This Row],[Likes]]+Table1_1[[#This Row],[Shares]]+Table1_1[[#This Row],[Comments]]+Table1_1[[#This Row],[Clicks]]</f>
        <v>5507</v>
      </c>
      <c r="O75" s="36">
        <f>(Table1_1[[#This Row],[Likes]]+Table1_1[[#This Row],[Shares]]+Table1_1[[#This Row],[Comments]])/ Table1_1[[#This Row],[Impressions]]</f>
        <v>6.3749764195434822E-2</v>
      </c>
    </row>
    <row r="76" spans="1:15" x14ac:dyDescent="0.3">
      <c r="A76" t="s">
        <v>182</v>
      </c>
      <c r="B76" s="41" t="s">
        <v>30</v>
      </c>
      <c r="C76" s="42">
        <v>45634</v>
      </c>
      <c r="D76" s="41" t="s">
        <v>32</v>
      </c>
      <c r="E76" t="s">
        <v>33</v>
      </c>
      <c r="F76" s="17">
        <v>2610</v>
      </c>
      <c r="G76" s="17">
        <v>126</v>
      </c>
      <c r="H76" s="17">
        <v>288</v>
      </c>
      <c r="I76" s="17">
        <v>15660</v>
      </c>
      <c r="J76" s="17">
        <v>15145</v>
      </c>
      <c r="K76" s="17">
        <v>73</v>
      </c>
      <c r="L76" s="41" t="s">
        <v>34</v>
      </c>
      <c r="N76" s="17">
        <f>Table1_1[[#This Row],[Likes]]+Table1_1[[#This Row],[Shares]]+Table1_1[[#This Row],[Comments]]+Table1_1[[#This Row],[Clicks]]</f>
        <v>3097</v>
      </c>
      <c r="O76" s="36">
        <f>(Table1_1[[#This Row],[Likes]]+Table1_1[[#This Row],[Shares]]+Table1_1[[#This Row],[Comments]])/ Table1_1[[#This Row],[Impressions]]</f>
        <v>0.19310344827586207</v>
      </c>
    </row>
    <row r="77" spans="1:15" x14ac:dyDescent="0.3">
      <c r="A77" t="s">
        <v>184</v>
      </c>
      <c r="B77" s="41" t="s">
        <v>13</v>
      </c>
      <c r="C77" s="42">
        <v>45724</v>
      </c>
      <c r="D77" s="41" t="s">
        <v>20</v>
      </c>
      <c r="E77" t="s">
        <v>21</v>
      </c>
      <c r="F77" s="17">
        <v>1292</v>
      </c>
      <c r="G77" s="17">
        <v>626</v>
      </c>
      <c r="H77" s="17">
        <v>496</v>
      </c>
      <c r="I77" s="17">
        <v>25840</v>
      </c>
      <c r="J77" s="17">
        <v>24916</v>
      </c>
      <c r="K77" s="17">
        <v>149</v>
      </c>
      <c r="L77" s="41" t="s">
        <v>58</v>
      </c>
      <c r="M77" s="41" t="s">
        <v>28</v>
      </c>
      <c r="N77" s="17">
        <f>Table1_1[[#This Row],[Likes]]+Table1_1[[#This Row],[Shares]]+Table1_1[[#This Row],[Comments]]+Table1_1[[#This Row],[Clicks]]</f>
        <v>2563</v>
      </c>
      <c r="O77" s="36">
        <f>(Table1_1[[#This Row],[Likes]]+Table1_1[[#This Row],[Shares]]+Table1_1[[#This Row],[Comments]])/ Table1_1[[#This Row],[Impressions]]</f>
        <v>9.3421052631578946E-2</v>
      </c>
    </row>
    <row r="78" spans="1:15" x14ac:dyDescent="0.3">
      <c r="A78" t="s">
        <v>185</v>
      </c>
      <c r="B78" s="41" t="s">
        <v>39</v>
      </c>
      <c r="C78" s="42">
        <v>45749</v>
      </c>
      <c r="D78" s="41" t="s">
        <v>70</v>
      </c>
      <c r="E78" t="s">
        <v>71</v>
      </c>
      <c r="F78" s="17">
        <v>199</v>
      </c>
      <c r="G78" s="17">
        <v>772</v>
      </c>
      <c r="H78" s="17">
        <v>400</v>
      </c>
      <c r="I78" s="17">
        <v>3582</v>
      </c>
      <c r="J78" s="17">
        <v>2988</v>
      </c>
      <c r="K78" s="17">
        <v>43</v>
      </c>
      <c r="L78" s="41" t="s">
        <v>27</v>
      </c>
      <c r="N78" s="17">
        <f>Table1_1[[#This Row],[Likes]]+Table1_1[[#This Row],[Shares]]+Table1_1[[#This Row],[Comments]]+Table1_1[[#This Row],[Clicks]]</f>
        <v>1414</v>
      </c>
      <c r="O78" s="36">
        <f>(Table1_1[[#This Row],[Likes]]+Table1_1[[#This Row],[Shares]]+Table1_1[[#This Row],[Comments]])/ Table1_1[[#This Row],[Impressions]]</f>
        <v>0.38274706867671693</v>
      </c>
    </row>
    <row r="79" spans="1:15" x14ac:dyDescent="0.3">
      <c r="A79" t="s">
        <v>187</v>
      </c>
      <c r="B79" s="41" t="s">
        <v>24</v>
      </c>
      <c r="C79" s="42">
        <v>45537</v>
      </c>
      <c r="D79" s="41" t="s">
        <v>41</v>
      </c>
      <c r="E79" t="s">
        <v>64</v>
      </c>
      <c r="F79" s="17">
        <v>2551</v>
      </c>
      <c r="G79" s="17">
        <v>915</v>
      </c>
      <c r="H79" s="17">
        <v>205</v>
      </c>
      <c r="I79" s="17">
        <v>30612</v>
      </c>
      <c r="J79" s="17">
        <v>30360</v>
      </c>
      <c r="K79" s="17">
        <v>227</v>
      </c>
      <c r="L79" s="41" t="s">
        <v>27</v>
      </c>
      <c r="M79" s="41" t="s">
        <v>22</v>
      </c>
      <c r="N79" s="17">
        <f>Table1_1[[#This Row],[Likes]]+Table1_1[[#This Row],[Shares]]+Table1_1[[#This Row],[Comments]]+Table1_1[[#This Row],[Clicks]]</f>
        <v>3898</v>
      </c>
      <c r="O79" s="36">
        <f>(Table1_1[[#This Row],[Likes]]+Table1_1[[#This Row],[Shares]]+Table1_1[[#This Row],[Comments]])/ Table1_1[[#This Row],[Impressions]]</f>
        <v>0.1199202926956749</v>
      </c>
    </row>
    <row r="80" spans="1:15" x14ac:dyDescent="0.3">
      <c r="A80" t="s">
        <v>189</v>
      </c>
      <c r="B80" s="41" t="s">
        <v>24</v>
      </c>
      <c r="C80" s="42">
        <v>45719</v>
      </c>
      <c r="D80" s="41" t="s">
        <v>15</v>
      </c>
      <c r="E80" t="s">
        <v>26</v>
      </c>
      <c r="F80" s="17">
        <v>296</v>
      </c>
      <c r="G80" s="17">
        <v>60</v>
      </c>
      <c r="H80" s="17">
        <v>141</v>
      </c>
      <c r="I80" s="17">
        <v>5624</v>
      </c>
      <c r="J80" s="17">
        <v>5239</v>
      </c>
      <c r="K80" s="17">
        <v>88</v>
      </c>
      <c r="L80" s="41" t="s">
        <v>34</v>
      </c>
      <c r="M80" s="41" t="s">
        <v>22</v>
      </c>
      <c r="N80" s="17">
        <f>Table1_1[[#This Row],[Likes]]+Table1_1[[#This Row],[Shares]]+Table1_1[[#This Row],[Comments]]+Table1_1[[#This Row],[Clicks]]</f>
        <v>585</v>
      </c>
      <c r="O80" s="36">
        <f>(Table1_1[[#This Row],[Likes]]+Table1_1[[#This Row],[Shares]]+Table1_1[[#This Row],[Comments]])/ Table1_1[[#This Row],[Impressions]]</f>
        <v>8.837126600284495E-2</v>
      </c>
    </row>
    <row r="81" spans="1:15" x14ac:dyDescent="0.3">
      <c r="A81" t="s">
        <v>191</v>
      </c>
      <c r="B81" s="41" t="s">
        <v>39</v>
      </c>
      <c r="C81" s="42">
        <v>45583</v>
      </c>
      <c r="D81" s="41" t="s">
        <v>32</v>
      </c>
      <c r="E81" t="s">
        <v>67</v>
      </c>
      <c r="F81" s="17">
        <v>4126</v>
      </c>
      <c r="G81" s="17">
        <v>426</v>
      </c>
      <c r="H81" s="17">
        <v>486</v>
      </c>
      <c r="I81" s="17">
        <v>78394</v>
      </c>
      <c r="J81" s="17">
        <v>77798</v>
      </c>
      <c r="K81" s="17">
        <v>88</v>
      </c>
      <c r="L81" s="41" t="s">
        <v>58</v>
      </c>
      <c r="M81" s="41" t="s">
        <v>35</v>
      </c>
      <c r="N81" s="17">
        <f>Table1_1[[#This Row],[Likes]]+Table1_1[[#This Row],[Shares]]+Table1_1[[#This Row],[Comments]]+Table1_1[[#This Row],[Clicks]]</f>
        <v>5126</v>
      </c>
      <c r="O81" s="36">
        <f>(Table1_1[[#This Row],[Likes]]+Table1_1[[#This Row],[Shares]]+Table1_1[[#This Row],[Comments]])/ Table1_1[[#This Row],[Impressions]]</f>
        <v>6.4265122330790625E-2</v>
      </c>
    </row>
    <row r="82" spans="1:15" x14ac:dyDescent="0.3">
      <c r="A82" t="s">
        <v>193</v>
      </c>
      <c r="B82" s="41" t="s">
        <v>24</v>
      </c>
      <c r="C82" s="42">
        <v>45593</v>
      </c>
      <c r="D82" s="41" t="s">
        <v>15</v>
      </c>
      <c r="E82" t="s">
        <v>26</v>
      </c>
      <c r="F82" s="17">
        <v>1855</v>
      </c>
      <c r="G82" s="17">
        <v>200</v>
      </c>
      <c r="H82" s="17">
        <v>174</v>
      </c>
      <c r="I82" s="17">
        <v>16695</v>
      </c>
      <c r="J82" s="17">
        <v>16330</v>
      </c>
      <c r="K82" s="17">
        <v>123</v>
      </c>
      <c r="L82" s="41" t="s">
        <v>27</v>
      </c>
      <c r="M82" s="41" t="s">
        <v>28</v>
      </c>
      <c r="N82" s="17">
        <f>Table1_1[[#This Row],[Likes]]+Table1_1[[#This Row],[Shares]]+Table1_1[[#This Row],[Comments]]+Table1_1[[#This Row],[Clicks]]</f>
        <v>2352</v>
      </c>
      <c r="O82" s="36">
        <f>(Table1_1[[#This Row],[Likes]]+Table1_1[[#This Row],[Shares]]+Table1_1[[#This Row],[Comments]])/ Table1_1[[#This Row],[Impressions]]</f>
        <v>0.13351302785265048</v>
      </c>
    </row>
    <row r="83" spans="1:15" x14ac:dyDescent="0.3">
      <c r="A83" t="s">
        <v>195</v>
      </c>
      <c r="B83" s="41" t="s">
        <v>30</v>
      </c>
      <c r="C83" s="42">
        <v>45505</v>
      </c>
      <c r="D83" s="41" t="s">
        <v>15</v>
      </c>
      <c r="E83" t="s">
        <v>78</v>
      </c>
      <c r="F83" s="17">
        <v>1674</v>
      </c>
      <c r="G83" s="17">
        <v>929</v>
      </c>
      <c r="H83" s="17">
        <v>37</v>
      </c>
      <c r="I83" s="17">
        <v>21762</v>
      </c>
      <c r="J83" s="17">
        <v>20998</v>
      </c>
      <c r="K83" s="17">
        <v>255</v>
      </c>
      <c r="L83" s="41" t="s">
        <v>27</v>
      </c>
      <c r="M83" s="41" t="s">
        <v>35</v>
      </c>
      <c r="N83" s="17">
        <f>Table1_1[[#This Row],[Likes]]+Table1_1[[#This Row],[Shares]]+Table1_1[[#This Row],[Comments]]+Table1_1[[#This Row],[Clicks]]</f>
        <v>2895</v>
      </c>
      <c r="O83" s="36">
        <f>(Table1_1[[#This Row],[Likes]]+Table1_1[[#This Row],[Shares]]+Table1_1[[#This Row],[Comments]])/ Table1_1[[#This Row],[Impressions]]</f>
        <v>0.12131237937689551</v>
      </c>
    </row>
    <row r="84" spans="1:15" x14ac:dyDescent="0.3">
      <c r="A84" t="s">
        <v>197</v>
      </c>
      <c r="B84" s="41" t="s">
        <v>13</v>
      </c>
      <c r="C84" s="42">
        <v>45603</v>
      </c>
      <c r="D84" s="41" t="s">
        <v>32</v>
      </c>
      <c r="E84" t="s">
        <v>144</v>
      </c>
      <c r="F84" s="17">
        <v>1121</v>
      </c>
      <c r="G84" s="17">
        <v>135</v>
      </c>
      <c r="H84" s="17">
        <v>18</v>
      </c>
      <c r="I84" s="17">
        <v>15694</v>
      </c>
      <c r="J84" s="17">
        <v>14957</v>
      </c>
      <c r="K84" s="17">
        <v>99</v>
      </c>
      <c r="L84" s="41" t="s">
        <v>27</v>
      </c>
      <c r="M84" s="41" t="s">
        <v>35</v>
      </c>
      <c r="N84" s="17">
        <f>Table1_1[[#This Row],[Likes]]+Table1_1[[#This Row],[Shares]]+Table1_1[[#This Row],[Comments]]+Table1_1[[#This Row],[Clicks]]</f>
        <v>1373</v>
      </c>
      <c r="O84" s="36">
        <f>(Table1_1[[#This Row],[Likes]]+Table1_1[[#This Row],[Shares]]+Table1_1[[#This Row],[Comments]])/ Table1_1[[#This Row],[Impressions]]</f>
        <v>8.1177520071364848E-2</v>
      </c>
    </row>
    <row r="85" spans="1:15" x14ac:dyDescent="0.3">
      <c r="A85" t="s">
        <v>199</v>
      </c>
      <c r="B85" s="41" t="s">
        <v>39</v>
      </c>
      <c r="C85" s="42">
        <v>45720</v>
      </c>
      <c r="D85" s="41" t="s">
        <v>32</v>
      </c>
      <c r="E85" t="s">
        <v>67</v>
      </c>
      <c r="F85" s="17">
        <v>1249</v>
      </c>
      <c r="G85" s="17">
        <v>116</v>
      </c>
      <c r="H85" s="17">
        <v>420</v>
      </c>
      <c r="I85" s="17">
        <v>8743</v>
      </c>
      <c r="J85" s="17">
        <v>8538</v>
      </c>
      <c r="K85" s="17">
        <v>63</v>
      </c>
      <c r="L85" s="41" t="s">
        <v>27</v>
      </c>
      <c r="N85" s="17">
        <f>Table1_1[[#This Row],[Likes]]+Table1_1[[#This Row],[Shares]]+Table1_1[[#This Row],[Comments]]+Table1_1[[#This Row],[Clicks]]</f>
        <v>1848</v>
      </c>
      <c r="O85" s="36">
        <f>(Table1_1[[#This Row],[Likes]]+Table1_1[[#This Row],[Shares]]+Table1_1[[#This Row],[Comments]])/ Table1_1[[#This Row],[Impressions]]</f>
        <v>0.20416333066453163</v>
      </c>
    </row>
    <row r="86" spans="1:15" x14ac:dyDescent="0.3">
      <c r="A86" t="s">
        <v>200</v>
      </c>
      <c r="B86" s="41" t="s">
        <v>13</v>
      </c>
      <c r="C86" s="42">
        <v>45460</v>
      </c>
      <c r="D86" s="41" t="s">
        <v>48</v>
      </c>
      <c r="E86" t="s">
        <v>127</v>
      </c>
      <c r="F86" s="17">
        <v>954</v>
      </c>
      <c r="G86" s="17">
        <v>324</v>
      </c>
      <c r="H86" s="17">
        <v>288</v>
      </c>
      <c r="I86" s="17">
        <v>19080</v>
      </c>
      <c r="J86" s="17">
        <v>18859</v>
      </c>
      <c r="K86" s="17">
        <v>21</v>
      </c>
      <c r="L86" s="41" t="s">
        <v>58</v>
      </c>
      <c r="M86" s="41" t="s">
        <v>35</v>
      </c>
      <c r="N86" s="17">
        <f>Table1_1[[#This Row],[Likes]]+Table1_1[[#This Row],[Shares]]+Table1_1[[#This Row],[Comments]]+Table1_1[[#This Row],[Clicks]]</f>
        <v>1587</v>
      </c>
      <c r="O86" s="36">
        <f>(Table1_1[[#This Row],[Likes]]+Table1_1[[#This Row],[Shares]]+Table1_1[[#This Row],[Comments]])/ Table1_1[[#This Row],[Impressions]]</f>
        <v>8.2075471698113203E-2</v>
      </c>
    </row>
    <row r="87" spans="1:15" x14ac:dyDescent="0.3">
      <c r="A87" t="s">
        <v>201</v>
      </c>
      <c r="B87" s="41" t="s">
        <v>30</v>
      </c>
      <c r="C87" s="42">
        <v>45574</v>
      </c>
      <c r="D87" s="41" t="s">
        <v>41</v>
      </c>
      <c r="E87" t="s">
        <v>84</v>
      </c>
      <c r="F87" s="17">
        <v>3068</v>
      </c>
      <c r="G87" s="17">
        <v>137</v>
      </c>
      <c r="H87" s="17">
        <v>329</v>
      </c>
      <c r="I87" s="17">
        <v>39884</v>
      </c>
      <c r="J87" s="17">
        <v>39404</v>
      </c>
      <c r="K87" s="17">
        <v>266</v>
      </c>
      <c r="L87" s="41" t="s">
        <v>34</v>
      </c>
      <c r="M87" s="41" t="s">
        <v>22</v>
      </c>
      <c r="N87" s="17">
        <f>Table1_1[[#This Row],[Likes]]+Table1_1[[#This Row],[Shares]]+Table1_1[[#This Row],[Comments]]+Table1_1[[#This Row],[Clicks]]</f>
        <v>3800</v>
      </c>
      <c r="O87" s="36">
        <f>(Table1_1[[#This Row],[Likes]]+Table1_1[[#This Row],[Shares]]+Table1_1[[#This Row],[Comments]])/ Table1_1[[#This Row],[Impressions]]</f>
        <v>8.860696018453515E-2</v>
      </c>
    </row>
    <row r="88" spans="1:15" x14ac:dyDescent="0.3">
      <c r="A88" t="s">
        <v>203</v>
      </c>
      <c r="B88" s="41" t="s">
        <v>30</v>
      </c>
      <c r="C88" s="42">
        <v>45456</v>
      </c>
      <c r="D88" s="41" t="s">
        <v>32</v>
      </c>
      <c r="E88" t="s">
        <v>33</v>
      </c>
      <c r="F88" s="17">
        <v>2103</v>
      </c>
      <c r="G88" s="17">
        <v>892</v>
      </c>
      <c r="H88" s="17">
        <v>103</v>
      </c>
      <c r="I88" s="17">
        <v>39957</v>
      </c>
      <c r="J88" s="17">
        <v>39466</v>
      </c>
      <c r="K88" s="17">
        <v>28</v>
      </c>
      <c r="L88" s="41" t="s">
        <v>58</v>
      </c>
      <c r="N88" s="17">
        <f>Table1_1[[#This Row],[Likes]]+Table1_1[[#This Row],[Shares]]+Table1_1[[#This Row],[Comments]]+Table1_1[[#This Row],[Clicks]]</f>
        <v>3126</v>
      </c>
      <c r="O88" s="36">
        <f>(Table1_1[[#This Row],[Likes]]+Table1_1[[#This Row],[Shares]]+Table1_1[[#This Row],[Comments]])/ Table1_1[[#This Row],[Impressions]]</f>
        <v>7.7533348349475686E-2</v>
      </c>
    </row>
    <row r="89" spans="1:15" x14ac:dyDescent="0.3">
      <c r="A89" t="s">
        <v>204</v>
      </c>
      <c r="B89" s="41" t="s">
        <v>30</v>
      </c>
      <c r="C89" s="42">
        <v>45584</v>
      </c>
      <c r="D89" s="41" t="s">
        <v>32</v>
      </c>
      <c r="E89" t="s">
        <v>33</v>
      </c>
      <c r="F89" s="17">
        <v>1816</v>
      </c>
      <c r="G89" s="17">
        <v>29</v>
      </c>
      <c r="H89" s="17">
        <v>41</v>
      </c>
      <c r="I89" s="17">
        <v>19976</v>
      </c>
      <c r="J89" s="17">
        <v>19262</v>
      </c>
      <c r="K89" s="17">
        <v>283</v>
      </c>
      <c r="L89" s="41" t="s">
        <v>27</v>
      </c>
      <c r="M89" s="41" t="s">
        <v>28</v>
      </c>
      <c r="N89" s="17">
        <f>Table1_1[[#This Row],[Likes]]+Table1_1[[#This Row],[Shares]]+Table1_1[[#This Row],[Comments]]+Table1_1[[#This Row],[Clicks]]</f>
        <v>2169</v>
      </c>
      <c r="O89" s="36">
        <f>(Table1_1[[#This Row],[Likes]]+Table1_1[[#This Row],[Shares]]+Table1_1[[#This Row],[Comments]])/ Table1_1[[#This Row],[Impressions]]</f>
        <v>9.4413295955146179E-2</v>
      </c>
    </row>
    <row r="90" spans="1:15" x14ac:dyDescent="0.3">
      <c r="A90" t="s">
        <v>206</v>
      </c>
      <c r="B90" s="41" t="s">
        <v>30</v>
      </c>
      <c r="C90" s="42">
        <v>45497</v>
      </c>
      <c r="D90" s="41" t="s">
        <v>48</v>
      </c>
      <c r="E90" t="s">
        <v>208</v>
      </c>
      <c r="F90" s="17">
        <v>725</v>
      </c>
      <c r="G90" s="17">
        <v>88</v>
      </c>
      <c r="H90" s="17">
        <v>428</v>
      </c>
      <c r="I90" s="17">
        <v>14500</v>
      </c>
      <c r="J90" s="17">
        <v>13637</v>
      </c>
      <c r="K90" s="17">
        <v>200</v>
      </c>
      <c r="L90" s="41" t="s">
        <v>58</v>
      </c>
      <c r="M90" s="41" t="s">
        <v>28</v>
      </c>
      <c r="N90" s="17">
        <f>Table1_1[[#This Row],[Likes]]+Table1_1[[#This Row],[Shares]]+Table1_1[[#This Row],[Comments]]+Table1_1[[#This Row],[Clicks]]</f>
        <v>1441</v>
      </c>
      <c r="O90" s="36">
        <f>(Table1_1[[#This Row],[Likes]]+Table1_1[[#This Row],[Shares]]+Table1_1[[#This Row],[Comments]])/ Table1_1[[#This Row],[Impressions]]</f>
        <v>8.558620689655172E-2</v>
      </c>
    </row>
    <row r="91" spans="1:15" x14ac:dyDescent="0.3">
      <c r="A91" t="s">
        <v>206</v>
      </c>
      <c r="B91" s="41" t="s">
        <v>30</v>
      </c>
      <c r="C91" s="42">
        <v>45497</v>
      </c>
      <c r="D91" s="41" t="s">
        <v>48</v>
      </c>
      <c r="E91" t="s">
        <v>208</v>
      </c>
      <c r="F91" s="17">
        <v>725</v>
      </c>
      <c r="G91" s="17">
        <v>88</v>
      </c>
      <c r="H91" s="17">
        <v>428</v>
      </c>
      <c r="I91" s="17">
        <v>14500</v>
      </c>
      <c r="J91" s="17">
        <v>13637</v>
      </c>
      <c r="K91" s="17">
        <v>200</v>
      </c>
      <c r="L91" s="41" t="s">
        <v>27</v>
      </c>
      <c r="M91" s="41" t="s">
        <v>28</v>
      </c>
      <c r="N91" s="17">
        <f>Table1_1[[#This Row],[Likes]]+Table1_1[[#This Row],[Shares]]+Table1_1[[#This Row],[Comments]]+Table1_1[[#This Row],[Clicks]]</f>
        <v>1441</v>
      </c>
      <c r="O91" s="36">
        <f>(Table1_1[[#This Row],[Likes]]+Table1_1[[#This Row],[Shares]]+Table1_1[[#This Row],[Comments]])/ Table1_1[[#This Row],[Impressions]]</f>
        <v>8.558620689655172E-2</v>
      </c>
    </row>
    <row r="92" spans="1:15" x14ac:dyDescent="0.3">
      <c r="A92" t="s">
        <v>206</v>
      </c>
      <c r="B92" s="41" t="s">
        <v>30</v>
      </c>
      <c r="C92" s="42">
        <v>45497</v>
      </c>
      <c r="D92" s="41" t="s">
        <v>48</v>
      </c>
      <c r="E92" t="s">
        <v>208</v>
      </c>
      <c r="F92" s="17">
        <v>725</v>
      </c>
      <c r="G92" s="17">
        <v>88</v>
      </c>
      <c r="H92" s="17">
        <v>428</v>
      </c>
      <c r="I92" s="17">
        <v>14500</v>
      </c>
      <c r="J92" s="17">
        <v>13637</v>
      </c>
      <c r="K92" s="17">
        <v>200</v>
      </c>
      <c r="L92" s="41" t="s">
        <v>551</v>
      </c>
      <c r="M92" s="41" t="s">
        <v>28</v>
      </c>
      <c r="N92" s="17">
        <f>Table1_1[[#This Row],[Likes]]+Table1_1[[#This Row],[Shares]]+Table1_1[[#This Row],[Comments]]+Table1_1[[#This Row],[Clicks]]</f>
        <v>1441</v>
      </c>
      <c r="O92" s="36">
        <f>(Table1_1[[#This Row],[Likes]]+Table1_1[[#This Row],[Shares]]+Table1_1[[#This Row],[Comments]])/ Table1_1[[#This Row],[Impressions]]</f>
        <v>8.558620689655172E-2</v>
      </c>
    </row>
    <row r="93" spans="1:15" x14ac:dyDescent="0.3">
      <c r="A93" t="s">
        <v>209</v>
      </c>
      <c r="B93" s="41" t="s">
        <v>24</v>
      </c>
      <c r="C93" s="42">
        <v>45580</v>
      </c>
      <c r="D93" s="41" t="s">
        <v>70</v>
      </c>
      <c r="E93" t="s">
        <v>211</v>
      </c>
      <c r="F93" s="17">
        <v>1094</v>
      </c>
      <c r="G93" s="17">
        <v>472</v>
      </c>
      <c r="H93" s="17">
        <v>21</v>
      </c>
      <c r="I93" s="17">
        <v>9846</v>
      </c>
      <c r="J93" s="17">
        <v>9609</v>
      </c>
      <c r="K93" s="17">
        <v>112</v>
      </c>
      <c r="L93" s="41" t="s">
        <v>34</v>
      </c>
      <c r="N93" s="17">
        <f>Table1_1[[#This Row],[Likes]]+Table1_1[[#This Row],[Shares]]+Table1_1[[#This Row],[Comments]]+Table1_1[[#This Row],[Clicks]]</f>
        <v>1699</v>
      </c>
      <c r="O93" s="36">
        <f>(Table1_1[[#This Row],[Likes]]+Table1_1[[#This Row],[Shares]]+Table1_1[[#This Row],[Comments]])/ Table1_1[[#This Row],[Impressions]]</f>
        <v>0.16118220597196831</v>
      </c>
    </row>
    <row r="94" spans="1:15" x14ac:dyDescent="0.3">
      <c r="A94" t="s">
        <v>212</v>
      </c>
      <c r="B94" s="41" t="s">
        <v>39</v>
      </c>
      <c r="C94" s="42">
        <v>45635</v>
      </c>
      <c r="D94" s="41" t="s">
        <v>48</v>
      </c>
      <c r="E94" t="s">
        <v>55</v>
      </c>
      <c r="F94" s="17">
        <v>1841</v>
      </c>
      <c r="G94" s="17">
        <v>851</v>
      </c>
      <c r="H94" s="17">
        <v>342</v>
      </c>
      <c r="I94" s="17">
        <v>34979</v>
      </c>
      <c r="J94" s="17">
        <v>34154</v>
      </c>
      <c r="K94" s="17">
        <v>255</v>
      </c>
      <c r="L94" s="41" t="s">
        <v>58</v>
      </c>
      <c r="M94" s="41" t="s">
        <v>35</v>
      </c>
      <c r="N94" s="17">
        <f>Table1_1[[#This Row],[Likes]]+Table1_1[[#This Row],[Shares]]+Table1_1[[#This Row],[Comments]]+Table1_1[[#This Row],[Clicks]]</f>
        <v>3289</v>
      </c>
      <c r="O94" s="36">
        <f>(Table1_1[[#This Row],[Likes]]+Table1_1[[#This Row],[Shares]]+Table1_1[[#This Row],[Comments]])/ Table1_1[[#This Row],[Impressions]]</f>
        <v>8.6737756939878216E-2</v>
      </c>
    </row>
    <row r="95" spans="1:15" x14ac:dyDescent="0.3">
      <c r="A95" t="s">
        <v>214</v>
      </c>
      <c r="B95" s="41" t="s">
        <v>30</v>
      </c>
      <c r="C95" s="42">
        <v>45766</v>
      </c>
      <c r="D95" s="41" t="s">
        <v>48</v>
      </c>
      <c r="E95" t="s">
        <v>208</v>
      </c>
      <c r="F95" s="17">
        <v>4177</v>
      </c>
      <c r="G95" s="17">
        <v>569</v>
      </c>
      <c r="H95" s="17">
        <v>55</v>
      </c>
      <c r="I95" s="17">
        <v>25062</v>
      </c>
      <c r="J95" s="17">
        <v>24847</v>
      </c>
      <c r="K95" s="17">
        <v>230</v>
      </c>
      <c r="L95" s="41" t="s">
        <v>58</v>
      </c>
      <c r="M95" s="41" t="s">
        <v>17</v>
      </c>
      <c r="N95" s="17">
        <f>Table1_1[[#This Row],[Likes]]+Table1_1[[#This Row],[Shares]]+Table1_1[[#This Row],[Comments]]+Table1_1[[#This Row],[Clicks]]</f>
        <v>5031</v>
      </c>
      <c r="O95" s="36">
        <f>(Table1_1[[#This Row],[Likes]]+Table1_1[[#This Row],[Shares]]+Table1_1[[#This Row],[Comments]])/ Table1_1[[#This Row],[Impressions]]</f>
        <v>0.19156491900087783</v>
      </c>
    </row>
    <row r="96" spans="1:15" x14ac:dyDescent="0.3">
      <c r="A96" t="s">
        <v>215</v>
      </c>
      <c r="B96" s="41" t="s">
        <v>24</v>
      </c>
      <c r="C96" s="42">
        <v>45684</v>
      </c>
      <c r="D96" s="41" t="s">
        <v>20</v>
      </c>
      <c r="E96" t="s">
        <v>99</v>
      </c>
      <c r="F96" s="17">
        <v>3428</v>
      </c>
      <c r="G96" s="17">
        <v>305</v>
      </c>
      <c r="H96" s="17">
        <v>85</v>
      </c>
      <c r="I96" s="17">
        <v>58276</v>
      </c>
      <c r="J96" s="17">
        <v>58052</v>
      </c>
      <c r="K96" s="17">
        <v>242</v>
      </c>
      <c r="L96" s="41" t="s">
        <v>34</v>
      </c>
      <c r="M96" s="41" t="s">
        <v>35</v>
      </c>
      <c r="N96" s="17">
        <f>Table1_1[[#This Row],[Likes]]+Table1_1[[#This Row],[Shares]]+Table1_1[[#This Row],[Comments]]+Table1_1[[#This Row],[Clicks]]</f>
        <v>4060</v>
      </c>
      <c r="O96" s="36">
        <f>(Table1_1[[#This Row],[Likes]]+Table1_1[[#This Row],[Shares]]+Table1_1[[#This Row],[Comments]])/ Table1_1[[#This Row],[Impressions]]</f>
        <v>6.5515821264328367E-2</v>
      </c>
    </row>
    <row r="97" spans="1:15" x14ac:dyDescent="0.3">
      <c r="A97" t="s">
        <v>215</v>
      </c>
      <c r="B97" s="41" t="s">
        <v>24</v>
      </c>
      <c r="C97" s="42">
        <v>45684</v>
      </c>
      <c r="D97" s="41" t="s">
        <v>20</v>
      </c>
      <c r="E97" t="s">
        <v>99</v>
      </c>
      <c r="F97" s="17">
        <v>3428</v>
      </c>
      <c r="G97" s="17">
        <v>305</v>
      </c>
      <c r="H97" s="17">
        <v>85</v>
      </c>
      <c r="I97" s="17">
        <v>58276</v>
      </c>
      <c r="J97" s="17">
        <v>58052</v>
      </c>
      <c r="K97" s="17">
        <v>242</v>
      </c>
      <c r="L97" s="41" t="s">
        <v>553</v>
      </c>
      <c r="M97" s="41" t="s">
        <v>35</v>
      </c>
      <c r="N97" s="17">
        <f>Table1_1[[#This Row],[Likes]]+Table1_1[[#This Row],[Shares]]+Table1_1[[#This Row],[Comments]]+Table1_1[[#This Row],[Clicks]]</f>
        <v>4060</v>
      </c>
      <c r="O97" s="36">
        <f>(Table1_1[[#This Row],[Likes]]+Table1_1[[#This Row],[Shares]]+Table1_1[[#This Row],[Comments]])/ Table1_1[[#This Row],[Impressions]]</f>
        <v>6.5515821264328367E-2</v>
      </c>
    </row>
    <row r="98" spans="1:15" x14ac:dyDescent="0.3">
      <c r="A98" t="s">
        <v>217</v>
      </c>
      <c r="B98" s="41" t="s">
        <v>13</v>
      </c>
      <c r="C98" s="42">
        <v>45449</v>
      </c>
      <c r="D98" s="41" t="s">
        <v>70</v>
      </c>
      <c r="E98" t="s">
        <v>140</v>
      </c>
      <c r="F98" s="17">
        <v>1436</v>
      </c>
      <c r="G98" s="17">
        <v>765</v>
      </c>
      <c r="H98" s="17">
        <v>496</v>
      </c>
      <c r="I98" s="17">
        <v>12924</v>
      </c>
      <c r="J98" s="17">
        <v>12701</v>
      </c>
      <c r="K98" s="17">
        <v>197</v>
      </c>
      <c r="L98" s="41" t="s">
        <v>58</v>
      </c>
      <c r="M98" s="41" t="s">
        <v>28</v>
      </c>
      <c r="N98" s="17">
        <f>Table1_1[[#This Row],[Likes]]+Table1_1[[#This Row],[Shares]]+Table1_1[[#This Row],[Comments]]+Table1_1[[#This Row],[Clicks]]</f>
        <v>2894</v>
      </c>
      <c r="O98" s="36">
        <f>(Table1_1[[#This Row],[Likes]]+Table1_1[[#This Row],[Shares]]+Table1_1[[#This Row],[Comments]])/ Table1_1[[#This Row],[Impressions]]</f>
        <v>0.20868152274837512</v>
      </c>
    </row>
    <row r="99" spans="1:15" x14ac:dyDescent="0.3">
      <c r="A99" t="s">
        <v>219</v>
      </c>
      <c r="B99" s="41" t="s">
        <v>39</v>
      </c>
      <c r="C99" s="42">
        <v>45480</v>
      </c>
      <c r="D99" s="41" t="s">
        <v>32</v>
      </c>
      <c r="E99" t="s">
        <v>67</v>
      </c>
      <c r="F99" s="17">
        <v>302</v>
      </c>
      <c r="G99" s="17">
        <v>47</v>
      </c>
      <c r="H99" s="17">
        <v>430</v>
      </c>
      <c r="I99" s="17">
        <v>5738</v>
      </c>
      <c r="J99" s="17">
        <v>4890</v>
      </c>
      <c r="K99" s="17">
        <v>25</v>
      </c>
      <c r="L99" s="41" t="s">
        <v>27</v>
      </c>
      <c r="M99" s="41" t="s">
        <v>35</v>
      </c>
      <c r="N99" s="17">
        <f>Table1_1[[#This Row],[Likes]]+Table1_1[[#This Row],[Shares]]+Table1_1[[#This Row],[Comments]]+Table1_1[[#This Row],[Clicks]]</f>
        <v>804</v>
      </c>
      <c r="O99" s="36">
        <f>(Table1_1[[#This Row],[Likes]]+Table1_1[[#This Row],[Shares]]+Table1_1[[#This Row],[Comments]])/ Table1_1[[#This Row],[Impressions]]</f>
        <v>0.13576158940397351</v>
      </c>
    </row>
    <row r="100" spans="1:15" x14ac:dyDescent="0.3">
      <c r="A100" t="s">
        <v>221</v>
      </c>
      <c r="B100" s="41" t="s">
        <v>13</v>
      </c>
      <c r="C100" s="42">
        <v>45667</v>
      </c>
      <c r="D100" s="41" t="s">
        <v>48</v>
      </c>
      <c r="E100" t="s">
        <v>127</v>
      </c>
      <c r="F100" s="17">
        <v>2214</v>
      </c>
      <c r="G100" s="17">
        <v>249</v>
      </c>
      <c r="H100" s="17">
        <v>152</v>
      </c>
      <c r="I100" s="17">
        <v>15498</v>
      </c>
      <c r="J100" s="17">
        <v>14800</v>
      </c>
      <c r="K100" s="17">
        <v>180</v>
      </c>
      <c r="L100" s="41" t="s">
        <v>34</v>
      </c>
      <c r="N100" s="17">
        <f>Table1_1[[#This Row],[Likes]]+Table1_1[[#This Row],[Shares]]+Table1_1[[#This Row],[Comments]]+Table1_1[[#This Row],[Clicks]]</f>
        <v>2795</v>
      </c>
      <c r="O100" s="36">
        <f>(Table1_1[[#This Row],[Likes]]+Table1_1[[#This Row],[Shares]]+Table1_1[[#This Row],[Comments]])/ Table1_1[[#This Row],[Impressions]]</f>
        <v>0.16873144921925409</v>
      </c>
    </row>
    <row r="101" spans="1:15" x14ac:dyDescent="0.3">
      <c r="A101" t="s">
        <v>223</v>
      </c>
      <c r="B101" s="41" t="s">
        <v>30</v>
      </c>
      <c r="C101" s="42">
        <v>45446</v>
      </c>
      <c r="D101" s="41" t="s">
        <v>48</v>
      </c>
      <c r="E101" t="s">
        <v>208</v>
      </c>
      <c r="F101" s="17">
        <v>3861</v>
      </c>
      <c r="G101" s="17">
        <v>960</v>
      </c>
      <c r="H101" s="17">
        <v>101</v>
      </c>
      <c r="I101" s="17">
        <v>69498</v>
      </c>
      <c r="J101" s="17">
        <v>68817</v>
      </c>
      <c r="K101" s="17">
        <v>297</v>
      </c>
      <c r="L101" s="41" t="s">
        <v>27</v>
      </c>
      <c r="M101" s="41" t="s">
        <v>35</v>
      </c>
      <c r="N101" s="17">
        <f>Table1_1[[#This Row],[Likes]]+Table1_1[[#This Row],[Shares]]+Table1_1[[#This Row],[Comments]]+Table1_1[[#This Row],[Clicks]]</f>
        <v>5219</v>
      </c>
      <c r="O101" s="36">
        <f>(Table1_1[[#This Row],[Likes]]+Table1_1[[#This Row],[Shares]]+Table1_1[[#This Row],[Comments]])/ Table1_1[[#This Row],[Impressions]]</f>
        <v>7.0822181933293038E-2</v>
      </c>
    </row>
    <row r="102" spans="1:15" x14ac:dyDescent="0.3">
      <c r="A102" t="s">
        <v>225</v>
      </c>
      <c r="B102" s="41" t="s">
        <v>39</v>
      </c>
      <c r="C102" s="42">
        <v>45740</v>
      </c>
      <c r="D102" s="41" t="s">
        <v>48</v>
      </c>
      <c r="E102" t="s">
        <v>55</v>
      </c>
      <c r="F102" s="17">
        <v>1263</v>
      </c>
      <c r="G102" s="17">
        <v>397</v>
      </c>
      <c r="H102" s="17">
        <v>357</v>
      </c>
      <c r="I102" s="17">
        <v>25260</v>
      </c>
      <c r="J102" s="17">
        <v>24615</v>
      </c>
      <c r="K102" s="17">
        <v>137</v>
      </c>
      <c r="L102" s="41" t="s">
        <v>34</v>
      </c>
      <c r="M102" s="41" t="s">
        <v>35</v>
      </c>
      <c r="N102" s="17">
        <f>Table1_1[[#This Row],[Likes]]+Table1_1[[#This Row],[Shares]]+Table1_1[[#This Row],[Comments]]+Table1_1[[#This Row],[Clicks]]</f>
        <v>2154</v>
      </c>
      <c r="O102" s="36">
        <f>(Table1_1[[#This Row],[Likes]]+Table1_1[[#This Row],[Shares]]+Table1_1[[#This Row],[Comments]])/ Table1_1[[#This Row],[Impressions]]</f>
        <v>7.984956452889945E-2</v>
      </c>
    </row>
    <row r="103" spans="1:15" x14ac:dyDescent="0.3">
      <c r="A103" t="s">
        <v>227</v>
      </c>
      <c r="B103" s="41" t="s">
        <v>13</v>
      </c>
      <c r="C103" s="42">
        <v>45586</v>
      </c>
      <c r="D103" s="41" t="s">
        <v>32</v>
      </c>
      <c r="E103" t="s">
        <v>144</v>
      </c>
      <c r="F103" s="17">
        <v>3801</v>
      </c>
      <c r="G103" s="17">
        <v>967</v>
      </c>
      <c r="H103" s="17">
        <v>401</v>
      </c>
      <c r="I103" s="17">
        <v>38010</v>
      </c>
      <c r="J103" s="17">
        <v>37625</v>
      </c>
      <c r="K103" s="17">
        <v>236</v>
      </c>
      <c r="L103" s="41" t="s">
        <v>58</v>
      </c>
      <c r="M103" s="41" t="s">
        <v>28</v>
      </c>
      <c r="N103" s="17">
        <f>Table1_1[[#This Row],[Likes]]+Table1_1[[#This Row],[Shares]]+Table1_1[[#This Row],[Comments]]+Table1_1[[#This Row],[Clicks]]</f>
        <v>5405</v>
      </c>
      <c r="O103" s="36">
        <f>(Table1_1[[#This Row],[Likes]]+Table1_1[[#This Row],[Shares]]+Table1_1[[#This Row],[Comments]])/ Table1_1[[#This Row],[Impressions]]</f>
        <v>0.13599052880820836</v>
      </c>
    </row>
    <row r="104" spans="1:15" x14ac:dyDescent="0.3">
      <c r="A104" t="s">
        <v>228</v>
      </c>
      <c r="B104" s="41" t="s">
        <v>30</v>
      </c>
      <c r="C104" s="42">
        <v>45637</v>
      </c>
      <c r="D104" s="41" t="s">
        <v>70</v>
      </c>
      <c r="E104" t="s">
        <v>81</v>
      </c>
      <c r="F104" s="17">
        <v>1431</v>
      </c>
      <c r="G104" s="17">
        <v>951</v>
      </c>
      <c r="H104" s="17">
        <v>26</v>
      </c>
      <c r="I104" s="17">
        <v>8586</v>
      </c>
      <c r="J104" s="17">
        <v>8396</v>
      </c>
      <c r="K104" s="17">
        <v>150</v>
      </c>
      <c r="L104" s="41" t="s">
        <v>34</v>
      </c>
      <c r="M104" s="41" t="s">
        <v>28</v>
      </c>
      <c r="N104" s="17">
        <f>Table1_1[[#This Row],[Likes]]+Table1_1[[#This Row],[Shares]]+Table1_1[[#This Row],[Comments]]+Table1_1[[#This Row],[Clicks]]</f>
        <v>2558</v>
      </c>
      <c r="O104" s="36">
        <f>(Table1_1[[#This Row],[Likes]]+Table1_1[[#This Row],[Shares]]+Table1_1[[#This Row],[Comments]])/ Table1_1[[#This Row],[Impressions]]</f>
        <v>0.28045655718611695</v>
      </c>
    </row>
    <row r="105" spans="1:15" x14ac:dyDescent="0.3">
      <c r="A105" t="s">
        <v>230</v>
      </c>
      <c r="B105" s="41" t="s">
        <v>30</v>
      </c>
      <c r="C105" s="42">
        <v>45603</v>
      </c>
      <c r="D105" s="41" t="s">
        <v>48</v>
      </c>
      <c r="E105" t="s">
        <v>208</v>
      </c>
      <c r="F105" s="17">
        <v>2647</v>
      </c>
      <c r="G105" s="17">
        <v>304</v>
      </c>
      <c r="H105" s="17">
        <v>170</v>
      </c>
      <c r="I105" s="17">
        <v>18529</v>
      </c>
      <c r="J105" s="17">
        <v>17841</v>
      </c>
      <c r="K105" s="17">
        <v>46</v>
      </c>
      <c r="L105" s="41" t="s">
        <v>58</v>
      </c>
      <c r="M105" s="41" t="s">
        <v>28</v>
      </c>
      <c r="N105" s="17">
        <f>Table1_1[[#This Row],[Likes]]+Table1_1[[#This Row],[Shares]]+Table1_1[[#This Row],[Comments]]+Table1_1[[#This Row],[Clicks]]</f>
        <v>3167</v>
      </c>
      <c r="O105" s="36">
        <f>(Table1_1[[#This Row],[Likes]]+Table1_1[[#This Row],[Shares]]+Table1_1[[#This Row],[Comments]])/ Table1_1[[#This Row],[Impressions]]</f>
        <v>0.16843866371633656</v>
      </c>
    </row>
    <row r="106" spans="1:15" x14ac:dyDescent="0.3">
      <c r="A106" t="s">
        <v>231</v>
      </c>
      <c r="B106" s="41" t="s">
        <v>30</v>
      </c>
      <c r="C106" s="42">
        <v>45604</v>
      </c>
      <c r="D106" s="41" t="s">
        <v>20</v>
      </c>
      <c r="E106" t="s">
        <v>108</v>
      </c>
      <c r="F106" s="17">
        <v>3182</v>
      </c>
      <c r="G106" s="17">
        <v>559</v>
      </c>
      <c r="H106" s="17">
        <v>160</v>
      </c>
      <c r="I106" s="17">
        <v>57276</v>
      </c>
      <c r="J106" s="17">
        <v>56890</v>
      </c>
      <c r="K106" s="17">
        <v>163</v>
      </c>
      <c r="L106" s="41" t="s">
        <v>58</v>
      </c>
      <c r="M106" s="41" t="s">
        <v>35</v>
      </c>
      <c r="N106" s="17">
        <f>Table1_1[[#This Row],[Likes]]+Table1_1[[#This Row],[Shares]]+Table1_1[[#This Row],[Comments]]+Table1_1[[#This Row],[Clicks]]</f>
        <v>4064</v>
      </c>
      <c r="O106" s="36">
        <f>(Table1_1[[#This Row],[Likes]]+Table1_1[[#This Row],[Shares]]+Table1_1[[#This Row],[Comments]])/ Table1_1[[#This Row],[Impressions]]</f>
        <v>6.8108806480899509E-2</v>
      </c>
    </row>
    <row r="107" spans="1:15" x14ac:dyDescent="0.3">
      <c r="A107" t="s">
        <v>233</v>
      </c>
      <c r="B107" s="41" t="s">
        <v>13</v>
      </c>
      <c r="C107" s="42">
        <v>45545</v>
      </c>
      <c r="D107" s="41" t="s">
        <v>48</v>
      </c>
      <c r="E107" t="s">
        <v>127</v>
      </c>
      <c r="F107" s="17">
        <v>1238</v>
      </c>
      <c r="G107" s="17">
        <v>366</v>
      </c>
      <c r="H107" s="17">
        <v>444</v>
      </c>
      <c r="I107" s="17">
        <v>19808</v>
      </c>
      <c r="J107" s="17">
        <v>19334</v>
      </c>
      <c r="K107" s="17">
        <v>123</v>
      </c>
      <c r="L107" s="41" t="s">
        <v>58</v>
      </c>
      <c r="N107" s="17">
        <f>Table1_1[[#This Row],[Likes]]+Table1_1[[#This Row],[Shares]]+Table1_1[[#This Row],[Comments]]+Table1_1[[#This Row],[Clicks]]</f>
        <v>2171</v>
      </c>
      <c r="O107" s="36">
        <f>(Table1_1[[#This Row],[Likes]]+Table1_1[[#This Row],[Shares]]+Table1_1[[#This Row],[Comments]])/ Table1_1[[#This Row],[Impressions]]</f>
        <v>0.10339256865912763</v>
      </c>
    </row>
    <row r="108" spans="1:15" x14ac:dyDescent="0.3">
      <c r="A108" t="s">
        <v>235</v>
      </c>
      <c r="B108" s="41" t="s">
        <v>30</v>
      </c>
      <c r="C108" s="42">
        <v>45517</v>
      </c>
      <c r="D108" s="41" t="s">
        <v>48</v>
      </c>
      <c r="E108" t="s">
        <v>208</v>
      </c>
      <c r="F108" s="17">
        <v>4739</v>
      </c>
      <c r="G108" s="17">
        <v>527</v>
      </c>
      <c r="H108" s="17">
        <v>135</v>
      </c>
      <c r="I108" s="17">
        <v>61607</v>
      </c>
      <c r="J108" s="17">
        <v>61333</v>
      </c>
      <c r="K108" s="17">
        <v>36</v>
      </c>
      <c r="L108" s="41" t="s">
        <v>27</v>
      </c>
      <c r="M108" s="41" t="s">
        <v>22</v>
      </c>
      <c r="N108" s="17">
        <f>Table1_1[[#This Row],[Likes]]+Table1_1[[#This Row],[Shares]]+Table1_1[[#This Row],[Comments]]+Table1_1[[#This Row],[Clicks]]</f>
        <v>5437</v>
      </c>
      <c r="O108" s="36">
        <f>(Table1_1[[#This Row],[Likes]]+Table1_1[[#This Row],[Shares]]+Table1_1[[#This Row],[Comments]])/ Table1_1[[#This Row],[Impressions]]</f>
        <v>8.7668609086629767E-2</v>
      </c>
    </row>
    <row r="109" spans="1:15" x14ac:dyDescent="0.3">
      <c r="A109" t="s">
        <v>235</v>
      </c>
      <c r="B109" s="41" t="s">
        <v>30</v>
      </c>
      <c r="C109" s="42">
        <v>45517</v>
      </c>
      <c r="D109" s="41" t="s">
        <v>48</v>
      </c>
      <c r="E109" t="s">
        <v>208</v>
      </c>
      <c r="F109" s="17">
        <v>4739</v>
      </c>
      <c r="G109" s="17">
        <v>527</v>
      </c>
      <c r="H109" s="17">
        <v>135</v>
      </c>
      <c r="I109" s="17">
        <v>61607</v>
      </c>
      <c r="J109" s="17">
        <v>61333</v>
      </c>
      <c r="K109" s="17">
        <v>36</v>
      </c>
      <c r="L109" s="41" t="s">
        <v>551</v>
      </c>
      <c r="M109" s="41" t="s">
        <v>22</v>
      </c>
      <c r="N109" s="17">
        <f>Table1_1[[#This Row],[Likes]]+Table1_1[[#This Row],[Shares]]+Table1_1[[#This Row],[Comments]]+Table1_1[[#This Row],[Clicks]]</f>
        <v>5437</v>
      </c>
      <c r="O109" s="36">
        <f>(Table1_1[[#This Row],[Likes]]+Table1_1[[#This Row],[Shares]]+Table1_1[[#This Row],[Comments]])/ Table1_1[[#This Row],[Impressions]]</f>
        <v>8.7668609086629767E-2</v>
      </c>
    </row>
    <row r="110" spans="1:15" x14ac:dyDescent="0.3">
      <c r="A110" t="s">
        <v>237</v>
      </c>
      <c r="B110" s="41" t="s">
        <v>13</v>
      </c>
      <c r="C110" s="42">
        <v>45453</v>
      </c>
      <c r="D110" s="41" t="s">
        <v>32</v>
      </c>
      <c r="E110" t="s">
        <v>144</v>
      </c>
      <c r="F110" s="17">
        <v>1575</v>
      </c>
      <c r="G110" s="17">
        <v>771</v>
      </c>
      <c r="H110" s="17">
        <v>486</v>
      </c>
      <c r="I110" s="17">
        <v>25200</v>
      </c>
      <c r="J110" s="17">
        <v>24826</v>
      </c>
      <c r="K110" s="17">
        <v>17</v>
      </c>
      <c r="L110" s="41" t="s">
        <v>58</v>
      </c>
      <c r="M110" s="41" t="s">
        <v>35</v>
      </c>
      <c r="N110" s="17">
        <f>Table1_1[[#This Row],[Likes]]+Table1_1[[#This Row],[Shares]]+Table1_1[[#This Row],[Comments]]+Table1_1[[#This Row],[Clicks]]</f>
        <v>2849</v>
      </c>
      <c r="O110" s="36">
        <f>(Table1_1[[#This Row],[Likes]]+Table1_1[[#This Row],[Shares]]+Table1_1[[#This Row],[Comments]])/ Table1_1[[#This Row],[Impressions]]</f>
        <v>0.11238095238095239</v>
      </c>
    </row>
    <row r="111" spans="1:15" x14ac:dyDescent="0.3">
      <c r="A111" t="s">
        <v>238</v>
      </c>
      <c r="B111" s="41" t="s">
        <v>24</v>
      </c>
      <c r="C111" s="42">
        <v>45475</v>
      </c>
      <c r="D111" s="41" t="s">
        <v>41</v>
      </c>
      <c r="E111" t="s">
        <v>64</v>
      </c>
      <c r="F111" s="17">
        <v>4171</v>
      </c>
      <c r="G111" s="17">
        <v>548</v>
      </c>
      <c r="H111" s="17">
        <v>86</v>
      </c>
      <c r="I111" s="17">
        <v>66736</v>
      </c>
      <c r="J111" s="17">
        <v>66634</v>
      </c>
      <c r="K111" s="17">
        <v>173</v>
      </c>
      <c r="L111" s="41" t="s">
        <v>58</v>
      </c>
      <c r="M111" s="41" t="s">
        <v>28</v>
      </c>
      <c r="N111" s="17">
        <f>Table1_1[[#This Row],[Likes]]+Table1_1[[#This Row],[Shares]]+Table1_1[[#This Row],[Comments]]+Table1_1[[#This Row],[Clicks]]</f>
        <v>4978</v>
      </c>
      <c r="O111" s="36">
        <f>(Table1_1[[#This Row],[Likes]]+Table1_1[[#This Row],[Shares]]+Table1_1[[#This Row],[Comments]])/ Table1_1[[#This Row],[Impressions]]</f>
        <v>7.2000119875329657E-2</v>
      </c>
    </row>
    <row r="112" spans="1:15" x14ac:dyDescent="0.3">
      <c r="A112" t="s">
        <v>240</v>
      </c>
      <c r="B112" s="41" t="s">
        <v>24</v>
      </c>
      <c r="C112" s="42">
        <v>45698</v>
      </c>
      <c r="D112" s="41" t="s">
        <v>70</v>
      </c>
      <c r="E112" t="s">
        <v>211</v>
      </c>
      <c r="F112" s="17">
        <v>1766</v>
      </c>
      <c r="G112" s="17">
        <v>92</v>
      </c>
      <c r="H112" s="17">
        <v>424</v>
      </c>
      <c r="I112" s="17">
        <v>24724</v>
      </c>
      <c r="J112" s="17">
        <v>24333</v>
      </c>
      <c r="K112" s="17">
        <v>52</v>
      </c>
      <c r="L112" s="41" t="s">
        <v>34</v>
      </c>
      <c r="N112" s="17">
        <f>Table1_1[[#This Row],[Likes]]+Table1_1[[#This Row],[Shares]]+Table1_1[[#This Row],[Comments]]+Table1_1[[#This Row],[Clicks]]</f>
        <v>2334</v>
      </c>
      <c r="O112" s="36">
        <f>(Table1_1[[#This Row],[Likes]]+Table1_1[[#This Row],[Shares]]+Table1_1[[#This Row],[Comments]])/ Table1_1[[#This Row],[Impressions]]</f>
        <v>9.2298980747451867E-2</v>
      </c>
    </row>
    <row r="113" spans="1:15" x14ac:dyDescent="0.3">
      <c r="A113" t="s">
        <v>242</v>
      </c>
      <c r="B113" s="41" t="s">
        <v>24</v>
      </c>
      <c r="C113" s="42">
        <v>45583</v>
      </c>
      <c r="D113" s="41" t="s">
        <v>70</v>
      </c>
      <c r="E113" t="s">
        <v>211</v>
      </c>
      <c r="F113" s="17">
        <v>4450</v>
      </c>
      <c r="G113" s="17">
        <v>983</v>
      </c>
      <c r="H113" s="17">
        <v>143</v>
      </c>
      <c r="I113" s="17">
        <v>75650</v>
      </c>
      <c r="J113" s="17">
        <v>75008</v>
      </c>
      <c r="K113" s="17">
        <v>12</v>
      </c>
      <c r="L113" s="41" t="s">
        <v>58</v>
      </c>
      <c r="M113" s="41" t="s">
        <v>28</v>
      </c>
      <c r="N113" s="17">
        <f>Table1_1[[#This Row],[Likes]]+Table1_1[[#This Row],[Shares]]+Table1_1[[#This Row],[Comments]]+Table1_1[[#This Row],[Clicks]]</f>
        <v>5588</v>
      </c>
      <c r="O113" s="36">
        <f>(Table1_1[[#This Row],[Likes]]+Table1_1[[#This Row],[Shares]]+Table1_1[[#This Row],[Comments]])/ Table1_1[[#This Row],[Impressions]]</f>
        <v>7.3707865168539333E-2</v>
      </c>
    </row>
    <row r="114" spans="1:15" x14ac:dyDescent="0.3">
      <c r="A114" t="s">
        <v>243</v>
      </c>
      <c r="B114" s="41" t="s">
        <v>13</v>
      </c>
      <c r="C114" s="42">
        <v>45553</v>
      </c>
      <c r="D114" s="41" t="s">
        <v>15</v>
      </c>
      <c r="E114" t="s">
        <v>16</v>
      </c>
      <c r="F114" s="17">
        <v>1000</v>
      </c>
      <c r="G114" s="17">
        <v>978</v>
      </c>
      <c r="H114" s="17">
        <v>162</v>
      </c>
      <c r="I114" s="17">
        <v>6000</v>
      </c>
      <c r="J114" s="17">
        <v>5221</v>
      </c>
      <c r="K114" s="17">
        <v>223</v>
      </c>
      <c r="L114" s="41" t="s">
        <v>34</v>
      </c>
      <c r="M114" s="41" t="s">
        <v>22</v>
      </c>
      <c r="N114" s="17">
        <f>Table1_1[[#This Row],[Likes]]+Table1_1[[#This Row],[Shares]]+Table1_1[[#This Row],[Comments]]+Table1_1[[#This Row],[Clicks]]</f>
        <v>2363</v>
      </c>
      <c r="O114" s="36">
        <f>(Table1_1[[#This Row],[Likes]]+Table1_1[[#This Row],[Shares]]+Table1_1[[#This Row],[Comments]])/ Table1_1[[#This Row],[Impressions]]</f>
        <v>0.35666666666666669</v>
      </c>
    </row>
    <row r="115" spans="1:15" x14ac:dyDescent="0.3">
      <c r="A115" t="s">
        <v>245</v>
      </c>
      <c r="B115" s="41" t="s">
        <v>39</v>
      </c>
      <c r="C115" s="42">
        <v>45454</v>
      </c>
      <c r="D115" s="41" t="s">
        <v>48</v>
      </c>
      <c r="E115" t="s">
        <v>55</v>
      </c>
      <c r="F115" s="17">
        <v>3689</v>
      </c>
      <c r="G115" s="17">
        <v>48</v>
      </c>
      <c r="H115" s="17">
        <v>306</v>
      </c>
      <c r="I115" s="17">
        <v>40579</v>
      </c>
      <c r="J115" s="17">
        <v>39588</v>
      </c>
      <c r="K115" s="17">
        <v>212</v>
      </c>
      <c r="L115" s="41" t="s">
        <v>34</v>
      </c>
      <c r="M115" s="41" t="s">
        <v>22</v>
      </c>
      <c r="N115" s="17">
        <f>Table1_1[[#This Row],[Likes]]+Table1_1[[#This Row],[Shares]]+Table1_1[[#This Row],[Comments]]+Table1_1[[#This Row],[Clicks]]</f>
        <v>4255</v>
      </c>
      <c r="O115" s="36">
        <f>(Table1_1[[#This Row],[Likes]]+Table1_1[[#This Row],[Shares]]+Table1_1[[#This Row],[Comments]])/ Table1_1[[#This Row],[Impressions]]</f>
        <v>9.9632815002833983E-2</v>
      </c>
    </row>
    <row r="116" spans="1:15" x14ac:dyDescent="0.3">
      <c r="A116" t="s">
        <v>247</v>
      </c>
      <c r="B116" s="41" t="s">
        <v>24</v>
      </c>
      <c r="C116" s="42">
        <v>45739</v>
      </c>
      <c r="D116" s="41" t="s">
        <v>32</v>
      </c>
      <c r="E116" t="s">
        <v>149</v>
      </c>
      <c r="F116" s="17">
        <v>3655</v>
      </c>
      <c r="G116" s="17">
        <v>568</v>
      </c>
      <c r="H116" s="17">
        <v>286</v>
      </c>
      <c r="I116" s="17">
        <v>32895</v>
      </c>
      <c r="J116" s="17">
        <v>32015</v>
      </c>
      <c r="K116" s="17">
        <v>199</v>
      </c>
      <c r="L116" s="41" t="s">
        <v>27</v>
      </c>
      <c r="M116" s="41" t="s">
        <v>28</v>
      </c>
      <c r="N116" s="17">
        <f>Table1_1[[#This Row],[Likes]]+Table1_1[[#This Row],[Shares]]+Table1_1[[#This Row],[Comments]]+Table1_1[[#This Row],[Clicks]]</f>
        <v>4708</v>
      </c>
      <c r="O116" s="36">
        <f>(Table1_1[[#This Row],[Likes]]+Table1_1[[#This Row],[Shares]]+Table1_1[[#This Row],[Comments]])/ Table1_1[[#This Row],[Impressions]]</f>
        <v>0.13707250341997265</v>
      </c>
    </row>
    <row r="117" spans="1:15" x14ac:dyDescent="0.3">
      <c r="A117" t="s">
        <v>249</v>
      </c>
      <c r="B117" s="41" t="s">
        <v>30</v>
      </c>
      <c r="C117" s="42">
        <v>45457</v>
      </c>
      <c r="D117" s="41" t="s">
        <v>41</v>
      </c>
      <c r="E117" t="s">
        <v>84</v>
      </c>
      <c r="F117" s="17">
        <v>498</v>
      </c>
      <c r="G117" s="17">
        <v>38</v>
      </c>
      <c r="H117" s="17">
        <v>42</v>
      </c>
      <c r="I117" s="17">
        <v>4482</v>
      </c>
      <c r="J117" s="17">
        <v>3647</v>
      </c>
      <c r="K117" s="17">
        <v>32</v>
      </c>
      <c r="L117" s="41" t="s">
        <v>58</v>
      </c>
      <c r="M117" s="41" t="s">
        <v>17</v>
      </c>
      <c r="N117" s="17">
        <f>Table1_1[[#This Row],[Likes]]+Table1_1[[#This Row],[Shares]]+Table1_1[[#This Row],[Comments]]+Table1_1[[#This Row],[Clicks]]</f>
        <v>610</v>
      </c>
      <c r="O117" s="36">
        <f>(Table1_1[[#This Row],[Likes]]+Table1_1[[#This Row],[Shares]]+Table1_1[[#This Row],[Comments]])/ Table1_1[[#This Row],[Impressions]]</f>
        <v>0.12896028558679162</v>
      </c>
    </row>
    <row r="118" spans="1:15" x14ac:dyDescent="0.3">
      <c r="A118" t="s">
        <v>251</v>
      </c>
      <c r="B118" s="41" t="s">
        <v>30</v>
      </c>
      <c r="C118" s="42">
        <v>45692</v>
      </c>
      <c r="D118" s="41" t="s">
        <v>48</v>
      </c>
      <c r="E118" t="s">
        <v>208</v>
      </c>
      <c r="F118" s="17">
        <v>4619</v>
      </c>
      <c r="G118" s="17">
        <v>821</v>
      </c>
      <c r="H118" s="17">
        <v>499</v>
      </c>
      <c r="I118" s="17">
        <v>69285</v>
      </c>
      <c r="J118" s="17">
        <v>69141</v>
      </c>
      <c r="K118" s="17">
        <v>298</v>
      </c>
      <c r="L118" s="41" t="s">
        <v>27</v>
      </c>
      <c r="M118" s="41" t="s">
        <v>35</v>
      </c>
      <c r="N118" s="17">
        <f>Table1_1[[#This Row],[Likes]]+Table1_1[[#This Row],[Shares]]+Table1_1[[#This Row],[Comments]]+Table1_1[[#This Row],[Clicks]]</f>
        <v>6237</v>
      </c>
      <c r="O118" s="36">
        <f>(Table1_1[[#This Row],[Likes]]+Table1_1[[#This Row],[Shares]]+Table1_1[[#This Row],[Comments]])/ Table1_1[[#This Row],[Impressions]]</f>
        <v>8.5718409468138843E-2</v>
      </c>
    </row>
    <row r="119" spans="1:15" x14ac:dyDescent="0.3">
      <c r="A119" t="s">
        <v>253</v>
      </c>
      <c r="B119" s="41" t="s">
        <v>24</v>
      </c>
      <c r="C119" s="42">
        <v>45464</v>
      </c>
      <c r="D119" s="41" t="s">
        <v>48</v>
      </c>
      <c r="E119" t="s">
        <v>49</v>
      </c>
      <c r="F119" s="17">
        <v>4832</v>
      </c>
      <c r="G119" s="17">
        <v>893</v>
      </c>
      <c r="H119" s="17">
        <v>10</v>
      </c>
      <c r="I119" s="17">
        <v>91808</v>
      </c>
      <c r="J119" s="17">
        <v>91296</v>
      </c>
      <c r="K119" s="17">
        <v>182</v>
      </c>
      <c r="L119" s="41" t="s">
        <v>27</v>
      </c>
      <c r="N119" s="17">
        <f>Table1_1[[#This Row],[Likes]]+Table1_1[[#This Row],[Shares]]+Table1_1[[#This Row],[Comments]]+Table1_1[[#This Row],[Clicks]]</f>
        <v>5917</v>
      </c>
      <c r="O119" s="36">
        <f>(Table1_1[[#This Row],[Likes]]+Table1_1[[#This Row],[Shares]]+Table1_1[[#This Row],[Comments]])/ Table1_1[[#This Row],[Impressions]]</f>
        <v>6.2467323109097243E-2</v>
      </c>
    </row>
    <row r="120" spans="1:15" x14ac:dyDescent="0.3">
      <c r="A120" t="s">
        <v>255</v>
      </c>
      <c r="B120" s="41" t="s">
        <v>13</v>
      </c>
      <c r="C120" s="42">
        <v>45741</v>
      </c>
      <c r="D120" s="41" t="s">
        <v>70</v>
      </c>
      <c r="E120" t="s">
        <v>140</v>
      </c>
      <c r="F120" s="17">
        <v>4050</v>
      </c>
      <c r="G120" s="17">
        <v>871</v>
      </c>
      <c r="H120" s="17">
        <v>347</v>
      </c>
      <c r="I120" s="17">
        <v>52650</v>
      </c>
      <c r="J120" s="17">
        <v>51755</v>
      </c>
      <c r="K120" s="17">
        <v>209</v>
      </c>
      <c r="L120" s="41" t="s">
        <v>27</v>
      </c>
      <c r="M120" s="41" t="s">
        <v>22</v>
      </c>
      <c r="N120" s="17">
        <f>Table1_1[[#This Row],[Likes]]+Table1_1[[#This Row],[Shares]]+Table1_1[[#This Row],[Comments]]+Table1_1[[#This Row],[Clicks]]</f>
        <v>5477</v>
      </c>
      <c r="O120" s="36">
        <f>(Table1_1[[#This Row],[Likes]]+Table1_1[[#This Row],[Shares]]+Table1_1[[#This Row],[Comments]])/ Table1_1[[#This Row],[Impressions]]</f>
        <v>0.10005698005698006</v>
      </c>
    </row>
    <row r="121" spans="1:15" x14ac:dyDescent="0.3">
      <c r="A121" t="s">
        <v>257</v>
      </c>
      <c r="B121" s="41" t="s">
        <v>13</v>
      </c>
      <c r="C121" s="42">
        <v>45512</v>
      </c>
      <c r="D121" s="41" t="s">
        <v>32</v>
      </c>
      <c r="E121" t="s">
        <v>144</v>
      </c>
      <c r="F121" s="17">
        <v>3649</v>
      </c>
      <c r="G121" s="17">
        <v>215</v>
      </c>
      <c r="H121" s="17">
        <v>413</v>
      </c>
      <c r="I121" s="17">
        <v>25543</v>
      </c>
      <c r="J121" s="17">
        <v>24963</v>
      </c>
      <c r="K121" s="17">
        <v>167</v>
      </c>
      <c r="L121" s="41" t="s">
        <v>58</v>
      </c>
      <c r="M121" s="41" t="s">
        <v>28</v>
      </c>
      <c r="N121" s="17">
        <f>Table1_1[[#This Row],[Likes]]+Table1_1[[#This Row],[Shares]]+Table1_1[[#This Row],[Comments]]+Table1_1[[#This Row],[Clicks]]</f>
        <v>4444</v>
      </c>
      <c r="O121" s="36">
        <f>(Table1_1[[#This Row],[Likes]]+Table1_1[[#This Row],[Shares]]+Table1_1[[#This Row],[Comments]])/ Table1_1[[#This Row],[Impressions]]</f>
        <v>0.16744313510550835</v>
      </c>
    </row>
    <row r="122" spans="1:15" x14ac:dyDescent="0.3">
      <c r="A122" t="s">
        <v>259</v>
      </c>
      <c r="B122" s="41" t="s">
        <v>30</v>
      </c>
      <c r="C122" s="42">
        <v>45502</v>
      </c>
      <c r="D122" s="41" t="s">
        <v>15</v>
      </c>
      <c r="E122" t="s">
        <v>78</v>
      </c>
      <c r="F122" s="17">
        <v>3523</v>
      </c>
      <c r="G122" s="17">
        <v>753</v>
      </c>
      <c r="H122" s="17">
        <v>482</v>
      </c>
      <c r="I122" s="17">
        <v>38753</v>
      </c>
      <c r="J122" s="17">
        <v>38579</v>
      </c>
      <c r="K122" s="17">
        <v>270</v>
      </c>
      <c r="L122" s="41" t="s">
        <v>34</v>
      </c>
      <c r="M122" s="41" t="s">
        <v>22</v>
      </c>
      <c r="N122" s="17">
        <f>Table1_1[[#This Row],[Likes]]+Table1_1[[#This Row],[Shares]]+Table1_1[[#This Row],[Comments]]+Table1_1[[#This Row],[Clicks]]</f>
        <v>5028</v>
      </c>
      <c r="O122" s="36">
        <f>(Table1_1[[#This Row],[Likes]]+Table1_1[[#This Row],[Shares]]+Table1_1[[#This Row],[Comments]])/ Table1_1[[#This Row],[Impressions]]</f>
        <v>0.12277759141227776</v>
      </c>
    </row>
    <row r="123" spans="1:15" x14ac:dyDescent="0.3">
      <c r="A123" t="s">
        <v>261</v>
      </c>
      <c r="B123" s="41" t="s">
        <v>24</v>
      </c>
      <c r="C123" s="42">
        <v>45619</v>
      </c>
      <c r="D123" s="41" t="s">
        <v>48</v>
      </c>
      <c r="E123" t="s">
        <v>49</v>
      </c>
      <c r="F123" s="17">
        <v>2719</v>
      </c>
      <c r="G123" s="17">
        <v>17</v>
      </c>
      <c r="H123" s="17">
        <v>285</v>
      </c>
      <c r="I123" s="17">
        <v>40785</v>
      </c>
      <c r="J123" s="17">
        <v>40281</v>
      </c>
      <c r="K123" s="17">
        <v>40</v>
      </c>
      <c r="L123" s="41" t="s">
        <v>27</v>
      </c>
      <c r="M123" s="41" t="s">
        <v>22</v>
      </c>
      <c r="N123" s="17">
        <f>Table1_1[[#This Row],[Likes]]+Table1_1[[#This Row],[Shares]]+Table1_1[[#This Row],[Comments]]+Table1_1[[#This Row],[Clicks]]</f>
        <v>3061</v>
      </c>
      <c r="O123" s="36">
        <f>(Table1_1[[#This Row],[Likes]]+Table1_1[[#This Row],[Shares]]+Table1_1[[#This Row],[Comments]])/ Table1_1[[#This Row],[Impressions]]</f>
        <v>7.4071349760941527E-2</v>
      </c>
    </row>
    <row r="124" spans="1:15" x14ac:dyDescent="0.3">
      <c r="A124" t="s">
        <v>263</v>
      </c>
      <c r="B124" s="41" t="s">
        <v>13</v>
      </c>
      <c r="C124" s="42">
        <v>45570</v>
      </c>
      <c r="D124" s="41" t="s">
        <v>32</v>
      </c>
      <c r="E124" t="s">
        <v>144</v>
      </c>
      <c r="F124" s="17">
        <v>1957</v>
      </c>
      <c r="G124" s="17">
        <v>877</v>
      </c>
      <c r="H124" s="17">
        <v>238</v>
      </c>
      <c r="I124" s="17">
        <v>17613</v>
      </c>
      <c r="J124" s="17">
        <v>16865</v>
      </c>
      <c r="K124" s="17">
        <v>297</v>
      </c>
      <c r="L124" s="41" t="s">
        <v>58</v>
      </c>
      <c r="M124" s="41" t="s">
        <v>28</v>
      </c>
      <c r="N124" s="17">
        <f>Table1_1[[#This Row],[Likes]]+Table1_1[[#This Row],[Shares]]+Table1_1[[#This Row],[Comments]]+Table1_1[[#This Row],[Clicks]]</f>
        <v>3369</v>
      </c>
      <c r="O124" s="36">
        <f>(Table1_1[[#This Row],[Likes]]+Table1_1[[#This Row],[Shares]]+Table1_1[[#This Row],[Comments]])/ Table1_1[[#This Row],[Impressions]]</f>
        <v>0.17441662408448305</v>
      </c>
    </row>
    <row r="125" spans="1:15" x14ac:dyDescent="0.3">
      <c r="A125" t="s">
        <v>265</v>
      </c>
      <c r="B125" s="41" t="s">
        <v>13</v>
      </c>
      <c r="C125" s="42">
        <v>45567</v>
      </c>
      <c r="D125" s="41" t="s">
        <v>41</v>
      </c>
      <c r="E125" t="s">
        <v>45</v>
      </c>
      <c r="F125" s="17">
        <v>4419</v>
      </c>
      <c r="G125" s="17">
        <v>236</v>
      </c>
      <c r="H125" s="17">
        <v>369</v>
      </c>
      <c r="I125" s="17">
        <v>44190</v>
      </c>
      <c r="J125" s="17">
        <v>43582</v>
      </c>
      <c r="K125" s="17">
        <v>10</v>
      </c>
      <c r="L125" s="41" t="s">
        <v>34</v>
      </c>
      <c r="M125" s="41" t="s">
        <v>17</v>
      </c>
      <c r="N125" s="17">
        <f>Table1_1[[#This Row],[Likes]]+Table1_1[[#This Row],[Shares]]+Table1_1[[#This Row],[Comments]]+Table1_1[[#This Row],[Clicks]]</f>
        <v>5034</v>
      </c>
      <c r="O125" s="36">
        <f>(Table1_1[[#This Row],[Likes]]+Table1_1[[#This Row],[Shares]]+Table1_1[[#This Row],[Comments]])/ Table1_1[[#This Row],[Impressions]]</f>
        <v>0.11369088028965829</v>
      </c>
    </row>
    <row r="126" spans="1:15" x14ac:dyDescent="0.3">
      <c r="A126" t="s">
        <v>267</v>
      </c>
      <c r="B126" s="41" t="s">
        <v>13</v>
      </c>
      <c r="C126" s="42">
        <v>45610</v>
      </c>
      <c r="D126" s="41" t="s">
        <v>32</v>
      </c>
      <c r="E126" t="s">
        <v>144</v>
      </c>
      <c r="F126" s="17">
        <v>4000</v>
      </c>
      <c r="G126" s="17">
        <v>689</v>
      </c>
      <c r="H126" s="17">
        <v>488</v>
      </c>
      <c r="I126" s="17">
        <v>40000</v>
      </c>
      <c r="J126" s="17">
        <v>39569</v>
      </c>
      <c r="K126" s="17">
        <v>44</v>
      </c>
      <c r="L126" s="41" t="s">
        <v>58</v>
      </c>
      <c r="M126" s="41" t="s">
        <v>17</v>
      </c>
      <c r="N126" s="17">
        <f>Table1_1[[#This Row],[Likes]]+Table1_1[[#This Row],[Shares]]+Table1_1[[#This Row],[Comments]]+Table1_1[[#This Row],[Clicks]]</f>
        <v>5221</v>
      </c>
      <c r="O126" s="36">
        <f>(Table1_1[[#This Row],[Likes]]+Table1_1[[#This Row],[Shares]]+Table1_1[[#This Row],[Comments]])/ Table1_1[[#This Row],[Impressions]]</f>
        <v>0.12942500000000001</v>
      </c>
    </row>
    <row r="127" spans="1:15" x14ac:dyDescent="0.3">
      <c r="A127" t="s">
        <v>269</v>
      </c>
      <c r="B127" s="41" t="s">
        <v>13</v>
      </c>
      <c r="C127" s="42">
        <v>45788</v>
      </c>
      <c r="D127" s="41" t="s">
        <v>48</v>
      </c>
      <c r="E127" t="s">
        <v>127</v>
      </c>
      <c r="F127" s="17">
        <v>2493</v>
      </c>
      <c r="G127" s="17">
        <v>97</v>
      </c>
      <c r="H127" s="17">
        <v>44</v>
      </c>
      <c r="I127" s="17">
        <v>42381</v>
      </c>
      <c r="J127" s="17">
        <v>41991</v>
      </c>
      <c r="K127" s="17">
        <v>242</v>
      </c>
      <c r="L127" s="41" t="s">
        <v>27</v>
      </c>
      <c r="M127" s="41" t="s">
        <v>35</v>
      </c>
      <c r="N127" s="17">
        <f>Table1_1[[#This Row],[Likes]]+Table1_1[[#This Row],[Shares]]+Table1_1[[#This Row],[Comments]]+Table1_1[[#This Row],[Clicks]]</f>
        <v>2876</v>
      </c>
      <c r="O127" s="36">
        <f>(Table1_1[[#This Row],[Likes]]+Table1_1[[#This Row],[Shares]]+Table1_1[[#This Row],[Comments]])/ Table1_1[[#This Row],[Impressions]]</f>
        <v>6.2150491965739366E-2</v>
      </c>
    </row>
    <row r="128" spans="1:15" x14ac:dyDescent="0.3">
      <c r="A128" t="s">
        <v>269</v>
      </c>
      <c r="B128" s="41" t="s">
        <v>13</v>
      </c>
      <c r="C128" s="42">
        <v>45788</v>
      </c>
      <c r="D128" s="41" t="s">
        <v>48</v>
      </c>
      <c r="E128" t="s">
        <v>127</v>
      </c>
      <c r="F128" s="17">
        <v>2493</v>
      </c>
      <c r="G128" s="17">
        <v>97</v>
      </c>
      <c r="H128" s="17">
        <v>44</v>
      </c>
      <c r="I128" s="17">
        <v>42381</v>
      </c>
      <c r="J128" s="17">
        <v>41991</v>
      </c>
      <c r="K128" s="17">
        <v>242</v>
      </c>
      <c r="L128" s="41" t="s">
        <v>551</v>
      </c>
      <c r="M128" s="41" t="s">
        <v>35</v>
      </c>
      <c r="N128" s="17">
        <f>Table1_1[[#This Row],[Likes]]+Table1_1[[#This Row],[Shares]]+Table1_1[[#This Row],[Comments]]+Table1_1[[#This Row],[Clicks]]</f>
        <v>2876</v>
      </c>
      <c r="O128" s="36">
        <f>(Table1_1[[#This Row],[Likes]]+Table1_1[[#This Row],[Shares]]+Table1_1[[#This Row],[Comments]])/ Table1_1[[#This Row],[Impressions]]</f>
        <v>6.2150491965739366E-2</v>
      </c>
    </row>
    <row r="129" spans="1:15" x14ac:dyDescent="0.3">
      <c r="A129" t="s">
        <v>271</v>
      </c>
      <c r="B129" s="41" t="s">
        <v>24</v>
      </c>
      <c r="C129" s="42">
        <v>45734</v>
      </c>
      <c r="D129" s="41" t="s">
        <v>15</v>
      </c>
      <c r="E129" t="s">
        <v>26</v>
      </c>
      <c r="F129" s="17">
        <v>3704</v>
      </c>
      <c r="G129" s="17">
        <v>186</v>
      </c>
      <c r="H129" s="17">
        <v>458</v>
      </c>
      <c r="I129" s="17">
        <v>25928</v>
      </c>
      <c r="J129" s="17">
        <v>25081</v>
      </c>
      <c r="K129" s="17">
        <v>131</v>
      </c>
      <c r="L129" s="41" t="s">
        <v>27</v>
      </c>
      <c r="N129" s="17">
        <f>Table1_1[[#This Row],[Likes]]+Table1_1[[#This Row],[Shares]]+Table1_1[[#This Row],[Comments]]+Table1_1[[#This Row],[Clicks]]</f>
        <v>4479</v>
      </c>
      <c r="O129" s="36">
        <f>(Table1_1[[#This Row],[Likes]]+Table1_1[[#This Row],[Shares]]+Table1_1[[#This Row],[Comments]])/ Table1_1[[#This Row],[Impressions]]</f>
        <v>0.16769515581610614</v>
      </c>
    </row>
    <row r="130" spans="1:15" x14ac:dyDescent="0.3">
      <c r="A130" t="s">
        <v>273</v>
      </c>
      <c r="B130" s="41" t="s">
        <v>13</v>
      </c>
      <c r="C130" s="42">
        <v>45600</v>
      </c>
      <c r="D130" s="41" t="s">
        <v>48</v>
      </c>
      <c r="E130" t="s">
        <v>127</v>
      </c>
      <c r="F130" s="17">
        <v>1606</v>
      </c>
      <c r="G130" s="17">
        <v>451</v>
      </c>
      <c r="H130" s="17">
        <v>405</v>
      </c>
      <c r="I130" s="17">
        <v>20878</v>
      </c>
      <c r="J130" s="17">
        <v>20190</v>
      </c>
      <c r="K130" s="17">
        <v>219</v>
      </c>
      <c r="L130" s="41" t="s">
        <v>34</v>
      </c>
      <c r="M130" s="41" t="s">
        <v>35</v>
      </c>
      <c r="N130" s="17">
        <f>Table1_1[[#This Row],[Likes]]+Table1_1[[#This Row],[Shares]]+Table1_1[[#This Row],[Comments]]+Table1_1[[#This Row],[Clicks]]</f>
        <v>2681</v>
      </c>
      <c r="O130" s="36">
        <f>(Table1_1[[#This Row],[Likes]]+Table1_1[[#This Row],[Shares]]+Table1_1[[#This Row],[Comments]])/ Table1_1[[#This Row],[Impressions]]</f>
        <v>0.11792317271769326</v>
      </c>
    </row>
    <row r="131" spans="1:15" x14ac:dyDescent="0.3">
      <c r="A131" t="s">
        <v>275</v>
      </c>
      <c r="B131" s="41" t="s">
        <v>39</v>
      </c>
      <c r="C131" s="42">
        <v>45600</v>
      </c>
      <c r="D131" s="41" t="s">
        <v>48</v>
      </c>
      <c r="E131" t="s">
        <v>55</v>
      </c>
      <c r="F131" s="17">
        <v>4551</v>
      </c>
      <c r="G131" s="17">
        <v>714</v>
      </c>
      <c r="H131" s="17">
        <v>207</v>
      </c>
      <c r="I131" s="17">
        <v>68265</v>
      </c>
      <c r="J131" s="17">
        <v>67754</v>
      </c>
      <c r="K131" s="17">
        <v>57</v>
      </c>
      <c r="L131" s="41" t="s">
        <v>58</v>
      </c>
      <c r="M131" s="41" t="s">
        <v>28</v>
      </c>
      <c r="N131" s="17">
        <f>Table1_1[[#This Row],[Likes]]+Table1_1[[#This Row],[Shares]]+Table1_1[[#This Row],[Comments]]+Table1_1[[#This Row],[Clicks]]</f>
        <v>5529</v>
      </c>
      <c r="O131" s="36">
        <f>(Table1_1[[#This Row],[Likes]]+Table1_1[[#This Row],[Shares]]+Table1_1[[#This Row],[Comments]])/ Table1_1[[#This Row],[Impressions]]</f>
        <v>8.0158206987475278E-2</v>
      </c>
    </row>
    <row r="132" spans="1:15" x14ac:dyDescent="0.3">
      <c r="A132" t="s">
        <v>276</v>
      </c>
      <c r="B132" s="41" t="s">
        <v>30</v>
      </c>
      <c r="C132" s="42">
        <v>45695</v>
      </c>
      <c r="D132" s="41" t="s">
        <v>15</v>
      </c>
      <c r="E132" t="s">
        <v>78</v>
      </c>
      <c r="F132" s="17">
        <v>1970</v>
      </c>
      <c r="G132" s="17">
        <v>675</v>
      </c>
      <c r="H132" s="17">
        <v>478</v>
      </c>
      <c r="I132" s="17">
        <v>9850</v>
      </c>
      <c r="J132" s="17">
        <v>8924</v>
      </c>
      <c r="K132" s="17">
        <v>117</v>
      </c>
      <c r="L132" s="41" t="s">
        <v>58</v>
      </c>
      <c r="N132" s="17">
        <f>Table1_1[[#This Row],[Likes]]+Table1_1[[#This Row],[Shares]]+Table1_1[[#This Row],[Comments]]+Table1_1[[#This Row],[Clicks]]</f>
        <v>3240</v>
      </c>
      <c r="O132" s="36">
        <f>(Table1_1[[#This Row],[Likes]]+Table1_1[[#This Row],[Shares]]+Table1_1[[#This Row],[Comments]])/ Table1_1[[#This Row],[Impressions]]</f>
        <v>0.31705583756345179</v>
      </c>
    </row>
    <row r="133" spans="1:15" x14ac:dyDescent="0.3">
      <c r="A133" t="s">
        <v>278</v>
      </c>
      <c r="B133" s="41" t="s">
        <v>39</v>
      </c>
      <c r="C133" s="42">
        <v>45586</v>
      </c>
      <c r="D133" s="41" t="s">
        <v>32</v>
      </c>
      <c r="E133" t="s">
        <v>67</v>
      </c>
      <c r="F133" s="17">
        <v>780</v>
      </c>
      <c r="G133" s="17">
        <v>928</v>
      </c>
      <c r="H133" s="17">
        <v>301</v>
      </c>
      <c r="I133" s="17">
        <v>8580</v>
      </c>
      <c r="J133" s="17">
        <v>8081</v>
      </c>
      <c r="K133" s="17">
        <v>91</v>
      </c>
      <c r="L133" s="41" t="s">
        <v>34</v>
      </c>
      <c r="M133" s="41" t="s">
        <v>28</v>
      </c>
      <c r="N133" s="17">
        <f>Table1_1[[#This Row],[Likes]]+Table1_1[[#This Row],[Shares]]+Table1_1[[#This Row],[Comments]]+Table1_1[[#This Row],[Clicks]]</f>
        <v>2100</v>
      </c>
      <c r="O133" s="36">
        <f>(Table1_1[[#This Row],[Likes]]+Table1_1[[#This Row],[Shares]]+Table1_1[[#This Row],[Comments]])/ Table1_1[[#This Row],[Impressions]]</f>
        <v>0.23414918414918415</v>
      </c>
    </row>
    <row r="134" spans="1:15" x14ac:dyDescent="0.3">
      <c r="A134" t="s">
        <v>279</v>
      </c>
      <c r="B134" s="41" t="s">
        <v>30</v>
      </c>
      <c r="C134" s="42">
        <v>45502</v>
      </c>
      <c r="D134" s="41" t="s">
        <v>32</v>
      </c>
      <c r="E134" t="s">
        <v>33</v>
      </c>
      <c r="F134" s="17">
        <v>498</v>
      </c>
      <c r="G134" s="17">
        <v>701</v>
      </c>
      <c r="H134" s="17">
        <v>412</v>
      </c>
      <c r="I134" s="17">
        <v>4980</v>
      </c>
      <c r="J134" s="17">
        <v>4185</v>
      </c>
      <c r="K134" s="17">
        <v>185</v>
      </c>
      <c r="L134" s="41" t="s">
        <v>58</v>
      </c>
      <c r="N134" s="17">
        <f>Table1_1[[#This Row],[Likes]]+Table1_1[[#This Row],[Shares]]+Table1_1[[#This Row],[Comments]]+Table1_1[[#This Row],[Clicks]]</f>
        <v>1796</v>
      </c>
      <c r="O134" s="36">
        <f>(Table1_1[[#This Row],[Likes]]+Table1_1[[#This Row],[Shares]]+Table1_1[[#This Row],[Comments]])/ Table1_1[[#This Row],[Impressions]]</f>
        <v>0.32349397590361445</v>
      </c>
    </row>
    <row r="135" spans="1:15" x14ac:dyDescent="0.3">
      <c r="A135" t="s">
        <v>280</v>
      </c>
      <c r="B135" s="41" t="s">
        <v>30</v>
      </c>
      <c r="C135" s="42">
        <v>45567</v>
      </c>
      <c r="D135" s="41" t="s">
        <v>20</v>
      </c>
      <c r="E135" t="s">
        <v>108</v>
      </c>
      <c r="F135" s="17">
        <v>3432</v>
      </c>
      <c r="G135" s="17">
        <v>869</v>
      </c>
      <c r="H135" s="17">
        <v>123</v>
      </c>
      <c r="I135" s="17">
        <v>54912</v>
      </c>
      <c r="J135" s="17">
        <v>53916</v>
      </c>
      <c r="K135" s="17">
        <v>264</v>
      </c>
      <c r="L135" s="41" t="s">
        <v>34</v>
      </c>
      <c r="M135" s="41" t="s">
        <v>22</v>
      </c>
      <c r="N135" s="17">
        <f>Table1_1[[#This Row],[Likes]]+Table1_1[[#This Row],[Shares]]+Table1_1[[#This Row],[Comments]]+Table1_1[[#This Row],[Clicks]]</f>
        <v>4688</v>
      </c>
      <c r="O135" s="36">
        <f>(Table1_1[[#This Row],[Likes]]+Table1_1[[#This Row],[Shares]]+Table1_1[[#This Row],[Comments]])/ Table1_1[[#This Row],[Impressions]]</f>
        <v>8.0565268065268064E-2</v>
      </c>
    </row>
    <row r="136" spans="1:15" x14ac:dyDescent="0.3">
      <c r="A136" t="s">
        <v>281</v>
      </c>
      <c r="B136" s="41" t="s">
        <v>30</v>
      </c>
      <c r="C136" s="42">
        <v>45457</v>
      </c>
      <c r="D136" s="41" t="s">
        <v>32</v>
      </c>
      <c r="E136" t="s">
        <v>33</v>
      </c>
      <c r="F136" s="17">
        <v>4363</v>
      </c>
      <c r="G136" s="17">
        <v>649</v>
      </c>
      <c r="H136" s="17">
        <v>140</v>
      </c>
      <c r="I136" s="17">
        <v>21815</v>
      </c>
      <c r="J136" s="17">
        <v>21481</v>
      </c>
      <c r="K136" s="17">
        <v>157</v>
      </c>
      <c r="L136" s="41" t="s">
        <v>34</v>
      </c>
      <c r="M136" s="41" t="s">
        <v>17</v>
      </c>
      <c r="N136" s="17">
        <f>Table1_1[[#This Row],[Likes]]+Table1_1[[#This Row],[Shares]]+Table1_1[[#This Row],[Comments]]+Table1_1[[#This Row],[Clicks]]</f>
        <v>5309</v>
      </c>
      <c r="O136" s="36">
        <f>(Table1_1[[#This Row],[Likes]]+Table1_1[[#This Row],[Shares]]+Table1_1[[#This Row],[Comments]])/ Table1_1[[#This Row],[Impressions]]</f>
        <v>0.23616777446710979</v>
      </c>
    </row>
    <row r="137" spans="1:15" x14ac:dyDescent="0.3">
      <c r="A137" t="s">
        <v>282</v>
      </c>
      <c r="B137" s="41" t="s">
        <v>24</v>
      </c>
      <c r="C137" s="42">
        <v>45753</v>
      </c>
      <c r="D137" s="41" t="s">
        <v>41</v>
      </c>
      <c r="E137" t="s">
        <v>64</v>
      </c>
      <c r="F137" s="17">
        <v>736</v>
      </c>
      <c r="G137" s="17">
        <v>771</v>
      </c>
      <c r="H137" s="17">
        <v>225</v>
      </c>
      <c r="I137" s="17">
        <v>5152</v>
      </c>
      <c r="J137" s="17">
        <v>4706</v>
      </c>
      <c r="K137" s="17">
        <v>19</v>
      </c>
      <c r="L137" s="41" t="s">
        <v>34</v>
      </c>
      <c r="M137" s="41" t="s">
        <v>17</v>
      </c>
      <c r="N137" s="17">
        <f>Table1_1[[#This Row],[Likes]]+Table1_1[[#This Row],[Shares]]+Table1_1[[#This Row],[Comments]]+Table1_1[[#This Row],[Clicks]]</f>
        <v>1751</v>
      </c>
      <c r="O137" s="36">
        <f>(Table1_1[[#This Row],[Likes]]+Table1_1[[#This Row],[Shares]]+Table1_1[[#This Row],[Comments]])/ Table1_1[[#This Row],[Impressions]]</f>
        <v>0.33618012422360249</v>
      </c>
    </row>
    <row r="138" spans="1:15" x14ac:dyDescent="0.3">
      <c r="A138" t="s">
        <v>284</v>
      </c>
      <c r="B138" s="41" t="s">
        <v>13</v>
      </c>
      <c r="C138" s="42">
        <v>45543</v>
      </c>
      <c r="D138" s="41" t="s">
        <v>41</v>
      </c>
      <c r="E138" t="s">
        <v>45</v>
      </c>
      <c r="F138" s="17">
        <v>3811</v>
      </c>
      <c r="G138" s="17">
        <v>866</v>
      </c>
      <c r="H138" s="17">
        <v>216</v>
      </c>
      <c r="I138" s="17">
        <v>34299</v>
      </c>
      <c r="J138" s="17">
        <v>34088</v>
      </c>
      <c r="K138" s="17">
        <v>233</v>
      </c>
      <c r="L138" s="41" t="s">
        <v>27</v>
      </c>
      <c r="M138" s="41" t="s">
        <v>35</v>
      </c>
      <c r="N138" s="17">
        <f>Table1_1[[#This Row],[Likes]]+Table1_1[[#This Row],[Shares]]+Table1_1[[#This Row],[Comments]]+Table1_1[[#This Row],[Clicks]]</f>
        <v>5126</v>
      </c>
      <c r="O138" s="36">
        <f>(Table1_1[[#This Row],[Likes]]+Table1_1[[#This Row],[Shares]]+Table1_1[[#This Row],[Comments]])/ Table1_1[[#This Row],[Impressions]]</f>
        <v>0.14265722032712325</v>
      </c>
    </row>
    <row r="139" spans="1:15" x14ac:dyDescent="0.3">
      <c r="A139" t="s">
        <v>286</v>
      </c>
      <c r="B139" s="41" t="s">
        <v>30</v>
      </c>
      <c r="C139" s="42">
        <v>45744</v>
      </c>
      <c r="D139" s="41" t="s">
        <v>41</v>
      </c>
      <c r="E139" t="s">
        <v>84</v>
      </c>
      <c r="F139" s="17">
        <v>4158</v>
      </c>
      <c r="G139" s="17">
        <v>167</v>
      </c>
      <c r="H139" s="17">
        <v>241</v>
      </c>
      <c r="I139" s="17">
        <v>45738</v>
      </c>
      <c r="J139" s="17">
        <v>45183</v>
      </c>
      <c r="K139" s="17">
        <v>142</v>
      </c>
      <c r="L139" s="41" t="s">
        <v>58</v>
      </c>
      <c r="N139" s="17">
        <f>Table1_1[[#This Row],[Likes]]+Table1_1[[#This Row],[Shares]]+Table1_1[[#This Row],[Comments]]+Table1_1[[#This Row],[Clicks]]</f>
        <v>4708</v>
      </c>
      <c r="O139" s="36">
        <f>(Table1_1[[#This Row],[Likes]]+Table1_1[[#This Row],[Shares]]+Table1_1[[#This Row],[Comments]])/ Table1_1[[#This Row],[Impressions]]</f>
        <v>9.9829463465827106E-2</v>
      </c>
    </row>
    <row r="140" spans="1:15" x14ac:dyDescent="0.3">
      <c r="A140" t="s">
        <v>287</v>
      </c>
      <c r="B140" s="41" t="s">
        <v>39</v>
      </c>
      <c r="C140" s="42">
        <v>45684</v>
      </c>
      <c r="D140" s="41" t="s">
        <v>15</v>
      </c>
      <c r="E140" t="s">
        <v>61</v>
      </c>
      <c r="F140" s="17">
        <v>3452</v>
      </c>
      <c r="G140" s="17">
        <v>652</v>
      </c>
      <c r="H140" s="17">
        <v>442</v>
      </c>
      <c r="I140" s="17">
        <v>65588</v>
      </c>
      <c r="J140" s="17">
        <v>65049</v>
      </c>
      <c r="K140" s="17">
        <v>158</v>
      </c>
      <c r="L140" s="41" t="s">
        <v>58</v>
      </c>
      <c r="M140" s="41" t="s">
        <v>28</v>
      </c>
      <c r="N140" s="17">
        <f>Table1_1[[#This Row],[Likes]]+Table1_1[[#This Row],[Shares]]+Table1_1[[#This Row],[Comments]]+Table1_1[[#This Row],[Clicks]]</f>
        <v>4704</v>
      </c>
      <c r="O140" s="36">
        <f>(Table1_1[[#This Row],[Likes]]+Table1_1[[#This Row],[Shares]]+Table1_1[[#This Row],[Comments]])/ Table1_1[[#This Row],[Impressions]]</f>
        <v>6.9311459413307311E-2</v>
      </c>
    </row>
    <row r="141" spans="1:15" x14ac:dyDescent="0.3">
      <c r="A141" t="s">
        <v>288</v>
      </c>
      <c r="B141" s="41" t="s">
        <v>13</v>
      </c>
      <c r="C141" s="42">
        <v>45667</v>
      </c>
      <c r="D141" s="41" t="s">
        <v>48</v>
      </c>
      <c r="E141" t="s">
        <v>127</v>
      </c>
      <c r="F141" s="17">
        <v>3092</v>
      </c>
      <c r="G141" s="17">
        <v>106</v>
      </c>
      <c r="H141" s="17">
        <v>291</v>
      </c>
      <c r="I141" s="17">
        <v>27828</v>
      </c>
      <c r="J141" s="17">
        <v>27217</v>
      </c>
      <c r="K141" s="17">
        <v>102</v>
      </c>
      <c r="L141" s="41" t="s">
        <v>58</v>
      </c>
      <c r="N141" s="17">
        <f>Table1_1[[#This Row],[Likes]]+Table1_1[[#This Row],[Shares]]+Table1_1[[#This Row],[Comments]]+Table1_1[[#This Row],[Clicks]]</f>
        <v>3591</v>
      </c>
      <c r="O141" s="36">
        <f>(Table1_1[[#This Row],[Likes]]+Table1_1[[#This Row],[Shares]]+Table1_1[[#This Row],[Comments]])/ Table1_1[[#This Row],[Impressions]]</f>
        <v>0.12537731780940059</v>
      </c>
    </row>
    <row r="142" spans="1:15" x14ac:dyDescent="0.3">
      <c r="A142" t="s">
        <v>289</v>
      </c>
      <c r="B142" s="41" t="s">
        <v>13</v>
      </c>
      <c r="C142" s="42">
        <v>45494</v>
      </c>
      <c r="D142" s="41" t="s">
        <v>20</v>
      </c>
      <c r="E142" t="s">
        <v>21</v>
      </c>
      <c r="F142" s="17">
        <v>2147</v>
      </c>
      <c r="G142" s="17">
        <v>430</v>
      </c>
      <c r="H142" s="17">
        <v>393</v>
      </c>
      <c r="I142" s="17">
        <v>17176</v>
      </c>
      <c r="J142" s="17">
        <v>16483</v>
      </c>
      <c r="K142" s="17">
        <v>170</v>
      </c>
      <c r="L142" s="41" t="s">
        <v>27</v>
      </c>
      <c r="N142" s="17">
        <f>Table1_1[[#This Row],[Likes]]+Table1_1[[#This Row],[Shares]]+Table1_1[[#This Row],[Comments]]+Table1_1[[#This Row],[Clicks]]</f>
        <v>3140</v>
      </c>
      <c r="O142" s="36">
        <f>(Table1_1[[#This Row],[Likes]]+Table1_1[[#This Row],[Shares]]+Table1_1[[#This Row],[Comments]])/ Table1_1[[#This Row],[Impressions]]</f>
        <v>0.17291569632044715</v>
      </c>
    </row>
    <row r="143" spans="1:15" x14ac:dyDescent="0.3">
      <c r="A143" t="s">
        <v>290</v>
      </c>
      <c r="B143" s="41" t="s">
        <v>24</v>
      </c>
      <c r="C143" s="42">
        <v>45564</v>
      </c>
      <c r="D143" s="41" t="s">
        <v>15</v>
      </c>
      <c r="E143" t="s">
        <v>26</v>
      </c>
      <c r="F143" s="17">
        <v>2936</v>
      </c>
      <c r="G143" s="17">
        <v>439</v>
      </c>
      <c r="H143" s="17">
        <v>44</v>
      </c>
      <c r="I143" s="17">
        <v>38168</v>
      </c>
      <c r="J143" s="17">
        <v>37571</v>
      </c>
      <c r="K143" s="17">
        <v>22</v>
      </c>
      <c r="L143" s="41" t="s">
        <v>34</v>
      </c>
      <c r="M143" s="41" t="s">
        <v>35</v>
      </c>
      <c r="N143" s="17">
        <f>Table1_1[[#This Row],[Likes]]+Table1_1[[#This Row],[Shares]]+Table1_1[[#This Row],[Comments]]+Table1_1[[#This Row],[Clicks]]</f>
        <v>3441</v>
      </c>
      <c r="O143" s="36">
        <f>(Table1_1[[#This Row],[Likes]]+Table1_1[[#This Row],[Shares]]+Table1_1[[#This Row],[Comments]])/ Table1_1[[#This Row],[Impressions]]</f>
        <v>8.9577656675749323E-2</v>
      </c>
    </row>
    <row r="144" spans="1:15" x14ac:dyDescent="0.3">
      <c r="A144" t="s">
        <v>292</v>
      </c>
      <c r="B144" s="41" t="s">
        <v>30</v>
      </c>
      <c r="C144" s="42">
        <v>45586</v>
      </c>
      <c r="D144" s="41" t="s">
        <v>15</v>
      </c>
      <c r="E144" t="s">
        <v>78</v>
      </c>
      <c r="F144" s="17">
        <v>4840</v>
      </c>
      <c r="G144" s="17">
        <v>658</v>
      </c>
      <c r="H144" s="17">
        <v>211</v>
      </c>
      <c r="I144" s="17">
        <v>43560</v>
      </c>
      <c r="J144" s="17">
        <v>43225</v>
      </c>
      <c r="K144" s="17">
        <v>57</v>
      </c>
      <c r="L144" s="41" t="s">
        <v>58</v>
      </c>
      <c r="M144" s="41" t="s">
        <v>28</v>
      </c>
      <c r="N144" s="17">
        <f>Table1_1[[#This Row],[Likes]]+Table1_1[[#This Row],[Shares]]+Table1_1[[#This Row],[Comments]]+Table1_1[[#This Row],[Clicks]]</f>
        <v>5766</v>
      </c>
      <c r="O144" s="36">
        <f>(Table1_1[[#This Row],[Likes]]+Table1_1[[#This Row],[Shares]]+Table1_1[[#This Row],[Comments]])/ Table1_1[[#This Row],[Impressions]]</f>
        <v>0.13106060606060607</v>
      </c>
    </row>
    <row r="145" spans="1:15" x14ac:dyDescent="0.3">
      <c r="A145" t="s">
        <v>293</v>
      </c>
      <c r="B145" s="41" t="s">
        <v>30</v>
      </c>
      <c r="C145" s="42">
        <v>45720</v>
      </c>
      <c r="D145" s="41" t="s">
        <v>32</v>
      </c>
      <c r="E145" t="s">
        <v>33</v>
      </c>
      <c r="F145" s="17">
        <v>1947</v>
      </c>
      <c r="G145" s="17">
        <v>842</v>
      </c>
      <c r="H145" s="17">
        <v>101</v>
      </c>
      <c r="I145" s="17">
        <v>21417</v>
      </c>
      <c r="J145" s="17">
        <v>20967</v>
      </c>
      <c r="K145" s="17">
        <v>186</v>
      </c>
      <c r="L145" s="41" t="s">
        <v>58</v>
      </c>
      <c r="M145" s="41" t="s">
        <v>22</v>
      </c>
      <c r="N145" s="17">
        <f>Table1_1[[#This Row],[Likes]]+Table1_1[[#This Row],[Shares]]+Table1_1[[#This Row],[Comments]]+Table1_1[[#This Row],[Clicks]]</f>
        <v>3076</v>
      </c>
      <c r="O145" s="36">
        <f>(Table1_1[[#This Row],[Likes]]+Table1_1[[#This Row],[Shares]]+Table1_1[[#This Row],[Comments]])/ Table1_1[[#This Row],[Impressions]]</f>
        <v>0.13493953401503478</v>
      </c>
    </row>
    <row r="146" spans="1:15" x14ac:dyDescent="0.3">
      <c r="A146" t="s">
        <v>294</v>
      </c>
      <c r="B146" s="41" t="s">
        <v>39</v>
      </c>
      <c r="C146" s="42">
        <v>45694</v>
      </c>
      <c r="D146" s="41" t="s">
        <v>48</v>
      </c>
      <c r="E146" t="s">
        <v>55</v>
      </c>
      <c r="F146" s="17">
        <v>2072</v>
      </c>
      <c r="G146" s="17">
        <v>532</v>
      </c>
      <c r="H146" s="17">
        <v>71</v>
      </c>
      <c r="I146" s="17">
        <v>37296</v>
      </c>
      <c r="J146" s="17">
        <v>36467</v>
      </c>
      <c r="K146" s="17">
        <v>25</v>
      </c>
      <c r="L146" s="41" t="s">
        <v>27</v>
      </c>
      <c r="M146" s="41" t="s">
        <v>35</v>
      </c>
      <c r="N146" s="17">
        <f>Table1_1[[#This Row],[Likes]]+Table1_1[[#This Row],[Shares]]+Table1_1[[#This Row],[Comments]]+Table1_1[[#This Row],[Clicks]]</f>
        <v>2700</v>
      </c>
      <c r="O146" s="36">
        <f>(Table1_1[[#This Row],[Likes]]+Table1_1[[#This Row],[Shares]]+Table1_1[[#This Row],[Comments]])/ Table1_1[[#This Row],[Impressions]]</f>
        <v>7.172350922350923E-2</v>
      </c>
    </row>
    <row r="147" spans="1:15" x14ac:dyDescent="0.3">
      <c r="A147" t="s">
        <v>296</v>
      </c>
      <c r="B147" s="41" t="s">
        <v>13</v>
      </c>
      <c r="C147" s="42">
        <v>45771</v>
      </c>
      <c r="D147" s="41" t="s">
        <v>15</v>
      </c>
      <c r="E147" t="s">
        <v>16</v>
      </c>
      <c r="F147" s="17">
        <v>3731</v>
      </c>
      <c r="G147" s="17">
        <v>115</v>
      </c>
      <c r="H147" s="17">
        <v>135</v>
      </c>
      <c r="I147" s="17">
        <v>55965</v>
      </c>
      <c r="J147" s="17">
        <v>55436</v>
      </c>
      <c r="K147" s="17">
        <v>103</v>
      </c>
      <c r="L147" s="41" t="s">
        <v>27</v>
      </c>
      <c r="M147" s="41" t="s">
        <v>17</v>
      </c>
      <c r="N147" s="17">
        <f>Table1_1[[#This Row],[Likes]]+Table1_1[[#This Row],[Shares]]+Table1_1[[#This Row],[Comments]]+Table1_1[[#This Row],[Clicks]]</f>
        <v>4084</v>
      </c>
      <c r="O147" s="36">
        <f>(Table1_1[[#This Row],[Likes]]+Table1_1[[#This Row],[Shares]]+Table1_1[[#This Row],[Comments]])/ Table1_1[[#This Row],[Impressions]]</f>
        <v>7.1133744304476013E-2</v>
      </c>
    </row>
    <row r="148" spans="1:15" x14ac:dyDescent="0.3">
      <c r="A148" t="s">
        <v>298</v>
      </c>
      <c r="B148" s="41" t="s">
        <v>39</v>
      </c>
      <c r="C148" s="42">
        <v>45624</v>
      </c>
      <c r="D148" s="41" t="s">
        <v>20</v>
      </c>
      <c r="E148" t="s">
        <v>52</v>
      </c>
      <c r="F148" s="17">
        <v>4213</v>
      </c>
      <c r="G148" s="17">
        <v>253</v>
      </c>
      <c r="H148" s="17">
        <v>434</v>
      </c>
      <c r="I148" s="17">
        <v>75834</v>
      </c>
      <c r="J148" s="17">
        <v>75437</v>
      </c>
      <c r="K148" s="17">
        <v>272</v>
      </c>
      <c r="L148" s="41" t="s">
        <v>58</v>
      </c>
      <c r="M148" s="41" t="s">
        <v>35</v>
      </c>
      <c r="N148" s="17">
        <f>Table1_1[[#This Row],[Likes]]+Table1_1[[#This Row],[Shares]]+Table1_1[[#This Row],[Comments]]+Table1_1[[#This Row],[Clicks]]</f>
        <v>5172</v>
      </c>
      <c r="O148" s="36">
        <f>(Table1_1[[#This Row],[Likes]]+Table1_1[[#This Row],[Shares]]+Table1_1[[#This Row],[Comments]])/ Table1_1[[#This Row],[Impressions]]</f>
        <v>6.461481657304112E-2</v>
      </c>
    </row>
    <row r="149" spans="1:15" x14ac:dyDescent="0.3">
      <c r="A149" t="s">
        <v>300</v>
      </c>
      <c r="B149" s="41" t="s">
        <v>30</v>
      </c>
      <c r="C149" s="42">
        <v>45484</v>
      </c>
      <c r="D149" s="41" t="s">
        <v>20</v>
      </c>
      <c r="E149" t="s">
        <v>108</v>
      </c>
      <c r="F149" s="17">
        <v>3134</v>
      </c>
      <c r="G149" s="17">
        <v>888</v>
      </c>
      <c r="H149" s="17">
        <v>444</v>
      </c>
      <c r="I149" s="17">
        <v>21938</v>
      </c>
      <c r="J149" s="17">
        <v>21337</v>
      </c>
      <c r="K149" s="17">
        <v>130</v>
      </c>
      <c r="L149" s="41" t="s">
        <v>34</v>
      </c>
      <c r="M149" s="41" t="s">
        <v>35</v>
      </c>
      <c r="N149" s="17">
        <f>Table1_1[[#This Row],[Likes]]+Table1_1[[#This Row],[Shares]]+Table1_1[[#This Row],[Comments]]+Table1_1[[#This Row],[Clicks]]</f>
        <v>4596</v>
      </c>
      <c r="O149" s="36">
        <f>(Table1_1[[#This Row],[Likes]]+Table1_1[[#This Row],[Shares]]+Table1_1[[#This Row],[Comments]])/ Table1_1[[#This Row],[Impressions]]</f>
        <v>0.20357370772176134</v>
      </c>
    </row>
    <row r="150" spans="1:15" x14ac:dyDescent="0.3">
      <c r="A150" t="s">
        <v>302</v>
      </c>
      <c r="B150" s="41" t="s">
        <v>39</v>
      </c>
      <c r="C150" s="42">
        <v>45504</v>
      </c>
      <c r="D150" s="41" t="s">
        <v>70</v>
      </c>
      <c r="E150" t="s">
        <v>71</v>
      </c>
      <c r="F150" s="17">
        <v>3008</v>
      </c>
      <c r="G150" s="17">
        <v>94</v>
      </c>
      <c r="H150" s="17">
        <v>37</v>
      </c>
      <c r="I150" s="17">
        <v>15040</v>
      </c>
      <c r="J150" s="17">
        <v>14639</v>
      </c>
      <c r="K150" s="17">
        <v>277</v>
      </c>
      <c r="L150" s="41" t="s">
        <v>58</v>
      </c>
      <c r="N150" s="17">
        <f>Table1_1[[#This Row],[Likes]]+Table1_1[[#This Row],[Shares]]+Table1_1[[#This Row],[Comments]]+Table1_1[[#This Row],[Clicks]]</f>
        <v>3416</v>
      </c>
      <c r="O150" s="36">
        <f>(Table1_1[[#This Row],[Likes]]+Table1_1[[#This Row],[Shares]]+Table1_1[[#This Row],[Comments]])/ Table1_1[[#This Row],[Impressions]]</f>
        <v>0.20871010638297871</v>
      </c>
    </row>
    <row r="151" spans="1:15" x14ac:dyDescent="0.3">
      <c r="A151" t="s">
        <v>303</v>
      </c>
      <c r="B151" s="41" t="s">
        <v>13</v>
      </c>
      <c r="C151" s="42">
        <v>45745</v>
      </c>
      <c r="D151" s="41" t="s">
        <v>48</v>
      </c>
      <c r="E151" t="s">
        <v>127</v>
      </c>
      <c r="F151" s="17">
        <v>305</v>
      </c>
      <c r="G151" s="17">
        <v>187</v>
      </c>
      <c r="H151" s="17">
        <v>243</v>
      </c>
      <c r="I151" s="17">
        <v>4575</v>
      </c>
      <c r="J151" s="17">
        <v>3704</v>
      </c>
      <c r="K151" s="17">
        <v>234</v>
      </c>
      <c r="L151" s="41" t="s">
        <v>58</v>
      </c>
      <c r="M151" s="41" t="s">
        <v>28</v>
      </c>
      <c r="N151" s="17">
        <f>Table1_1[[#This Row],[Likes]]+Table1_1[[#This Row],[Shares]]+Table1_1[[#This Row],[Comments]]+Table1_1[[#This Row],[Clicks]]</f>
        <v>969</v>
      </c>
      <c r="O151" s="36">
        <f>(Table1_1[[#This Row],[Likes]]+Table1_1[[#This Row],[Shares]]+Table1_1[[#This Row],[Comments]])/ Table1_1[[#This Row],[Impressions]]</f>
        <v>0.16065573770491803</v>
      </c>
    </row>
    <row r="152" spans="1:15" x14ac:dyDescent="0.3">
      <c r="A152" t="s">
        <v>304</v>
      </c>
      <c r="B152" s="41" t="s">
        <v>24</v>
      </c>
      <c r="C152" s="42">
        <v>45594</v>
      </c>
      <c r="D152" s="41" t="s">
        <v>20</v>
      </c>
      <c r="E152" t="s">
        <v>99</v>
      </c>
      <c r="F152" s="17">
        <v>2746</v>
      </c>
      <c r="G152" s="17">
        <v>156</v>
      </c>
      <c r="H152" s="17">
        <v>203</v>
      </c>
      <c r="I152" s="17">
        <v>32952</v>
      </c>
      <c r="J152" s="17">
        <v>32147</v>
      </c>
      <c r="K152" s="17">
        <v>147</v>
      </c>
      <c r="L152" s="41" t="s">
        <v>34</v>
      </c>
      <c r="M152" s="41" t="s">
        <v>17</v>
      </c>
      <c r="N152" s="17">
        <f>Table1_1[[#This Row],[Likes]]+Table1_1[[#This Row],[Shares]]+Table1_1[[#This Row],[Comments]]+Table1_1[[#This Row],[Clicks]]</f>
        <v>3252</v>
      </c>
      <c r="O152" s="36">
        <f>(Table1_1[[#This Row],[Likes]]+Table1_1[[#This Row],[Shares]]+Table1_1[[#This Row],[Comments]])/ Table1_1[[#This Row],[Impressions]]</f>
        <v>9.422796795338674E-2</v>
      </c>
    </row>
    <row r="153" spans="1:15" x14ac:dyDescent="0.3">
      <c r="A153" t="s">
        <v>306</v>
      </c>
      <c r="B153" s="41" t="s">
        <v>39</v>
      </c>
      <c r="C153" s="42">
        <v>45488</v>
      </c>
      <c r="D153" s="41" t="s">
        <v>48</v>
      </c>
      <c r="E153" t="s">
        <v>55</v>
      </c>
      <c r="F153" s="17">
        <v>2291</v>
      </c>
      <c r="G153" s="17">
        <v>78</v>
      </c>
      <c r="H153" s="17">
        <v>485</v>
      </c>
      <c r="I153" s="17">
        <v>18328</v>
      </c>
      <c r="J153" s="17">
        <v>18101</v>
      </c>
      <c r="K153" s="17">
        <v>10</v>
      </c>
      <c r="L153" s="41" t="s">
        <v>34</v>
      </c>
      <c r="M153" s="41" t="s">
        <v>22</v>
      </c>
      <c r="N153" s="17">
        <f>Table1_1[[#This Row],[Likes]]+Table1_1[[#This Row],[Shares]]+Table1_1[[#This Row],[Comments]]+Table1_1[[#This Row],[Clicks]]</f>
        <v>2864</v>
      </c>
      <c r="O153" s="36">
        <f>(Table1_1[[#This Row],[Likes]]+Table1_1[[#This Row],[Shares]]+Table1_1[[#This Row],[Comments]])/ Table1_1[[#This Row],[Impressions]]</f>
        <v>0.15571802706241816</v>
      </c>
    </row>
    <row r="154" spans="1:15" x14ac:dyDescent="0.3">
      <c r="A154" t="s">
        <v>306</v>
      </c>
      <c r="B154" s="41" t="s">
        <v>39</v>
      </c>
      <c r="C154" s="42">
        <v>45488</v>
      </c>
      <c r="D154" s="41" t="s">
        <v>48</v>
      </c>
      <c r="E154" t="s">
        <v>55</v>
      </c>
      <c r="F154" s="17">
        <v>2291</v>
      </c>
      <c r="G154" s="17">
        <v>78</v>
      </c>
      <c r="H154" s="17">
        <v>485</v>
      </c>
      <c r="I154" s="17">
        <v>18328</v>
      </c>
      <c r="J154" s="17">
        <v>18101</v>
      </c>
      <c r="K154" s="17">
        <v>10</v>
      </c>
      <c r="L154" s="41" t="s">
        <v>552</v>
      </c>
      <c r="M154" s="41" t="s">
        <v>22</v>
      </c>
      <c r="N154" s="17">
        <f>Table1_1[[#This Row],[Likes]]+Table1_1[[#This Row],[Shares]]+Table1_1[[#This Row],[Comments]]+Table1_1[[#This Row],[Clicks]]</f>
        <v>2864</v>
      </c>
      <c r="O154" s="36">
        <f>(Table1_1[[#This Row],[Likes]]+Table1_1[[#This Row],[Shares]]+Table1_1[[#This Row],[Comments]])/ Table1_1[[#This Row],[Impressions]]</f>
        <v>0.15571802706241816</v>
      </c>
    </row>
    <row r="155" spans="1:15" x14ac:dyDescent="0.3">
      <c r="A155" t="s">
        <v>308</v>
      </c>
      <c r="B155" s="41" t="s">
        <v>13</v>
      </c>
      <c r="C155" s="42">
        <v>45535</v>
      </c>
      <c r="D155" s="41" t="s">
        <v>48</v>
      </c>
      <c r="E155" t="s">
        <v>127</v>
      </c>
      <c r="F155" s="17">
        <v>3170</v>
      </c>
      <c r="G155" s="17">
        <v>857</v>
      </c>
      <c r="H155" s="17">
        <v>379</v>
      </c>
      <c r="I155" s="17">
        <v>19020</v>
      </c>
      <c r="J155" s="17">
        <v>18559</v>
      </c>
      <c r="K155" s="17">
        <v>240</v>
      </c>
      <c r="L155" s="41" t="s">
        <v>58</v>
      </c>
      <c r="N155" s="17">
        <f>Table1_1[[#This Row],[Likes]]+Table1_1[[#This Row],[Shares]]+Table1_1[[#This Row],[Comments]]+Table1_1[[#This Row],[Clicks]]</f>
        <v>4646</v>
      </c>
      <c r="O155" s="36">
        <f>(Table1_1[[#This Row],[Likes]]+Table1_1[[#This Row],[Shares]]+Table1_1[[#This Row],[Comments]])/ Table1_1[[#This Row],[Impressions]]</f>
        <v>0.2316508937960042</v>
      </c>
    </row>
    <row r="156" spans="1:15" x14ac:dyDescent="0.3">
      <c r="A156" t="s">
        <v>310</v>
      </c>
      <c r="B156" s="41" t="s">
        <v>24</v>
      </c>
      <c r="C156" s="42">
        <v>45741</v>
      </c>
      <c r="D156" s="41" t="s">
        <v>32</v>
      </c>
      <c r="E156" t="s">
        <v>149</v>
      </c>
      <c r="F156" s="17">
        <v>2070</v>
      </c>
      <c r="G156" s="17">
        <v>275</v>
      </c>
      <c r="H156" s="17">
        <v>386</v>
      </c>
      <c r="I156" s="17">
        <v>39330</v>
      </c>
      <c r="J156" s="17">
        <v>38627</v>
      </c>
      <c r="K156" s="17">
        <v>114</v>
      </c>
      <c r="L156" s="41" t="s">
        <v>58</v>
      </c>
      <c r="M156" s="41" t="s">
        <v>35</v>
      </c>
      <c r="N156" s="17">
        <f>Table1_1[[#This Row],[Likes]]+Table1_1[[#This Row],[Shares]]+Table1_1[[#This Row],[Comments]]+Table1_1[[#This Row],[Clicks]]</f>
        <v>2845</v>
      </c>
      <c r="O156" s="36">
        <f>(Table1_1[[#This Row],[Likes]]+Table1_1[[#This Row],[Shares]]+Table1_1[[#This Row],[Comments]])/ Table1_1[[#This Row],[Impressions]]</f>
        <v>6.9438087973557078E-2</v>
      </c>
    </row>
    <row r="157" spans="1:15" x14ac:dyDescent="0.3">
      <c r="A157" t="s">
        <v>311</v>
      </c>
      <c r="B157" s="41" t="s">
        <v>24</v>
      </c>
      <c r="C157" s="42">
        <v>45567</v>
      </c>
      <c r="D157" s="41" t="s">
        <v>41</v>
      </c>
      <c r="E157" t="s">
        <v>64</v>
      </c>
      <c r="F157" s="17">
        <v>80</v>
      </c>
      <c r="G157" s="17">
        <v>362</v>
      </c>
      <c r="H157" s="17">
        <v>80</v>
      </c>
      <c r="I157" s="17">
        <v>1040</v>
      </c>
      <c r="J157" s="17">
        <v>349</v>
      </c>
      <c r="K157" s="17">
        <v>117</v>
      </c>
      <c r="L157" s="41" t="s">
        <v>27</v>
      </c>
      <c r="M157" s="41" t="s">
        <v>28</v>
      </c>
      <c r="N157" s="17">
        <f>Table1_1[[#This Row],[Likes]]+Table1_1[[#This Row],[Shares]]+Table1_1[[#This Row],[Comments]]+Table1_1[[#This Row],[Clicks]]</f>
        <v>639</v>
      </c>
      <c r="O157" s="36">
        <f>(Table1_1[[#This Row],[Likes]]+Table1_1[[#This Row],[Shares]]+Table1_1[[#This Row],[Comments]])/ Table1_1[[#This Row],[Impressions]]</f>
        <v>0.50192307692307692</v>
      </c>
    </row>
    <row r="158" spans="1:15" x14ac:dyDescent="0.3">
      <c r="A158" t="s">
        <v>312</v>
      </c>
      <c r="B158" s="41" t="s">
        <v>24</v>
      </c>
      <c r="C158" s="42">
        <v>45593</v>
      </c>
      <c r="D158" s="41" t="s">
        <v>32</v>
      </c>
      <c r="E158" t="s">
        <v>149</v>
      </c>
      <c r="F158" s="17">
        <v>4929</v>
      </c>
      <c r="G158" s="17">
        <v>749</v>
      </c>
      <c r="H158" s="17">
        <v>452</v>
      </c>
      <c r="I158" s="17">
        <v>93651</v>
      </c>
      <c r="J158" s="17">
        <v>92810</v>
      </c>
      <c r="K158" s="17">
        <v>66</v>
      </c>
      <c r="L158" s="41" t="s">
        <v>34</v>
      </c>
      <c r="M158" s="41" t="s">
        <v>35</v>
      </c>
      <c r="N158" s="17">
        <f>Table1_1[[#This Row],[Likes]]+Table1_1[[#This Row],[Shares]]+Table1_1[[#This Row],[Comments]]+Table1_1[[#This Row],[Clicks]]</f>
        <v>6196</v>
      </c>
      <c r="O158" s="36">
        <f>(Table1_1[[#This Row],[Likes]]+Table1_1[[#This Row],[Shares]]+Table1_1[[#This Row],[Comments]])/ Table1_1[[#This Row],[Impressions]]</f>
        <v>6.5455787978772245E-2</v>
      </c>
    </row>
    <row r="159" spans="1:15" x14ac:dyDescent="0.3">
      <c r="A159" t="s">
        <v>313</v>
      </c>
      <c r="B159" s="41" t="s">
        <v>30</v>
      </c>
      <c r="C159" s="42">
        <v>45516</v>
      </c>
      <c r="D159" s="41" t="s">
        <v>41</v>
      </c>
      <c r="E159" t="s">
        <v>84</v>
      </c>
      <c r="F159" s="17">
        <v>1878</v>
      </c>
      <c r="G159" s="17">
        <v>62</v>
      </c>
      <c r="H159" s="17">
        <v>179</v>
      </c>
      <c r="I159" s="17">
        <v>37560</v>
      </c>
      <c r="J159" s="17">
        <v>36874</v>
      </c>
      <c r="K159" s="17">
        <v>142</v>
      </c>
      <c r="L159" s="41" t="s">
        <v>27</v>
      </c>
      <c r="M159" s="41" t="s">
        <v>35</v>
      </c>
      <c r="N159" s="17">
        <f>Table1_1[[#This Row],[Likes]]+Table1_1[[#This Row],[Shares]]+Table1_1[[#This Row],[Comments]]+Table1_1[[#This Row],[Clicks]]</f>
        <v>2261</v>
      </c>
      <c r="O159" s="36">
        <f>(Table1_1[[#This Row],[Likes]]+Table1_1[[#This Row],[Shares]]+Table1_1[[#This Row],[Comments]])/ Table1_1[[#This Row],[Impressions]]</f>
        <v>5.6416400425985093E-2</v>
      </c>
    </row>
    <row r="160" spans="1:15" x14ac:dyDescent="0.3">
      <c r="A160" t="s">
        <v>314</v>
      </c>
      <c r="B160" s="41" t="s">
        <v>24</v>
      </c>
      <c r="C160" s="42">
        <v>45448</v>
      </c>
      <c r="D160" s="41" t="s">
        <v>15</v>
      </c>
      <c r="E160" t="s">
        <v>26</v>
      </c>
      <c r="F160" s="17">
        <v>3065</v>
      </c>
      <c r="G160" s="17">
        <v>772</v>
      </c>
      <c r="H160" s="17">
        <v>142</v>
      </c>
      <c r="I160" s="17">
        <v>18390</v>
      </c>
      <c r="J160" s="17">
        <v>17875</v>
      </c>
      <c r="K160" s="17">
        <v>200</v>
      </c>
      <c r="L160" s="41" t="s">
        <v>34</v>
      </c>
      <c r="N160" s="17">
        <f>Table1_1[[#This Row],[Likes]]+Table1_1[[#This Row],[Shares]]+Table1_1[[#This Row],[Comments]]+Table1_1[[#This Row],[Clicks]]</f>
        <v>4179</v>
      </c>
      <c r="O160" s="36">
        <f>(Table1_1[[#This Row],[Likes]]+Table1_1[[#This Row],[Shares]]+Table1_1[[#This Row],[Comments]])/ Table1_1[[#This Row],[Impressions]]</f>
        <v>0.21636759108210984</v>
      </c>
    </row>
    <row r="161" spans="1:15" x14ac:dyDescent="0.3">
      <c r="A161" t="s">
        <v>314</v>
      </c>
      <c r="B161" s="41" t="s">
        <v>24</v>
      </c>
      <c r="C161" s="42">
        <v>45448</v>
      </c>
      <c r="D161" s="41" t="s">
        <v>15</v>
      </c>
      <c r="E161" t="s">
        <v>26</v>
      </c>
      <c r="F161" s="17">
        <v>3065</v>
      </c>
      <c r="G161" s="17">
        <v>772</v>
      </c>
      <c r="H161" s="17">
        <v>142</v>
      </c>
      <c r="I161" s="17">
        <v>18390</v>
      </c>
      <c r="J161" s="17">
        <v>17875</v>
      </c>
      <c r="K161" s="17">
        <v>200</v>
      </c>
      <c r="L161" s="41" t="s">
        <v>551</v>
      </c>
      <c r="N161" s="17">
        <f>Table1_1[[#This Row],[Likes]]+Table1_1[[#This Row],[Shares]]+Table1_1[[#This Row],[Comments]]+Table1_1[[#This Row],[Clicks]]</f>
        <v>4179</v>
      </c>
      <c r="O161" s="36">
        <f>(Table1_1[[#This Row],[Likes]]+Table1_1[[#This Row],[Shares]]+Table1_1[[#This Row],[Comments]])/ Table1_1[[#This Row],[Impressions]]</f>
        <v>0.21636759108210984</v>
      </c>
    </row>
    <row r="162" spans="1:15" x14ac:dyDescent="0.3">
      <c r="A162" t="s">
        <v>316</v>
      </c>
      <c r="B162" s="41" t="s">
        <v>30</v>
      </c>
      <c r="C162" s="42">
        <v>45586</v>
      </c>
      <c r="D162" s="41" t="s">
        <v>15</v>
      </c>
      <c r="E162" t="s">
        <v>78</v>
      </c>
      <c r="F162" s="17">
        <v>3256</v>
      </c>
      <c r="G162" s="17">
        <v>459</v>
      </c>
      <c r="H162" s="17">
        <v>266</v>
      </c>
      <c r="I162" s="17">
        <v>26048</v>
      </c>
      <c r="J162" s="17">
        <v>25529</v>
      </c>
      <c r="K162" s="17">
        <v>143</v>
      </c>
      <c r="L162" s="41" t="s">
        <v>27</v>
      </c>
      <c r="M162" s="41" t="s">
        <v>22</v>
      </c>
      <c r="N162" s="17">
        <f>Table1_1[[#This Row],[Likes]]+Table1_1[[#This Row],[Shares]]+Table1_1[[#This Row],[Comments]]+Table1_1[[#This Row],[Clicks]]</f>
        <v>4124</v>
      </c>
      <c r="O162" s="36">
        <f>(Table1_1[[#This Row],[Likes]]+Table1_1[[#This Row],[Shares]]+Table1_1[[#This Row],[Comments]])/ Table1_1[[#This Row],[Impressions]]</f>
        <v>0.15283323095823095</v>
      </c>
    </row>
    <row r="163" spans="1:15" x14ac:dyDescent="0.3">
      <c r="A163" t="s">
        <v>317</v>
      </c>
      <c r="B163" s="41" t="s">
        <v>30</v>
      </c>
      <c r="C163" s="42">
        <v>45762</v>
      </c>
      <c r="D163" s="41" t="s">
        <v>70</v>
      </c>
      <c r="E163" t="s">
        <v>81</v>
      </c>
      <c r="F163" s="17">
        <v>4133</v>
      </c>
      <c r="G163" s="17">
        <v>466</v>
      </c>
      <c r="H163" s="17">
        <v>327</v>
      </c>
      <c r="I163" s="17">
        <v>24798</v>
      </c>
      <c r="J163" s="17">
        <v>24620</v>
      </c>
      <c r="K163" s="17">
        <v>176</v>
      </c>
      <c r="L163" s="41" t="s">
        <v>34</v>
      </c>
      <c r="M163" s="41" t="s">
        <v>35</v>
      </c>
      <c r="N163" s="17">
        <f>Table1_1[[#This Row],[Likes]]+Table1_1[[#This Row],[Shares]]+Table1_1[[#This Row],[Comments]]+Table1_1[[#This Row],[Clicks]]</f>
        <v>5102</v>
      </c>
      <c r="O163" s="36">
        <f>(Table1_1[[#This Row],[Likes]]+Table1_1[[#This Row],[Shares]]+Table1_1[[#This Row],[Comments]])/ Table1_1[[#This Row],[Impressions]]</f>
        <v>0.19864505202032423</v>
      </c>
    </row>
    <row r="164" spans="1:15" x14ac:dyDescent="0.3">
      <c r="A164" t="s">
        <v>318</v>
      </c>
      <c r="B164" s="41" t="s">
        <v>13</v>
      </c>
      <c r="C164" s="42">
        <v>45459</v>
      </c>
      <c r="D164" s="41" t="s">
        <v>70</v>
      </c>
      <c r="E164" t="s">
        <v>140</v>
      </c>
      <c r="F164" s="17">
        <v>1702</v>
      </c>
      <c r="G164" s="17">
        <v>750</v>
      </c>
      <c r="H164" s="17">
        <v>179</v>
      </c>
      <c r="I164" s="17">
        <v>34040</v>
      </c>
      <c r="J164" s="17">
        <v>33174</v>
      </c>
      <c r="K164" s="17">
        <v>76</v>
      </c>
      <c r="L164" s="41" t="s">
        <v>34</v>
      </c>
      <c r="M164" s="41" t="s">
        <v>17</v>
      </c>
      <c r="N164" s="17">
        <f>Table1_1[[#This Row],[Likes]]+Table1_1[[#This Row],[Shares]]+Table1_1[[#This Row],[Comments]]+Table1_1[[#This Row],[Clicks]]</f>
        <v>2707</v>
      </c>
      <c r="O164" s="36">
        <f>(Table1_1[[#This Row],[Likes]]+Table1_1[[#This Row],[Shares]]+Table1_1[[#This Row],[Comments]])/ Table1_1[[#This Row],[Impressions]]</f>
        <v>7.7291421856639245E-2</v>
      </c>
    </row>
    <row r="165" spans="1:15" x14ac:dyDescent="0.3">
      <c r="A165" t="s">
        <v>320</v>
      </c>
      <c r="B165" s="41" t="s">
        <v>24</v>
      </c>
      <c r="C165" s="42">
        <v>45526</v>
      </c>
      <c r="D165" s="41" t="s">
        <v>41</v>
      </c>
      <c r="E165" t="s">
        <v>64</v>
      </c>
      <c r="F165" s="17">
        <v>4295</v>
      </c>
      <c r="G165" s="17">
        <v>853</v>
      </c>
      <c r="H165" s="17">
        <v>325</v>
      </c>
      <c r="I165" s="17">
        <v>85900</v>
      </c>
      <c r="J165" s="17">
        <v>85788</v>
      </c>
      <c r="K165" s="17">
        <v>290</v>
      </c>
      <c r="L165" s="41" t="s">
        <v>27</v>
      </c>
      <c r="M165" s="41" t="s">
        <v>35</v>
      </c>
      <c r="N165" s="17">
        <f>Table1_1[[#This Row],[Likes]]+Table1_1[[#This Row],[Shares]]+Table1_1[[#This Row],[Comments]]+Table1_1[[#This Row],[Clicks]]</f>
        <v>5763</v>
      </c>
      <c r="O165" s="36">
        <f>(Table1_1[[#This Row],[Likes]]+Table1_1[[#This Row],[Shares]]+Table1_1[[#This Row],[Comments]])/ Table1_1[[#This Row],[Impressions]]</f>
        <v>6.3713620488940623E-2</v>
      </c>
    </row>
    <row r="166" spans="1:15" x14ac:dyDescent="0.3">
      <c r="A166" t="s">
        <v>322</v>
      </c>
      <c r="B166" s="41" t="s">
        <v>30</v>
      </c>
      <c r="C166" s="42">
        <v>45499</v>
      </c>
      <c r="D166" s="41" t="s">
        <v>48</v>
      </c>
      <c r="E166" t="s">
        <v>208</v>
      </c>
      <c r="F166" s="17">
        <v>3559</v>
      </c>
      <c r="G166" s="17">
        <v>59</v>
      </c>
      <c r="H166" s="17">
        <v>289</v>
      </c>
      <c r="I166" s="17">
        <v>35590</v>
      </c>
      <c r="J166" s="17">
        <v>35105</v>
      </c>
      <c r="K166" s="17">
        <v>122</v>
      </c>
      <c r="L166" s="41" t="s">
        <v>34</v>
      </c>
      <c r="M166" s="41" t="s">
        <v>17</v>
      </c>
      <c r="N166" s="17">
        <f>Table1_1[[#This Row],[Likes]]+Table1_1[[#This Row],[Shares]]+Table1_1[[#This Row],[Comments]]+Table1_1[[#This Row],[Clicks]]</f>
        <v>4029</v>
      </c>
      <c r="O166" s="36">
        <f>(Table1_1[[#This Row],[Likes]]+Table1_1[[#This Row],[Shares]]+Table1_1[[#This Row],[Comments]])/ Table1_1[[#This Row],[Impressions]]</f>
        <v>0.10977802753582468</v>
      </c>
    </row>
    <row r="167" spans="1:15" x14ac:dyDescent="0.3">
      <c r="A167" t="s">
        <v>323</v>
      </c>
      <c r="B167" s="41" t="s">
        <v>39</v>
      </c>
      <c r="C167" s="42">
        <v>45769</v>
      </c>
      <c r="D167" s="41" t="s">
        <v>48</v>
      </c>
      <c r="E167" t="s">
        <v>55</v>
      </c>
      <c r="F167" s="17">
        <v>4804</v>
      </c>
      <c r="G167" s="17">
        <v>550</v>
      </c>
      <c r="H167" s="17">
        <v>270</v>
      </c>
      <c r="I167" s="17">
        <v>28824</v>
      </c>
      <c r="J167" s="17">
        <v>28370</v>
      </c>
      <c r="K167" s="17">
        <v>47</v>
      </c>
      <c r="L167" s="41" t="s">
        <v>34</v>
      </c>
      <c r="M167" s="41" t="s">
        <v>35</v>
      </c>
      <c r="N167" s="17">
        <f>Table1_1[[#This Row],[Likes]]+Table1_1[[#This Row],[Shares]]+Table1_1[[#This Row],[Comments]]+Table1_1[[#This Row],[Clicks]]</f>
        <v>5671</v>
      </c>
      <c r="O167" s="36">
        <f>(Table1_1[[#This Row],[Likes]]+Table1_1[[#This Row],[Shares]]+Table1_1[[#This Row],[Comments]])/ Table1_1[[#This Row],[Impressions]]</f>
        <v>0.19511518179295032</v>
      </c>
    </row>
    <row r="168" spans="1:15" x14ac:dyDescent="0.3">
      <c r="A168" t="s">
        <v>325</v>
      </c>
      <c r="B168" s="41" t="s">
        <v>13</v>
      </c>
      <c r="C168" s="42">
        <v>45658</v>
      </c>
      <c r="D168" s="41" t="s">
        <v>70</v>
      </c>
      <c r="E168" t="s">
        <v>140</v>
      </c>
      <c r="F168" s="17">
        <v>754</v>
      </c>
      <c r="G168" s="17">
        <v>197</v>
      </c>
      <c r="H168" s="17">
        <v>257</v>
      </c>
      <c r="I168" s="17">
        <v>6786</v>
      </c>
      <c r="J168" s="17">
        <v>6221</v>
      </c>
      <c r="K168" s="17">
        <v>212</v>
      </c>
      <c r="L168" s="41" t="s">
        <v>27</v>
      </c>
      <c r="M168" s="41" t="s">
        <v>28</v>
      </c>
      <c r="N168" s="17">
        <f>Table1_1[[#This Row],[Likes]]+Table1_1[[#This Row],[Shares]]+Table1_1[[#This Row],[Comments]]+Table1_1[[#This Row],[Clicks]]</f>
        <v>1420</v>
      </c>
      <c r="O168" s="36">
        <f>(Table1_1[[#This Row],[Likes]]+Table1_1[[#This Row],[Shares]]+Table1_1[[#This Row],[Comments]])/ Table1_1[[#This Row],[Impressions]]</f>
        <v>0.17801355732390214</v>
      </c>
    </row>
    <row r="169" spans="1:15" x14ac:dyDescent="0.3">
      <c r="A169" t="s">
        <v>327</v>
      </c>
      <c r="B169" s="41" t="s">
        <v>30</v>
      </c>
      <c r="C169" s="42">
        <v>45574</v>
      </c>
      <c r="D169" s="41" t="s">
        <v>41</v>
      </c>
      <c r="E169" t="s">
        <v>84</v>
      </c>
      <c r="F169" s="17">
        <v>985</v>
      </c>
      <c r="G169" s="17">
        <v>932</v>
      </c>
      <c r="H169" s="17">
        <v>287</v>
      </c>
      <c r="I169" s="17">
        <v>6895</v>
      </c>
      <c r="J169" s="17">
        <v>6757</v>
      </c>
      <c r="K169" s="17">
        <v>64</v>
      </c>
      <c r="L169" s="41" t="s">
        <v>58</v>
      </c>
      <c r="M169" s="41" t="s">
        <v>35</v>
      </c>
      <c r="N169" s="17">
        <f>Table1_1[[#This Row],[Likes]]+Table1_1[[#This Row],[Shares]]+Table1_1[[#This Row],[Comments]]+Table1_1[[#This Row],[Clicks]]</f>
        <v>2268</v>
      </c>
      <c r="O169" s="36">
        <f>(Table1_1[[#This Row],[Likes]]+Table1_1[[#This Row],[Shares]]+Table1_1[[#This Row],[Comments]])/ Table1_1[[#This Row],[Impressions]]</f>
        <v>0.31965192168237855</v>
      </c>
    </row>
    <row r="170" spans="1:15" x14ac:dyDescent="0.3">
      <c r="A170" t="s">
        <v>328</v>
      </c>
      <c r="B170" s="41" t="s">
        <v>24</v>
      </c>
      <c r="C170" s="42">
        <v>45647</v>
      </c>
      <c r="D170" s="41" t="s">
        <v>48</v>
      </c>
      <c r="E170" t="s">
        <v>49</v>
      </c>
      <c r="F170" s="17">
        <v>2283</v>
      </c>
      <c r="G170" s="17">
        <v>210</v>
      </c>
      <c r="H170" s="17">
        <v>130</v>
      </c>
      <c r="I170" s="17">
        <v>22830</v>
      </c>
      <c r="J170" s="17">
        <v>22617</v>
      </c>
      <c r="K170" s="17">
        <v>143</v>
      </c>
      <c r="L170" s="41" t="s">
        <v>58</v>
      </c>
      <c r="M170" s="41" t="s">
        <v>22</v>
      </c>
      <c r="N170" s="17">
        <f>Table1_1[[#This Row],[Likes]]+Table1_1[[#This Row],[Shares]]+Table1_1[[#This Row],[Comments]]+Table1_1[[#This Row],[Clicks]]</f>
        <v>2766</v>
      </c>
      <c r="O170" s="36">
        <f>(Table1_1[[#This Row],[Likes]]+Table1_1[[#This Row],[Shares]]+Table1_1[[#This Row],[Comments]])/ Table1_1[[#This Row],[Impressions]]</f>
        <v>0.11489268506351293</v>
      </c>
    </row>
    <row r="171" spans="1:15" x14ac:dyDescent="0.3">
      <c r="A171" t="s">
        <v>330</v>
      </c>
      <c r="B171" s="41" t="s">
        <v>39</v>
      </c>
      <c r="C171" s="42">
        <v>45587</v>
      </c>
      <c r="D171" s="41" t="s">
        <v>41</v>
      </c>
      <c r="E171" t="s">
        <v>42</v>
      </c>
      <c r="F171" s="17">
        <v>3352</v>
      </c>
      <c r="G171" s="17">
        <v>941</v>
      </c>
      <c r="H171" s="17">
        <v>482</v>
      </c>
      <c r="I171" s="17">
        <v>43576</v>
      </c>
      <c r="J171" s="17">
        <v>43338</v>
      </c>
      <c r="K171" s="17">
        <v>240</v>
      </c>
      <c r="L171" s="41" t="s">
        <v>58</v>
      </c>
      <c r="M171" s="41" t="s">
        <v>22</v>
      </c>
      <c r="N171" s="17">
        <f>Table1_1[[#This Row],[Likes]]+Table1_1[[#This Row],[Shares]]+Table1_1[[#This Row],[Comments]]+Table1_1[[#This Row],[Clicks]]</f>
        <v>5015</v>
      </c>
      <c r="O171" s="36">
        <f>(Table1_1[[#This Row],[Likes]]+Table1_1[[#This Row],[Shares]]+Table1_1[[#This Row],[Comments]])/ Table1_1[[#This Row],[Impressions]]</f>
        <v>0.1095786671562328</v>
      </c>
    </row>
    <row r="172" spans="1:15" x14ac:dyDescent="0.3">
      <c r="A172" t="s">
        <v>332</v>
      </c>
      <c r="B172" s="41" t="s">
        <v>24</v>
      </c>
      <c r="C172" s="42">
        <v>45496</v>
      </c>
      <c r="D172" s="41" t="s">
        <v>32</v>
      </c>
      <c r="E172" t="s">
        <v>149</v>
      </c>
      <c r="F172" s="17">
        <v>4775</v>
      </c>
      <c r="G172" s="17">
        <v>173</v>
      </c>
      <c r="H172" s="17">
        <v>206</v>
      </c>
      <c r="I172" s="17">
        <v>47750</v>
      </c>
      <c r="J172" s="17">
        <v>47544</v>
      </c>
      <c r="K172" s="17">
        <v>187</v>
      </c>
      <c r="L172" s="41" t="s">
        <v>58</v>
      </c>
      <c r="M172" s="41" t="s">
        <v>22</v>
      </c>
      <c r="N172" s="17">
        <f>Table1_1[[#This Row],[Likes]]+Table1_1[[#This Row],[Shares]]+Table1_1[[#This Row],[Comments]]+Table1_1[[#This Row],[Clicks]]</f>
        <v>5341</v>
      </c>
      <c r="O172" s="36">
        <f>(Table1_1[[#This Row],[Likes]]+Table1_1[[#This Row],[Shares]]+Table1_1[[#This Row],[Comments]])/ Table1_1[[#This Row],[Impressions]]</f>
        <v>0.10793717277486911</v>
      </c>
    </row>
    <row r="173" spans="1:15" x14ac:dyDescent="0.3">
      <c r="A173" t="s">
        <v>334</v>
      </c>
      <c r="B173" s="41" t="s">
        <v>30</v>
      </c>
      <c r="C173" s="42">
        <v>45515</v>
      </c>
      <c r="D173" s="41" t="s">
        <v>32</v>
      </c>
      <c r="E173" t="s">
        <v>33</v>
      </c>
      <c r="F173" s="17">
        <v>1762</v>
      </c>
      <c r="G173" s="17">
        <v>405</v>
      </c>
      <c r="H173" s="17">
        <v>423</v>
      </c>
      <c r="I173" s="17">
        <v>22906</v>
      </c>
      <c r="J173" s="17">
        <v>21925</v>
      </c>
      <c r="K173" s="17">
        <v>25</v>
      </c>
      <c r="L173" s="41" t="s">
        <v>27</v>
      </c>
      <c r="M173" s="41" t="s">
        <v>17</v>
      </c>
      <c r="N173" s="17">
        <f>Table1_1[[#This Row],[Likes]]+Table1_1[[#This Row],[Shares]]+Table1_1[[#This Row],[Comments]]+Table1_1[[#This Row],[Clicks]]</f>
        <v>2615</v>
      </c>
      <c r="O173" s="36">
        <f>(Table1_1[[#This Row],[Likes]]+Table1_1[[#This Row],[Shares]]+Table1_1[[#This Row],[Comments]])/ Table1_1[[#This Row],[Impressions]]</f>
        <v>0.11307081114118571</v>
      </c>
    </row>
    <row r="174" spans="1:15" x14ac:dyDescent="0.3">
      <c r="A174" t="s">
        <v>336</v>
      </c>
      <c r="B174" s="41" t="s">
        <v>39</v>
      </c>
      <c r="C174" s="42">
        <v>45621</v>
      </c>
      <c r="D174" s="41" t="s">
        <v>32</v>
      </c>
      <c r="E174" t="s">
        <v>67</v>
      </c>
      <c r="F174" s="17">
        <v>2120</v>
      </c>
      <c r="G174" s="17">
        <v>158</v>
      </c>
      <c r="H174" s="17">
        <v>488</v>
      </c>
      <c r="I174" s="17">
        <v>12720</v>
      </c>
      <c r="J174" s="17">
        <v>12085</v>
      </c>
      <c r="K174" s="17">
        <v>17</v>
      </c>
      <c r="L174" s="41" t="s">
        <v>58</v>
      </c>
      <c r="M174" s="41" t="s">
        <v>22</v>
      </c>
      <c r="N174" s="17">
        <f>Table1_1[[#This Row],[Likes]]+Table1_1[[#This Row],[Shares]]+Table1_1[[#This Row],[Comments]]+Table1_1[[#This Row],[Clicks]]</f>
        <v>2783</v>
      </c>
      <c r="O174" s="36">
        <f>(Table1_1[[#This Row],[Likes]]+Table1_1[[#This Row],[Shares]]+Table1_1[[#This Row],[Comments]])/ Table1_1[[#This Row],[Impressions]]</f>
        <v>0.21745283018867925</v>
      </c>
    </row>
    <row r="175" spans="1:15" x14ac:dyDescent="0.3">
      <c r="A175" t="s">
        <v>337</v>
      </c>
      <c r="B175" s="41" t="s">
        <v>13</v>
      </c>
      <c r="C175" s="42">
        <v>45528</v>
      </c>
      <c r="D175" s="41" t="s">
        <v>70</v>
      </c>
      <c r="E175" t="s">
        <v>140</v>
      </c>
      <c r="F175" s="17">
        <v>1082</v>
      </c>
      <c r="G175" s="17">
        <v>209</v>
      </c>
      <c r="H175" s="17">
        <v>484</v>
      </c>
      <c r="I175" s="17">
        <v>19476</v>
      </c>
      <c r="J175" s="17">
        <v>18654</v>
      </c>
      <c r="K175" s="17">
        <v>20</v>
      </c>
      <c r="L175" s="41" t="s">
        <v>27</v>
      </c>
      <c r="N175" s="17">
        <f>Table1_1[[#This Row],[Likes]]+Table1_1[[#This Row],[Shares]]+Table1_1[[#This Row],[Comments]]+Table1_1[[#This Row],[Clicks]]</f>
        <v>1795</v>
      </c>
      <c r="O175" s="36">
        <f>(Table1_1[[#This Row],[Likes]]+Table1_1[[#This Row],[Shares]]+Table1_1[[#This Row],[Comments]])/ Table1_1[[#This Row],[Impressions]]</f>
        <v>9.1137810638734856E-2</v>
      </c>
    </row>
    <row r="176" spans="1:15" x14ac:dyDescent="0.3">
      <c r="A176" t="s">
        <v>339</v>
      </c>
      <c r="B176" s="41" t="s">
        <v>13</v>
      </c>
      <c r="C176" s="42">
        <v>45707</v>
      </c>
      <c r="D176" s="41" t="s">
        <v>20</v>
      </c>
      <c r="E176" t="s">
        <v>21</v>
      </c>
      <c r="F176" s="17">
        <v>4671</v>
      </c>
      <c r="G176" s="17">
        <v>876</v>
      </c>
      <c r="H176" s="17">
        <v>366</v>
      </c>
      <c r="I176" s="17">
        <v>51381</v>
      </c>
      <c r="J176" s="17">
        <v>50565</v>
      </c>
      <c r="K176" s="17">
        <v>245</v>
      </c>
      <c r="L176" s="41" t="s">
        <v>27</v>
      </c>
      <c r="M176" s="41" t="s">
        <v>35</v>
      </c>
      <c r="N176" s="17">
        <f>Table1_1[[#This Row],[Likes]]+Table1_1[[#This Row],[Shares]]+Table1_1[[#This Row],[Comments]]+Table1_1[[#This Row],[Clicks]]</f>
        <v>6158</v>
      </c>
      <c r="O176" s="36">
        <f>(Table1_1[[#This Row],[Likes]]+Table1_1[[#This Row],[Shares]]+Table1_1[[#This Row],[Comments]])/ Table1_1[[#This Row],[Impressions]]</f>
        <v>0.11508145034156594</v>
      </c>
    </row>
    <row r="177" spans="1:15" x14ac:dyDescent="0.3">
      <c r="A177" t="s">
        <v>341</v>
      </c>
      <c r="B177" s="41" t="s">
        <v>39</v>
      </c>
      <c r="C177" s="42">
        <v>45748</v>
      </c>
      <c r="D177" s="41" t="s">
        <v>32</v>
      </c>
      <c r="E177" t="s">
        <v>67</v>
      </c>
      <c r="F177" s="17">
        <v>3430</v>
      </c>
      <c r="G177" s="17">
        <v>566</v>
      </c>
      <c r="H177" s="17">
        <v>164</v>
      </c>
      <c r="I177" s="17">
        <v>48020</v>
      </c>
      <c r="J177" s="17">
        <v>47305</v>
      </c>
      <c r="K177" s="17">
        <v>120</v>
      </c>
      <c r="L177" s="41" t="s">
        <v>58</v>
      </c>
      <c r="N177" s="17">
        <f>Table1_1[[#This Row],[Likes]]+Table1_1[[#This Row],[Shares]]+Table1_1[[#This Row],[Comments]]+Table1_1[[#This Row],[Clicks]]</f>
        <v>4280</v>
      </c>
      <c r="O177" s="36">
        <f>(Table1_1[[#This Row],[Likes]]+Table1_1[[#This Row],[Shares]]+Table1_1[[#This Row],[Comments]])/ Table1_1[[#This Row],[Impressions]]</f>
        <v>8.6630570595585168E-2</v>
      </c>
    </row>
    <row r="178" spans="1:15" x14ac:dyDescent="0.3">
      <c r="A178" t="s">
        <v>343</v>
      </c>
      <c r="B178" s="41" t="s">
        <v>30</v>
      </c>
      <c r="C178" s="42">
        <v>45755</v>
      </c>
      <c r="D178" s="41" t="s">
        <v>48</v>
      </c>
      <c r="E178" t="s">
        <v>208</v>
      </c>
      <c r="F178" s="17">
        <v>4501</v>
      </c>
      <c r="G178" s="17">
        <v>375</v>
      </c>
      <c r="H178" s="17">
        <v>323</v>
      </c>
      <c r="I178" s="17">
        <v>22505</v>
      </c>
      <c r="J178" s="17">
        <v>21836</v>
      </c>
      <c r="K178" s="17">
        <v>132</v>
      </c>
      <c r="L178" s="41" t="s">
        <v>27</v>
      </c>
      <c r="M178" s="41" t="s">
        <v>22</v>
      </c>
      <c r="N178" s="17">
        <f>Table1_1[[#This Row],[Likes]]+Table1_1[[#This Row],[Shares]]+Table1_1[[#This Row],[Comments]]+Table1_1[[#This Row],[Clicks]]</f>
        <v>5331</v>
      </c>
      <c r="O178" s="36">
        <f>(Table1_1[[#This Row],[Likes]]+Table1_1[[#This Row],[Shares]]+Table1_1[[#This Row],[Comments]])/ Table1_1[[#This Row],[Impressions]]</f>
        <v>0.23101532992668297</v>
      </c>
    </row>
    <row r="179" spans="1:15" x14ac:dyDescent="0.3">
      <c r="A179" t="s">
        <v>345</v>
      </c>
      <c r="B179" s="41" t="s">
        <v>24</v>
      </c>
      <c r="C179" s="42">
        <v>45715</v>
      </c>
      <c r="D179" s="41" t="s">
        <v>20</v>
      </c>
      <c r="E179" t="s">
        <v>99</v>
      </c>
      <c r="F179" s="17">
        <v>4934</v>
      </c>
      <c r="G179" s="17">
        <v>971</v>
      </c>
      <c r="H179" s="17">
        <v>156</v>
      </c>
      <c r="I179" s="17">
        <v>39472</v>
      </c>
      <c r="J179" s="17">
        <v>39025</v>
      </c>
      <c r="K179" s="17">
        <v>169</v>
      </c>
      <c r="L179" s="41" t="s">
        <v>27</v>
      </c>
      <c r="M179" s="41" t="s">
        <v>35</v>
      </c>
      <c r="N179" s="17">
        <f>Table1_1[[#This Row],[Likes]]+Table1_1[[#This Row],[Shares]]+Table1_1[[#This Row],[Comments]]+Table1_1[[#This Row],[Clicks]]</f>
        <v>6230</v>
      </c>
      <c r="O179" s="36">
        <f>(Table1_1[[#This Row],[Likes]]+Table1_1[[#This Row],[Shares]]+Table1_1[[#This Row],[Comments]])/ Table1_1[[#This Row],[Impressions]]</f>
        <v>0.15355188488042157</v>
      </c>
    </row>
    <row r="180" spans="1:15" x14ac:dyDescent="0.3">
      <c r="A180" t="s">
        <v>345</v>
      </c>
      <c r="B180" s="41" t="s">
        <v>24</v>
      </c>
      <c r="C180" s="42">
        <v>45715</v>
      </c>
      <c r="D180" s="41" t="s">
        <v>20</v>
      </c>
      <c r="E180" t="s">
        <v>99</v>
      </c>
      <c r="F180" s="17">
        <v>4934</v>
      </c>
      <c r="G180" s="17">
        <v>971</v>
      </c>
      <c r="H180" s="17">
        <v>156</v>
      </c>
      <c r="I180" s="17">
        <v>39472</v>
      </c>
      <c r="J180" s="17">
        <v>39025</v>
      </c>
      <c r="K180" s="17">
        <v>169</v>
      </c>
      <c r="L180" s="41" t="s">
        <v>551</v>
      </c>
      <c r="M180" s="41" t="s">
        <v>35</v>
      </c>
      <c r="N180" s="17">
        <f>Table1_1[[#This Row],[Likes]]+Table1_1[[#This Row],[Shares]]+Table1_1[[#This Row],[Comments]]+Table1_1[[#This Row],[Clicks]]</f>
        <v>6230</v>
      </c>
      <c r="O180" s="36">
        <f>(Table1_1[[#This Row],[Likes]]+Table1_1[[#This Row],[Shares]]+Table1_1[[#This Row],[Comments]])/ Table1_1[[#This Row],[Impressions]]</f>
        <v>0.15355188488042157</v>
      </c>
    </row>
    <row r="181" spans="1:15" x14ac:dyDescent="0.3">
      <c r="A181" t="s">
        <v>346</v>
      </c>
      <c r="B181" s="41" t="s">
        <v>13</v>
      </c>
      <c r="C181" s="42">
        <v>45637</v>
      </c>
      <c r="D181" s="41" t="s">
        <v>20</v>
      </c>
      <c r="E181" t="s">
        <v>21</v>
      </c>
      <c r="F181" s="17">
        <v>3239</v>
      </c>
      <c r="G181" s="17">
        <v>43</v>
      </c>
      <c r="H181" s="17">
        <v>211</v>
      </c>
      <c r="I181" s="17">
        <v>22673</v>
      </c>
      <c r="J181" s="17">
        <v>22171</v>
      </c>
      <c r="K181" s="17">
        <v>230</v>
      </c>
      <c r="L181" s="41" t="s">
        <v>27</v>
      </c>
      <c r="M181" s="41" t="s">
        <v>22</v>
      </c>
      <c r="N181" s="17">
        <f>Table1_1[[#This Row],[Likes]]+Table1_1[[#This Row],[Shares]]+Table1_1[[#This Row],[Comments]]+Table1_1[[#This Row],[Clicks]]</f>
        <v>3723</v>
      </c>
      <c r="O181" s="36">
        <f>(Table1_1[[#This Row],[Likes]]+Table1_1[[#This Row],[Shares]]+Table1_1[[#This Row],[Comments]])/ Table1_1[[#This Row],[Impressions]]</f>
        <v>0.15405989502933004</v>
      </c>
    </row>
    <row r="182" spans="1:15" x14ac:dyDescent="0.3">
      <c r="A182" t="s">
        <v>347</v>
      </c>
      <c r="B182" s="41" t="s">
        <v>13</v>
      </c>
      <c r="C182" s="42">
        <v>45704</v>
      </c>
      <c r="D182" s="41" t="s">
        <v>15</v>
      </c>
      <c r="E182" t="s">
        <v>16</v>
      </c>
      <c r="F182" s="17">
        <v>1076</v>
      </c>
      <c r="G182" s="17">
        <v>313</v>
      </c>
      <c r="H182" s="17">
        <v>306</v>
      </c>
      <c r="I182" s="17">
        <v>11836</v>
      </c>
      <c r="J182" s="17">
        <v>11596</v>
      </c>
      <c r="K182" s="17">
        <v>104</v>
      </c>
      <c r="L182" s="41" t="s">
        <v>58</v>
      </c>
      <c r="M182" s="41" t="s">
        <v>17</v>
      </c>
      <c r="N182" s="17">
        <f>Table1_1[[#This Row],[Likes]]+Table1_1[[#This Row],[Shares]]+Table1_1[[#This Row],[Comments]]+Table1_1[[#This Row],[Clicks]]</f>
        <v>1799</v>
      </c>
      <c r="O182" s="36">
        <f>(Table1_1[[#This Row],[Likes]]+Table1_1[[#This Row],[Shares]]+Table1_1[[#This Row],[Comments]])/ Table1_1[[#This Row],[Impressions]]</f>
        <v>0.14320716458262928</v>
      </c>
    </row>
    <row r="183" spans="1:15" x14ac:dyDescent="0.3">
      <c r="A183" t="s">
        <v>348</v>
      </c>
      <c r="B183" s="41" t="s">
        <v>30</v>
      </c>
      <c r="C183" s="42">
        <v>45624</v>
      </c>
      <c r="D183" s="41" t="s">
        <v>20</v>
      </c>
      <c r="E183" t="s">
        <v>108</v>
      </c>
      <c r="F183" s="17">
        <v>4771</v>
      </c>
      <c r="G183" s="17">
        <v>818</v>
      </c>
      <c r="H183" s="17">
        <v>56</v>
      </c>
      <c r="I183" s="17">
        <v>57252</v>
      </c>
      <c r="J183" s="17">
        <v>56378</v>
      </c>
      <c r="K183" s="17">
        <v>150</v>
      </c>
      <c r="L183" s="41" t="s">
        <v>58</v>
      </c>
      <c r="N183" s="17">
        <f>Table1_1[[#This Row],[Likes]]+Table1_1[[#This Row],[Shares]]+Table1_1[[#This Row],[Comments]]+Table1_1[[#This Row],[Clicks]]</f>
        <v>5795</v>
      </c>
      <c r="O183" s="36">
        <f>(Table1_1[[#This Row],[Likes]]+Table1_1[[#This Row],[Shares]]+Table1_1[[#This Row],[Comments]])/ Table1_1[[#This Row],[Impressions]]</f>
        <v>9.859917557465242E-2</v>
      </c>
    </row>
    <row r="184" spans="1:15" x14ac:dyDescent="0.3">
      <c r="A184" t="s">
        <v>349</v>
      </c>
      <c r="B184" s="41" t="s">
        <v>39</v>
      </c>
      <c r="C184" s="42">
        <v>45608</v>
      </c>
      <c r="D184" s="41" t="s">
        <v>20</v>
      </c>
      <c r="E184" t="s">
        <v>52</v>
      </c>
      <c r="F184" s="17">
        <v>2418</v>
      </c>
      <c r="G184" s="17">
        <v>754</v>
      </c>
      <c r="H184" s="17">
        <v>54</v>
      </c>
      <c r="I184" s="17">
        <v>43524</v>
      </c>
      <c r="J184" s="17">
        <v>42743</v>
      </c>
      <c r="K184" s="17">
        <v>182</v>
      </c>
      <c r="L184" s="41" t="s">
        <v>34</v>
      </c>
      <c r="M184" s="41" t="s">
        <v>17</v>
      </c>
      <c r="N184" s="17">
        <f>Table1_1[[#This Row],[Likes]]+Table1_1[[#This Row],[Shares]]+Table1_1[[#This Row],[Comments]]+Table1_1[[#This Row],[Clicks]]</f>
        <v>3408</v>
      </c>
      <c r="O184" s="36">
        <f>(Table1_1[[#This Row],[Likes]]+Table1_1[[#This Row],[Shares]]+Table1_1[[#This Row],[Comments]])/ Table1_1[[#This Row],[Impressions]]</f>
        <v>7.412002573292896E-2</v>
      </c>
    </row>
    <row r="185" spans="1:15" x14ac:dyDescent="0.3">
      <c r="A185" t="s">
        <v>351</v>
      </c>
      <c r="B185" s="41" t="s">
        <v>24</v>
      </c>
      <c r="C185" s="42">
        <v>45629</v>
      </c>
      <c r="D185" s="41" t="s">
        <v>70</v>
      </c>
      <c r="E185" t="s">
        <v>211</v>
      </c>
      <c r="F185" s="17">
        <v>3809</v>
      </c>
      <c r="G185" s="17">
        <v>273</v>
      </c>
      <c r="H185" s="17">
        <v>200</v>
      </c>
      <c r="I185" s="17">
        <v>34281</v>
      </c>
      <c r="J185" s="17">
        <v>33534</v>
      </c>
      <c r="K185" s="17">
        <v>83</v>
      </c>
      <c r="L185" s="41" t="s">
        <v>34</v>
      </c>
      <c r="M185" s="41" t="s">
        <v>17</v>
      </c>
      <c r="N185" s="17">
        <f>Table1_1[[#This Row],[Likes]]+Table1_1[[#This Row],[Shares]]+Table1_1[[#This Row],[Comments]]+Table1_1[[#This Row],[Clicks]]</f>
        <v>4365</v>
      </c>
      <c r="O185" s="36">
        <f>(Table1_1[[#This Row],[Likes]]+Table1_1[[#This Row],[Shares]]+Table1_1[[#This Row],[Comments]])/ Table1_1[[#This Row],[Impressions]]</f>
        <v>0.12490884163239112</v>
      </c>
    </row>
    <row r="186" spans="1:15" x14ac:dyDescent="0.3">
      <c r="A186" t="s">
        <v>353</v>
      </c>
      <c r="B186" s="41" t="s">
        <v>13</v>
      </c>
      <c r="C186" s="42">
        <v>45775</v>
      </c>
      <c r="D186" s="41" t="s">
        <v>20</v>
      </c>
      <c r="E186" t="s">
        <v>21</v>
      </c>
      <c r="F186" s="17">
        <v>3577</v>
      </c>
      <c r="G186" s="17">
        <v>596</v>
      </c>
      <c r="H186" s="17">
        <v>493</v>
      </c>
      <c r="I186" s="17">
        <v>67963</v>
      </c>
      <c r="J186" s="17">
        <v>67839</v>
      </c>
      <c r="K186" s="17">
        <v>53</v>
      </c>
      <c r="L186" s="41" t="s">
        <v>27</v>
      </c>
      <c r="M186" s="41" t="s">
        <v>28</v>
      </c>
      <c r="N186" s="17">
        <f>Table1_1[[#This Row],[Likes]]+Table1_1[[#This Row],[Shares]]+Table1_1[[#This Row],[Comments]]+Table1_1[[#This Row],[Clicks]]</f>
        <v>4719</v>
      </c>
      <c r="O186" s="36">
        <f>(Table1_1[[#This Row],[Likes]]+Table1_1[[#This Row],[Shares]]+Table1_1[[#This Row],[Comments]])/ Table1_1[[#This Row],[Impressions]]</f>
        <v>6.8655003457763777E-2</v>
      </c>
    </row>
    <row r="187" spans="1:15" x14ac:dyDescent="0.3">
      <c r="A187" t="s">
        <v>355</v>
      </c>
      <c r="B187" s="41" t="s">
        <v>24</v>
      </c>
      <c r="C187" s="42">
        <v>45657</v>
      </c>
      <c r="D187" s="41" t="s">
        <v>70</v>
      </c>
      <c r="E187" t="s">
        <v>211</v>
      </c>
      <c r="F187" s="17">
        <v>1018</v>
      </c>
      <c r="G187" s="17">
        <v>447</v>
      </c>
      <c r="H187" s="17">
        <v>332</v>
      </c>
      <c r="I187" s="17">
        <v>18324</v>
      </c>
      <c r="J187" s="17">
        <v>18164</v>
      </c>
      <c r="K187" s="17">
        <v>38</v>
      </c>
      <c r="L187" s="41" t="s">
        <v>58</v>
      </c>
      <c r="M187" s="41" t="s">
        <v>22</v>
      </c>
      <c r="N187" s="17">
        <f>Table1_1[[#This Row],[Likes]]+Table1_1[[#This Row],[Shares]]+Table1_1[[#This Row],[Comments]]+Table1_1[[#This Row],[Clicks]]</f>
        <v>1835</v>
      </c>
      <c r="O187" s="36">
        <f>(Table1_1[[#This Row],[Likes]]+Table1_1[[#This Row],[Shares]]+Table1_1[[#This Row],[Comments]])/ Table1_1[[#This Row],[Impressions]]</f>
        <v>9.8068107400130972E-2</v>
      </c>
    </row>
    <row r="188" spans="1:15" x14ac:dyDescent="0.3">
      <c r="A188" t="s">
        <v>357</v>
      </c>
      <c r="B188" s="41" t="s">
        <v>39</v>
      </c>
      <c r="C188" s="42">
        <v>45518</v>
      </c>
      <c r="D188" s="41" t="s">
        <v>41</v>
      </c>
      <c r="E188" t="s">
        <v>42</v>
      </c>
      <c r="F188" s="17">
        <v>3073</v>
      </c>
      <c r="G188" s="17">
        <v>553</v>
      </c>
      <c r="H188" s="17">
        <v>174</v>
      </c>
      <c r="I188" s="17">
        <v>52241</v>
      </c>
      <c r="J188" s="17">
        <v>51605</v>
      </c>
      <c r="K188" s="17">
        <v>246</v>
      </c>
      <c r="L188" s="41" t="s">
        <v>34</v>
      </c>
      <c r="M188" s="41" t="s">
        <v>28</v>
      </c>
      <c r="N188" s="17">
        <f>Table1_1[[#This Row],[Likes]]+Table1_1[[#This Row],[Shares]]+Table1_1[[#This Row],[Comments]]+Table1_1[[#This Row],[Clicks]]</f>
        <v>4046</v>
      </c>
      <c r="O188" s="36">
        <f>(Table1_1[[#This Row],[Likes]]+Table1_1[[#This Row],[Shares]]+Table1_1[[#This Row],[Comments]])/ Table1_1[[#This Row],[Impressions]]</f>
        <v>7.2739802071170159E-2</v>
      </c>
    </row>
    <row r="189" spans="1:15" x14ac:dyDescent="0.3">
      <c r="A189" t="s">
        <v>359</v>
      </c>
      <c r="B189" s="41" t="s">
        <v>13</v>
      </c>
      <c r="C189" s="42">
        <v>45631</v>
      </c>
      <c r="D189" s="41" t="s">
        <v>70</v>
      </c>
      <c r="E189" t="s">
        <v>140</v>
      </c>
      <c r="F189" s="17">
        <v>1330</v>
      </c>
      <c r="G189" s="17">
        <v>925</v>
      </c>
      <c r="H189" s="17">
        <v>35</v>
      </c>
      <c r="I189" s="17">
        <v>15960</v>
      </c>
      <c r="J189" s="17">
        <v>15379</v>
      </c>
      <c r="K189" s="17">
        <v>229</v>
      </c>
      <c r="L189" s="41" t="s">
        <v>58</v>
      </c>
      <c r="M189" s="41" t="s">
        <v>28</v>
      </c>
      <c r="N189" s="17">
        <f>Table1_1[[#This Row],[Likes]]+Table1_1[[#This Row],[Shares]]+Table1_1[[#This Row],[Comments]]+Table1_1[[#This Row],[Clicks]]</f>
        <v>2519</v>
      </c>
      <c r="O189" s="36">
        <f>(Table1_1[[#This Row],[Likes]]+Table1_1[[#This Row],[Shares]]+Table1_1[[#This Row],[Comments]])/ Table1_1[[#This Row],[Impressions]]</f>
        <v>0.14348370927318296</v>
      </c>
    </row>
    <row r="190" spans="1:15" x14ac:dyDescent="0.3">
      <c r="A190" t="s">
        <v>361</v>
      </c>
      <c r="B190" s="41" t="s">
        <v>39</v>
      </c>
      <c r="C190" s="42">
        <v>45465</v>
      </c>
      <c r="D190" s="41" t="s">
        <v>20</v>
      </c>
      <c r="E190" t="s">
        <v>52</v>
      </c>
      <c r="F190" s="17">
        <v>3828</v>
      </c>
      <c r="G190" s="17">
        <v>148</v>
      </c>
      <c r="H190" s="17">
        <v>253</v>
      </c>
      <c r="I190" s="17">
        <v>30624</v>
      </c>
      <c r="J190" s="17">
        <v>30229</v>
      </c>
      <c r="K190" s="17">
        <v>235</v>
      </c>
      <c r="L190" s="41" t="s">
        <v>34</v>
      </c>
      <c r="N190" s="17">
        <f>Table1_1[[#This Row],[Likes]]+Table1_1[[#This Row],[Shares]]+Table1_1[[#This Row],[Comments]]+Table1_1[[#This Row],[Clicks]]</f>
        <v>4464</v>
      </c>
      <c r="O190" s="36">
        <f>(Table1_1[[#This Row],[Likes]]+Table1_1[[#This Row],[Shares]]+Table1_1[[#This Row],[Comments]])/ Table1_1[[#This Row],[Impressions]]</f>
        <v>0.13809430512016718</v>
      </c>
    </row>
    <row r="191" spans="1:15" x14ac:dyDescent="0.3">
      <c r="A191" t="s">
        <v>362</v>
      </c>
      <c r="B191" s="41" t="s">
        <v>30</v>
      </c>
      <c r="C191" s="42">
        <v>45674</v>
      </c>
      <c r="D191" s="41" t="s">
        <v>15</v>
      </c>
      <c r="E191" t="s">
        <v>78</v>
      </c>
      <c r="F191" s="17">
        <v>142</v>
      </c>
      <c r="G191" s="17">
        <v>784</v>
      </c>
      <c r="H191" s="17">
        <v>183</v>
      </c>
      <c r="I191" s="17">
        <v>1704</v>
      </c>
      <c r="J191" s="17">
        <v>995</v>
      </c>
      <c r="K191" s="17">
        <v>154</v>
      </c>
      <c r="L191" s="41" t="s">
        <v>58</v>
      </c>
      <c r="M191" s="41" t="s">
        <v>35</v>
      </c>
      <c r="N191" s="17">
        <f>Table1_1[[#This Row],[Likes]]+Table1_1[[#This Row],[Shares]]+Table1_1[[#This Row],[Comments]]+Table1_1[[#This Row],[Clicks]]</f>
        <v>1263</v>
      </c>
      <c r="O191" s="36">
        <f>(Table1_1[[#This Row],[Likes]]+Table1_1[[#This Row],[Shares]]+Table1_1[[#This Row],[Comments]])/ Table1_1[[#This Row],[Impressions]]</f>
        <v>0.6508215962441315</v>
      </c>
    </row>
    <row r="192" spans="1:15" x14ac:dyDescent="0.3">
      <c r="A192" t="s">
        <v>364</v>
      </c>
      <c r="B192" s="41" t="s">
        <v>39</v>
      </c>
      <c r="C192" s="42">
        <v>45463</v>
      </c>
      <c r="D192" s="41" t="s">
        <v>70</v>
      </c>
      <c r="E192" t="s">
        <v>71</v>
      </c>
      <c r="F192" s="17">
        <v>3798</v>
      </c>
      <c r="G192" s="17">
        <v>31</v>
      </c>
      <c r="H192" s="17">
        <v>279</v>
      </c>
      <c r="I192" s="17">
        <v>75960</v>
      </c>
      <c r="J192" s="17">
        <v>75813</v>
      </c>
      <c r="K192" s="17">
        <v>266</v>
      </c>
      <c r="L192" s="41" t="s">
        <v>27</v>
      </c>
      <c r="M192" s="41" t="s">
        <v>17</v>
      </c>
      <c r="N192" s="17">
        <f>Table1_1[[#This Row],[Likes]]+Table1_1[[#This Row],[Shares]]+Table1_1[[#This Row],[Comments]]+Table1_1[[#This Row],[Clicks]]</f>
        <v>4374</v>
      </c>
      <c r="O192" s="36">
        <f>(Table1_1[[#This Row],[Likes]]+Table1_1[[#This Row],[Shares]]+Table1_1[[#This Row],[Comments]])/ Table1_1[[#This Row],[Impressions]]</f>
        <v>5.4081095313322801E-2</v>
      </c>
    </row>
    <row r="193" spans="1:15" x14ac:dyDescent="0.3">
      <c r="A193" t="s">
        <v>366</v>
      </c>
      <c r="B193" s="41" t="s">
        <v>30</v>
      </c>
      <c r="C193" s="42">
        <v>45483</v>
      </c>
      <c r="D193" s="41" t="s">
        <v>41</v>
      </c>
      <c r="E193" t="s">
        <v>84</v>
      </c>
      <c r="F193" s="17">
        <v>3099</v>
      </c>
      <c r="G193" s="17">
        <v>694</v>
      </c>
      <c r="H193" s="17">
        <v>171</v>
      </c>
      <c r="I193" s="17">
        <v>43386</v>
      </c>
      <c r="J193" s="17">
        <v>42921</v>
      </c>
      <c r="K193" s="17">
        <v>52</v>
      </c>
      <c r="L193" s="41" t="s">
        <v>27</v>
      </c>
      <c r="M193" s="41" t="s">
        <v>28</v>
      </c>
      <c r="N193" s="17">
        <f>Table1_1[[#This Row],[Likes]]+Table1_1[[#This Row],[Shares]]+Table1_1[[#This Row],[Comments]]+Table1_1[[#This Row],[Clicks]]</f>
        <v>4016</v>
      </c>
      <c r="O193" s="36">
        <f>(Table1_1[[#This Row],[Likes]]+Table1_1[[#This Row],[Shares]]+Table1_1[[#This Row],[Comments]])/ Table1_1[[#This Row],[Impressions]]</f>
        <v>9.1365878393951966E-2</v>
      </c>
    </row>
    <row r="194" spans="1:15" x14ac:dyDescent="0.3">
      <c r="A194" t="s">
        <v>368</v>
      </c>
      <c r="B194" s="41" t="s">
        <v>30</v>
      </c>
      <c r="C194" s="42">
        <v>45603</v>
      </c>
      <c r="D194" s="41" t="s">
        <v>70</v>
      </c>
      <c r="E194" t="s">
        <v>81</v>
      </c>
      <c r="F194" s="17">
        <v>129</v>
      </c>
      <c r="G194" s="17">
        <v>643</v>
      </c>
      <c r="H194" s="17">
        <v>136</v>
      </c>
      <c r="I194" s="17">
        <v>1290</v>
      </c>
      <c r="J194" s="17">
        <v>839</v>
      </c>
      <c r="K194" s="17">
        <v>238</v>
      </c>
      <c r="L194" s="41" t="s">
        <v>27</v>
      </c>
      <c r="M194" s="41" t="s">
        <v>35</v>
      </c>
      <c r="N194" s="17">
        <f>Table1_1[[#This Row],[Likes]]+Table1_1[[#This Row],[Shares]]+Table1_1[[#This Row],[Comments]]+Table1_1[[#This Row],[Clicks]]</f>
        <v>1146</v>
      </c>
      <c r="O194" s="36">
        <f>(Table1_1[[#This Row],[Likes]]+Table1_1[[#This Row],[Shares]]+Table1_1[[#This Row],[Comments]])/ Table1_1[[#This Row],[Impressions]]</f>
        <v>0.70387596899224802</v>
      </c>
    </row>
    <row r="195" spans="1:15" x14ac:dyDescent="0.3">
      <c r="A195" t="s">
        <v>369</v>
      </c>
      <c r="B195" s="41" t="s">
        <v>39</v>
      </c>
      <c r="C195" s="42">
        <v>45488</v>
      </c>
      <c r="D195" s="41" t="s">
        <v>41</v>
      </c>
      <c r="E195" t="s">
        <v>42</v>
      </c>
      <c r="F195" s="17">
        <v>3796</v>
      </c>
      <c r="G195" s="17">
        <v>667</v>
      </c>
      <c r="H195" s="17">
        <v>395</v>
      </c>
      <c r="I195" s="17">
        <v>64532</v>
      </c>
      <c r="J195" s="17">
        <v>63550</v>
      </c>
      <c r="K195" s="17">
        <v>292</v>
      </c>
      <c r="L195" s="41" t="s">
        <v>27</v>
      </c>
      <c r="N195" s="17">
        <f>Table1_1[[#This Row],[Likes]]+Table1_1[[#This Row],[Shares]]+Table1_1[[#This Row],[Comments]]+Table1_1[[#This Row],[Clicks]]</f>
        <v>5150</v>
      </c>
      <c r="O195" s="36">
        <f>(Table1_1[[#This Row],[Likes]]+Table1_1[[#This Row],[Shares]]+Table1_1[[#This Row],[Comments]])/ Table1_1[[#This Row],[Impressions]]</f>
        <v>7.5280481001673588E-2</v>
      </c>
    </row>
    <row r="196" spans="1:15" x14ac:dyDescent="0.3">
      <c r="A196" t="s">
        <v>370</v>
      </c>
      <c r="B196" s="41" t="s">
        <v>24</v>
      </c>
      <c r="C196" s="42">
        <v>45629</v>
      </c>
      <c r="D196" s="41" t="s">
        <v>20</v>
      </c>
      <c r="E196" t="s">
        <v>99</v>
      </c>
      <c r="F196" s="17">
        <v>3711</v>
      </c>
      <c r="G196" s="17">
        <v>352</v>
      </c>
      <c r="H196" s="17">
        <v>290</v>
      </c>
      <c r="I196" s="17">
        <v>48243</v>
      </c>
      <c r="J196" s="17">
        <v>47579</v>
      </c>
      <c r="K196" s="17">
        <v>11</v>
      </c>
      <c r="L196" s="41" t="s">
        <v>27</v>
      </c>
      <c r="M196" s="41" t="s">
        <v>17</v>
      </c>
      <c r="N196" s="17">
        <f>Table1_1[[#This Row],[Likes]]+Table1_1[[#This Row],[Shares]]+Table1_1[[#This Row],[Comments]]+Table1_1[[#This Row],[Clicks]]</f>
        <v>4364</v>
      </c>
      <c r="O196" s="36">
        <f>(Table1_1[[#This Row],[Likes]]+Table1_1[[#This Row],[Shares]]+Table1_1[[#This Row],[Comments]])/ Table1_1[[#This Row],[Impressions]]</f>
        <v>9.023070704558174E-2</v>
      </c>
    </row>
    <row r="197" spans="1:15" x14ac:dyDescent="0.3">
      <c r="A197" t="s">
        <v>371</v>
      </c>
      <c r="B197" s="41" t="s">
        <v>24</v>
      </c>
      <c r="C197" s="42">
        <v>45737</v>
      </c>
      <c r="D197" s="41" t="s">
        <v>48</v>
      </c>
      <c r="E197" t="s">
        <v>49</v>
      </c>
      <c r="F197" s="17">
        <v>606</v>
      </c>
      <c r="G197" s="17">
        <v>789</v>
      </c>
      <c r="H197" s="17">
        <v>470</v>
      </c>
      <c r="I197" s="17">
        <v>7878</v>
      </c>
      <c r="J197" s="17">
        <v>7389</v>
      </c>
      <c r="K197" s="17">
        <v>239</v>
      </c>
      <c r="L197" s="41" t="s">
        <v>34</v>
      </c>
      <c r="M197" s="41" t="s">
        <v>28</v>
      </c>
      <c r="N197" s="17">
        <f>Table1_1[[#This Row],[Likes]]+Table1_1[[#This Row],[Shares]]+Table1_1[[#This Row],[Comments]]+Table1_1[[#This Row],[Clicks]]</f>
        <v>2104</v>
      </c>
      <c r="O197" s="36">
        <f>(Table1_1[[#This Row],[Likes]]+Table1_1[[#This Row],[Shares]]+Table1_1[[#This Row],[Comments]])/ Table1_1[[#This Row],[Impressions]]</f>
        <v>0.23673521198273673</v>
      </c>
    </row>
    <row r="198" spans="1:15" x14ac:dyDescent="0.3">
      <c r="A198" t="s">
        <v>373</v>
      </c>
      <c r="B198" s="41" t="s">
        <v>39</v>
      </c>
      <c r="C198" s="42">
        <v>45504</v>
      </c>
      <c r="D198" s="41" t="s">
        <v>48</v>
      </c>
      <c r="E198" t="s">
        <v>55</v>
      </c>
      <c r="F198" s="17">
        <v>4689</v>
      </c>
      <c r="G198" s="17">
        <v>134</v>
      </c>
      <c r="H198" s="17">
        <v>403</v>
      </c>
      <c r="I198" s="17">
        <v>51579</v>
      </c>
      <c r="J198" s="17">
        <v>50924</v>
      </c>
      <c r="K198" s="17">
        <v>173</v>
      </c>
      <c r="L198" s="41" t="s">
        <v>27</v>
      </c>
      <c r="M198" s="41" t="s">
        <v>35</v>
      </c>
      <c r="N198" s="17">
        <f>Table1_1[[#This Row],[Likes]]+Table1_1[[#This Row],[Shares]]+Table1_1[[#This Row],[Comments]]+Table1_1[[#This Row],[Clicks]]</f>
        <v>5399</v>
      </c>
      <c r="O198" s="36">
        <f>(Table1_1[[#This Row],[Likes]]+Table1_1[[#This Row],[Shares]]+Table1_1[[#This Row],[Comments]])/ Table1_1[[#This Row],[Impressions]]</f>
        <v>0.10132030477519921</v>
      </c>
    </row>
    <row r="199" spans="1:15" x14ac:dyDescent="0.3">
      <c r="A199" t="s">
        <v>374</v>
      </c>
      <c r="B199" s="41" t="s">
        <v>30</v>
      </c>
      <c r="C199" s="42">
        <v>45643</v>
      </c>
      <c r="D199" s="41" t="s">
        <v>32</v>
      </c>
      <c r="E199" t="s">
        <v>33</v>
      </c>
      <c r="F199" s="17">
        <v>360</v>
      </c>
      <c r="G199" s="17">
        <v>590</v>
      </c>
      <c r="H199" s="17">
        <v>393</v>
      </c>
      <c r="I199" s="17">
        <v>4680</v>
      </c>
      <c r="J199" s="17">
        <v>4322</v>
      </c>
      <c r="K199" s="17">
        <v>208</v>
      </c>
      <c r="L199" s="41" t="s">
        <v>58</v>
      </c>
      <c r="M199" s="41" t="s">
        <v>22</v>
      </c>
      <c r="N199" s="17">
        <f>Table1_1[[#This Row],[Likes]]+Table1_1[[#This Row],[Shares]]+Table1_1[[#This Row],[Comments]]+Table1_1[[#This Row],[Clicks]]</f>
        <v>1551</v>
      </c>
      <c r="O199" s="36">
        <f>(Table1_1[[#This Row],[Likes]]+Table1_1[[#This Row],[Shares]]+Table1_1[[#This Row],[Comments]])/ Table1_1[[#This Row],[Impressions]]</f>
        <v>0.28696581196581195</v>
      </c>
    </row>
    <row r="200" spans="1:15" x14ac:dyDescent="0.3">
      <c r="A200" t="s">
        <v>376</v>
      </c>
      <c r="B200" s="41" t="s">
        <v>13</v>
      </c>
      <c r="C200" s="42">
        <v>45501</v>
      </c>
      <c r="D200" s="41" t="s">
        <v>48</v>
      </c>
      <c r="E200" t="s">
        <v>127</v>
      </c>
      <c r="F200" s="17">
        <v>3215</v>
      </c>
      <c r="G200" s="17">
        <v>960</v>
      </c>
      <c r="H200" s="17">
        <v>202</v>
      </c>
      <c r="I200" s="17">
        <v>32150</v>
      </c>
      <c r="J200" s="17">
        <v>31404</v>
      </c>
      <c r="K200" s="17">
        <v>251</v>
      </c>
      <c r="L200" s="41" t="s">
        <v>34</v>
      </c>
      <c r="M200" s="41" t="s">
        <v>17</v>
      </c>
      <c r="N200" s="17">
        <f>Table1_1[[#This Row],[Likes]]+Table1_1[[#This Row],[Shares]]+Table1_1[[#This Row],[Comments]]+Table1_1[[#This Row],[Clicks]]</f>
        <v>4628</v>
      </c>
      <c r="O200" s="36">
        <f>(Table1_1[[#This Row],[Likes]]+Table1_1[[#This Row],[Shares]]+Table1_1[[#This Row],[Comments]])/ Table1_1[[#This Row],[Impressions]]</f>
        <v>0.13614307931570763</v>
      </c>
    </row>
    <row r="201" spans="1:15" x14ac:dyDescent="0.3">
      <c r="A201" t="s">
        <v>378</v>
      </c>
      <c r="B201" s="41" t="s">
        <v>30</v>
      </c>
      <c r="C201" s="42">
        <v>45668</v>
      </c>
      <c r="D201" s="41" t="s">
        <v>41</v>
      </c>
      <c r="E201" t="s">
        <v>84</v>
      </c>
      <c r="F201" s="17">
        <v>4523</v>
      </c>
      <c r="G201" s="17">
        <v>61</v>
      </c>
      <c r="H201" s="17">
        <v>157</v>
      </c>
      <c r="I201" s="17">
        <v>49753</v>
      </c>
      <c r="J201" s="17">
        <v>49329</v>
      </c>
      <c r="K201" s="17">
        <v>71</v>
      </c>
      <c r="L201" s="41" t="s">
        <v>34</v>
      </c>
      <c r="N201" s="17">
        <f>Table1_1[[#This Row],[Likes]]+Table1_1[[#This Row],[Shares]]+Table1_1[[#This Row],[Comments]]+Table1_1[[#This Row],[Clicks]]</f>
        <v>4812</v>
      </c>
      <c r="O201" s="36">
        <f>(Table1_1[[#This Row],[Likes]]+Table1_1[[#This Row],[Shares]]+Table1_1[[#This Row],[Comments]])/ Table1_1[[#This Row],[Impressions]]</f>
        <v>9.5290736237010829E-2</v>
      </c>
    </row>
    <row r="202" spans="1:15" x14ac:dyDescent="0.3">
      <c r="A202" t="s">
        <v>380</v>
      </c>
      <c r="B202" s="41" t="s">
        <v>39</v>
      </c>
      <c r="C202" s="42">
        <v>45528</v>
      </c>
      <c r="D202" s="41" t="s">
        <v>41</v>
      </c>
      <c r="E202" t="s">
        <v>42</v>
      </c>
      <c r="F202" s="17">
        <v>4292</v>
      </c>
      <c r="G202" s="17">
        <v>51</v>
      </c>
      <c r="H202" s="17">
        <v>392</v>
      </c>
      <c r="I202" s="17">
        <v>55796</v>
      </c>
      <c r="J202" s="17">
        <v>54826</v>
      </c>
      <c r="K202" s="17">
        <v>264</v>
      </c>
      <c r="L202" s="41" t="s">
        <v>34</v>
      </c>
      <c r="M202" s="41" t="s">
        <v>28</v>
      </c>
      <c r="N202" s="17">
        <f>Table1_1[[#This Row],[Likes]]+Table1_1[[#This Row],[Shares]]+Table1_1[[#This Row],[Comments]]+Table1_1[[#This Row],[Clicks]]</f>
        <v>4999</v>
      </c>
      <c r="O202" s="36">
        <f>(Table1_1[[#This Row],[Likes]]+Table1_1[[#This Row],[Shares]]+Table1_1[[#This Row],[Comments]])/ Table1_1[[#This Row],[Impressions]]</f>
        <v>8.4862714173059003E-2</v>
      </c>
    </row>
    <row r="203" spans="1:15" x14ac:dyDescent="0.3">
      <c r="A203" t="s">
        <v>381</v>
      </c>
      <c r="B203" s="41" t="s">
        <v>13</v>
      </c>
      <c r="C203" s="42">
        <v>45648</v>
      </c>
      <c r="D203" s="41" t="s">
        <v>15</v>
      </c>
      <c r="E203" t="s">
        <v>16</v>
      </c>
      <c r="F203" s="17">
        <v>1644</v>
      </c>
      <c r="G203" s="17">
        <v>546</v>
      </c>
      <c r="H203" s="17">
        <v>150</v>
      </c>
      <c r="I203" s="17">
        <v>27948</v>
      </c>
      <c r="J203" s="17">
        <v>27184</v>
      </c>
      <c r="K203" s="17">
        <v>300</v>
      </c>
      <c r="L203" s="41" t="s">
        <v>34</v>
      </c>
      <c r="M203" s="41" t="s">
        <v>28</v>
      </c>
      <c r="N203" s="17">
        <f>Table1_1[[#This Row],[Likes]]+Table1_1[[#This Row],[Shares]]+Table1_1[[#This Row],[Comments]]+Table1_1[[#This Row],[Clicks]]</f>
        <v>2640</v>
      </c>
      <c r="O203" s="36">
        <f>(Table1_1[[#This Row],[Likes]]+Table1_1[[#This Row],[Shares]]+Table1_1[[#This Row],[Comments]])/ Table1_1[[#This Row],[Impressions]]</f>
        <v>8.3726921425504502E-2</v>
      </c>
    </row>
    <row r="204" spans="1:15" x14ac:dyDescent="0.3">
      <c r="A204" t="s">
        <v>383</v>
      </c>
      <c r="B204" s="41" t="s">
        <v>24</v>
      </c>
      <c r="C204" s="42">
        <v>45449</v>
      </c>
      <c r="D204" s="41" t="s">
        <v>15</v>
      </c>
      <c r="E204" t="s">
        <v>26</v>
      </c>
      <c r="F204" s="17">
        <v>2728</v>
      </c>
      <c r="G204" s="17">
        <v>533</v>
      </c>
      <c r="H204" s="17">
        <v>215</v>
      </c>
      <c r="I204" s="17">
        <v>40920</v>
      </c>
      <c r="J204" s="17">
        <v>40816</v>
      </c>
      <c r="K204" s="17">
        <v>137</v>
      </c>
      <c r="L204" s="41" t="s">
        <v>58</v>
      </c>
      <c r="M204" s="41" t="s">
        <v>22</v>
      </c>
      <c r="N204" s="17">
        <f>Table1_1[[#This Row],[Likes]]+Table1_1[[#This Row],[Shares]]+Table1_1[[#This Row],[Comments]]+Table1_1[[#This Row],[Clicks]]</f>
        <v>3613</v>
      </c>
      <c r="O204" s="36">
        <f>(Table1_1[[#This Row],[Likes]]+Table1_1[[#This Row],[Shares]]+Table1_1[[#This Row],[Comments]])/ Table1_1[[#This Row],[Impressions]]</f>
        <v>8.4946236559139784E-2</v>
      </c>
    </row>
    <row r="205" spans="1:15" x14ac:dyDescent="0.3">
      <c r="A205" t="s">
        <v>384</v>
      </c>
      <c r="B205" s="41" t="s">
        <v>39</v>
      </c>
      <c r="C205" s="42">
        <v>45740</v>
      </c>
      <c r="D205" s="41" t="s">
        <v>15</v>
      </c>
      <c r="E205" t="s">
        <v>61</v>
      </c>
      <c r="F205" s="17">
        <v>3360</v>
      </c>
      <c r="G205" s="17">
        <v>525</v>
      </c>
      <c r="H205" s="17">
        <v>500</v>
      </c>
      <c r="I205" s="17">
        <v>60480</v>
      </c>
      <c r="J205" s="17">
        <v>59610</v>
      </c>
      <c r="K205" s="17">
        <v>192</v>
      </c>
      <c r="L205" s="41" t="s">
        <v>27</v>
      </c>
      <c r="M205" s="41" t="s">
        <v>17</v>
      </c>
      <c r="N205" s="17">
        <f>Table1_1[[#This Row],[Likes]]+Table1_1[[#This Row],[Shares]]+Table1_1[[#This Row],[Comments]]+Table1_1[[#This Row],[Clicks]]</f>
        <v>4577</v>
      </c>
      <c r="O205" s="36">
        <f>(Table1_1[[#This Row],[Likes]]+Table1_1[[#This Row],[Shares]]+Table1_1[[#This Row],[Comments]])/ Table1_1[[#This Row],[Impressions]]</f>
        <v>7.2503306878306875E-2</v>
      </c>
    </row>
    <row r="206" spans="1:15" x14ac:dyDescent="0.3">
      <c r="A206" t="s">
        <v>385</v>
      </c>
      <c r="B206" s="41" t="s">
        <v>24</v>
      </c>
      <c r="C206" s="42">
        <v>45569</v>
      </c>
      <c r="D206" s="41" t="s">
        <v>20</v>
      </c>
      <c r="E206" t="s">
        <v>99</v>
      </c>
      <c r="F206" s="17">
        <v>1963</v>
      </c>
      <c r="G206" s="17">
        <v>213</v>
      </c>
      <c r="H206" s="17">
        <v>19</v>
      </c>
      <c r="I206" s="17">
        <v>39260</v>
      </c>
      <c r="J206" s="17">
        <v>38771</v>
      </c>
      <c r="K206" s="17">
        <v>145</v>
      </c>
      <c r="L206" s="41" t="s">
        <v>58</v>
      </c>
      <c r="N206" s="17">
        <f>Table1_1[[#This Row],[Likes]]+Table1_1[[#This Row],[Shares]]+Table1_1[[#This Row],[Comments]]+Table1_1[[#This Row],[Clicks]]</f>
        <v>2340</v>
      </c>
      <c r="O206" s="36">
        <f>(Table1_1[[#This Row],[Likes]]+Table1_1[[#This Row],[Shares]]+Table1_1[[#This Row],[Comments]])/ Table1_1[[#This Row],[Impressions]]</f>
        <v>5.5909322465613857E-2</v>
      </c>
    </row>
    <row r="207" spans="1:15" x14ac:dyDescent="0.3">
      <c r="A207" t="s">
        <v>387</v>
      </c>
      <c r="B207" s="41" t="s">
        <v>24</v>
      </c>
      <c r="C207" s="42">
        <v>45629</v>
      </c>
      <c r="D207" s="41" t="s">
        <v>32</v>
      </c>
      <c r="E207" t="s">
        <v>149</v>
      </c>
      <c r="F207" s="17">
        <v>4285</v>
      </c>
      <c r="G207" s="17">
        <v>886</v>
      </c>
      <c r="H207" s="17">
        <v>376</v>
      </c>
      <c r="I207" s="17">
        <v>55705</v>
      </c>
      <c r="J207" s="17">
        <v>55556</v>
      </c>
      <c r="K207" s="17">
        <v>51</v>
      </c>
      <c r="L207" s="41" t="s">
        <v>58</v>
      </c>
      <c r="M207" s="41" t="s">
        <v>28</v>
      </c>
      <c r="N207" s="17">
        <f>Table1_1[[#This Row],[Likes]]+Table1_1[[#This Row],[Shares]]+Table1_1[[#This Row],[Comments]]+Table1_1[[#This Row],[Clicks]]</f>
        <v>5598</v>
      </c>
      <c r="O207" s="36">
        <f>(Table1_1[[#This Row],[Likes]]+Table1_1[[#This Row],[Shares]]+Table1_1[[#This Row],[Comments]])/ Table1_1[[#This Row],[Impressions]]</f>
        <v>9.9578134817341346E-2</v>
      </c>
    </row>
    <row r="208" spans="1:15" x14ac:dyDescent="0.3">
      <c r="A208" t="s">
        <v>388</v>
      </c>
      <c r="B208" s="41" t="s">
        <v>30</v>
      </c>
      <c r="C208" s="42">
        <v>45625</v>
      </c>
      <c r="D208" s="41" t="s">
        <v>70</v>
      </c>
      <c r="E208" t="s">
        <v>81</v>
      </c>
      <c r="F208" s="17">
        <v>1176</v>
      </c>
      <c r="G208" s="17">
        <v>464</v>
      </c>
      <c r="H208" s="17">
        <v>394</v>
      </c>
      <c r="I208" s="17">
        <v>14112</v>
      </c>
      <c r="J208" s="17">
        <v>13588</v>
      </c>
      <c r="K208" s="17">
        <v>272</v>
      </c>
      <c r="L208" s="41" t="s">
        <v>34</v>
      </c>
      <c r="N208" s="17">
        <f>Table1_1[[#This Row],[Likes]]+Table1_1[[#This Row],[Shares]]+Table1_1[[#This Row],[Comments]]+Table1_1[[#This Row],[Clicks]]</f>
        <v>2306</v>
      </c>
      <c r="O208" s="36">
        <f>(Table1_1[[#This Row],[Likes]]+Table1_1[[#This Row],[Shares]]+Table1_1[[#This Row],[Comments]])/ Table1_1[[#This Row],[Impressions]]</f>
        <v>0.1441326530612245</v>
      </c>
    </row>
    <row r="209" spans="1:15" x14ac:dyDescent="0.3">
      <c r="A209" t="s">
        <v>390</v>
      </c>
      <c r="B209" s="41" t="s">
        <v>13</v>
      </c>
      <c r="C209" s="42">
        <v>45546</v>
      </c>
      <c r="D209" s="41" t="s">
        <v>48</v>
      </c>
      <c r="E209" t="s">
        <v>127</v>
      </c>
      <c r="F209" s="17">
        <v>4858</v>
      </c>
      <c r="G209" s="17">
        <v>317</v>
      </c>
      <c r="H209" s="17">
        <v>129</v>
      </c>
      <c r="I209" s="17">
        <v>53438</v>
      </c>
      <c r="J209" s="17">
        <v>52687</v>
      </c>
      <c r="K209" s="17">
        <v>223</v>
      </c>
      <c r="L209" s="41" t="s">
        <v>34</v>
      </c>
      <c r="M209" s="41" t="s">
        <v>28</v>
      </c>
      <c r="N209" s="17">
        <f>Table1_1[[#This Row],[Likes]]+Table1_1[[#This Row],[Shares]]+Table1_1[[#This Row],[Comments]]+Table1_1[[#This Row],[Clicks]]</f>
        <v>5527</v>
      </c>
      <c r="O209" s="36">
        <f>(Table1_1[[#This Row],[Likes]]+Table1_1[[#This Row],[Shares]]+Table1_1[[#This Row],[Comments]])/ Table1_1[[#This Row],[Impressions]]</f>
        <v>9.9255211647142488E-2</v>
      </c>
    </row>
    <row r="210" spans="1:15" x14ac:dyDescent="0.3">
      <c r="A210" t="s">
        <v>392</v>
      </c>
      <c r="B210" s="41" t="s">
        <v>24</v>
      </c>
      <c r="C210" s="42">
        <v>45567</v>
      </c>
      <c r="D210" s="41" t="s">
        <v>32</v>
      </c>
      <c r="E210" t="s">
        <v>149</v>
      </c>
      <c r="F210" s="17">
        <v>4350</v>
      </c>
      <c r="G210" s="17">
        <v>771</v>
      </c>
      <c r="H210" s="17">
        <v>7</v>
      </c>
      <c r="I210" s="17">
        <v>60900</v>
      </c>
      <c r="J210" s="17">
        <v>60592</v>
      </c>
      <c r="K210" s="17">
        <v>195</v>
      </c>
      <c r="L210" s="41" t="s">
        <v>34</v>
      </c>
      <c r="M210" s="41" t="s">
        <v>17</v>
      </c>
      <c r="N210" s="17">
        <f>Table1_1[[#This Row],[Likes]]+Table1_1[[#This Row],[Shares]]+Table1_1[[#This Row],[Comments]]+Table1_1[[#This Row],[Clicks]]</f>
        <v>5323</v>
      </c>
      <c r="O210" s="36">
        <f>(Table1_1[[#This Row],[Likes]]+Table1_1[[#This Row],[Shares]]+Table1_1[[#This Row],[Comments]])/ Table1_1[[#This Row],[Impressions]]</f>
        <v>8.4203612479474554E-2</v>
      </c>
    </row>
    <row r="211" spans="1:15" x14ac:dyDescent="0.3">
      <c r="A211" t="s">
        <v>393</v>
      </c>
      <c r="B211" s="41" t="s">
        <v>30</v>
      </c>
      <c r="C211" s="42">
        <v>45519</v>
      </c>
      <c r="D211" s="41" t="s">
        <v>41</v>
      </c>
      <c r="E211" t="s">
        <v>84</v>
      </c>
      <c r="F211" s="17">
        <v>914</v>
      </c>
      <c r="G211" s="17">
        <v>464</v>
      </c>
      <c r="H211" s="17">
        <v>246</v>
      </c>
      <c r="I211" s="17">
        <v>11882</v>
      </c>
      <c r="J211" s="17">
        <v>11500</v>
      </c>
      <c r="K211" s="17">
        <v>282</v>
      </c>
      <c r="L211" s="41" t="s">
        <v>58</v>
      </c>
      <c r="M211" s="41" t="s">
        <v>35</v>
      </c>
      <c r="N211" s="17">
        <f>Table1_1[[#This Row],[Likes]]+Table1_1[[#This Row],[Shares]]+Table1_1[[#This Row],[Comments]]+Table1_1[[#This Row],[Clicks]]</f>
        <v>1906</v>
      </c>
      <c r="O211" s="36">
        <f>(Table1_1[[#This Row],[Likes]]+Table1_1[[#This Row],[Shares]]+Table1_1[[#This Row],[Comments]])/ Table1_1[[#This Row],[Impressions]]</f>
        <v>0.13667732704931829</v>
      </c>
    </row>
    <row r="212" spans="1:15" x14ac:dyDescent="0.3">
      <c r="A212" t="s">
        <v>393</v>
      </c>
      <c r="B212" s="41" t="s">
        <v>30</v>
      </c>
      <c r="C212" s="42">
        <v>45519</v>
      </c>
      <c r="D212" s="41" t="s">
        <v>41</v>
      </c>
      <c r="E212" t="s">
        <v>84</v>
      </c>
      <c r="F212" s="17">
        <v>914</v>
      </c>
      <c r="G212" s="17">
        <v>464</v>
      </c>
      <c r="H212" s="17">
        <v>246</v>
      </c>
      <c r="I212" s="17">
        <v>11882</v>
      </c>
      <c r="J212" s="17">
        <v>11500</v>
      </c>
      <c r="K212" s="17">
        <v>282</v>
      </c>
      <c r="L212" s="41" t="s">
        <v>27</v>
      </c>
      <c r="M212" s="41" t="s">
        <v>35</v>
      </c>
      <c r="N212" s="17">
        <f>Table1_1[[#This Row],[Likes]]+Table1_1[[#This Row],[Shares]]+Table1_1[[#This Row],[Comments]]+Table1_1[[#This Row],[Clicks]]</f>
        <v>1906</v>
      </c>
      <c r="O212" s="36">
        <f>(Table1_1[[#This Row],[Likes]]+Table1_1[[#This Row],[Shares]]+Table1_1[[#This Row],[Comments]])/ Table1_1[[#This Row],[Impressions]]</f>
        <v>0.13667732704931829</v>
      </c>
    </row>
    <row r="213" spans="1:15" x14ac:dyDescent="0.3">
      <c r="A213" t="s">
        <v>393</v>
      </c>
      <c r="B213" s="41" t="s">
        <v>30</v>
      </c>
      <c r="C213" s="42">
        <v>45519</v>
      </c>
      <c r="D213" s="41" t="s">
        <v>41</v>
      </c>
      <c r="E213" t="s">
        <v>84</v>
      </c>
      <c r="F213" s="17">
        <v>914</v>
      </c>
      <c r="G213" s="17">
        <v>464</v>
      </c>
      <c r="H213" s="17">
        <v>246</v>
      </c>
      <c r="I213" s="17">
        <v>11882</v>
      </c>
      <c r="J213" s="17">
        <v>11500</v>
      </c>
      <c r="K213" s="17">
        <v>282</v>
      </c>
      <c r="L213" s="41" t="s">
        <v>551</v>
      </c>
      <c r="M213" s="41" t="s">
        <v>35</v>
      </c>
      <c r="N213" s="17">
        <f>Table1_1[[#This Row],[Likes]]+Table1_1[[#This Row],[Shares]]+Table1_1[[#This Row],[Comments]]+Table1_1[[#This Row],[Clicks]]</f>
        <v>1906</v>
      </c>
      <c r="O213" s="36">
        <f>(Table1_1[[#This Row],[Likes]]+Table1_1[[#This Row],[Shares]]+Table1_1[[#This Row],[Comments]])/ Table1_1[[#This Row],[Impressions]]</f>
        <v>0.13667732704931829</v>
      </c>
    </row>
    <row r="214" spans="1:15" x14ac:dyDescent="0.3">
      <c r="A214" t="s">
        <v>395</v>
      </c>
      <c r="B214" s="41" t="s">
        <v>30</v>
      </c>
      <c r="C214" s="42">
        <v>45645</v>
      </c>
      <c r="D214" s="41" t="s">
        <v>20</v>
      </c>
      <c r="E214" t="s">
        <v>108</v>
      </c>
      <c r="F214" s="17">
        <v>1813</v>
      </c>
      <c r="G214" s="17">
        <v>623</v>
      </c>
      <c r="H214" s="17">
        <v>72</v>
      </c>
      <c r="I214" s="17">
        <v>19943</v>
      </c>
      <c r="J214" s="17">
        <v>18959</v>
      </c>
      <c r="K214" s="17">
        <v>85</v>
      </c>
      <c r="L214" s="41" t="s">
        <v>34</v>
      </c>
      <c r="M214" s="41" t="s">
        <v>28</v>
      </c>
      <c r="N214" s="17">
        <f>Table1_1[[#This Row],[Likes]]+Table1_1[[#This Row],[Shares]]+Table1_1[[#This Row],[Comments]]+Table1_1[[#This Row],[Clicks]]</f>
        <v>2593</v>
      </c>
      <c r="O214" s="36">
        <f>(Table1_1[[#This Row],[Likes]]+Table1_1[[#This Row],[Shares]]+Table1_1[[#This Row],[Comments]])/ Table1_1[[#This Row],[Impressions]]</f>
        <v>0.12575841147269717</v>
      </c>
    </row>
    <row r="215" spans="1:15" x14ac:dyDescent="0.3">
      <c r="A215" t="s">
        <v>397</v>
      </c>
      <c r="B215" s="41" t="s">
        <v>13</v>
      </c>
      <c r="C215" s="42">
        <v>45587</v>
      </c>
      <c r="D215" s="41" t="s">
        <v>15</v>
      </c>
      <c r="E215" t="s">
        <v>16</v>
      </c>
      <c r="F215" s="17">
        <v>4782</v>
      </c>
      <c r="G215" s="17">
        <v>721</v>
      </c>
      <c r="H215" s="17">
        <v>82</v>
      </c>
      <c r="I215" s="17">
        <v>86076</v>
      </c>
      <c r="J215" s="17">
        <v>85339</v>
      </c>
      <c r="K215" s="17">
        <v>19</v>
      </c>
      <c r="L215" s="41" t="s">
        <v>34</v>
      </c>
      <c r="M215" s="41" t="s">
        <v>17</v>
      </c>
      <c r="N215" s="17">
        <f>Table1_1[[#This Row],[Likes]]+Table1_1[[#This Row],[Shares]]+Table1_1[[#This Row],[Comments]]+Table1_1[[#This Row],[Clicks]]</f>
        <v>5604</v>
      </c>
      <c r="O215" s="36">
        <f>(Table1_1[[#This Row],[Likes]]+Table1_1[[#This Row],[Shares]]+Table1_1[[#This Row],[Comments]])/ Table1_1[[#This Row],[Impressions]]</f>
        <v>6.4884520656164318E-2</v>
      </c>
    </row>
    <row r="216" spans="1:15" x14ac:dyDescent="0.3">
      <c r="A216" t="s">
        <v>398</v>
      </c>
      <c r="B216" s="41" t="s">
        <v>13</v>
      </c>
      <c r="C216" s="42">
        <v>45549</v>
      </c>
      <c r="D216" s="41" t="s">
        <v>48</v>
      </c>
      <c r="E216" t="s">
        <v>127</v>
      </c>
      <c r="F216" s="17">
        <v>1048</v>
      </c>
      <c r="G216" s="17">
        <v>374</v>
      </c>
      <c r="H216" s="17">
        <v>450</v>
      </c>
      <c r="I216" s="17">
        <v>9432</v>
      </c>
      <c r="J216" s="17">
        <v>8882</v>
      </c>
      <c r="K216" s="17">
        <v>158</v>
      </c>
      <c r="L216" s="41" t="s">
        <v>27</v>
      </c>
      <c r="M216" s="41" t="s">
        <v>28</v>
      </c>
      <c r="N216" s="17">
        <f>Table1_1[[#This Row],[Likes]]+Table1_1[[#This Row],[Shares]]+Table1_1[[#This Row],[Comments]]+Table1_1[[#This Row],[Clicks]]</f>
        <v>2030</v>
      </c>
      <c r="O216" s="36">
        <f>(Table1_1[[#This Row],[Likes]]+Table1_1[[#This Row],[Shares]]+Table1_1[[#This Row],[Comments]])/ Table1_1[[#This Row],[Impressions]]</f>
        <v>0.19847328244274809</v>
      </c>
    </row>
    <row r="217" spans="1:15" x14ac:dyDescent="0.3">
      <c r="A217" t="s">
        <v>400</v>
      </c>
      <c r="B217" s="41" t="s">
        <v>24</v>
      </c>
      <c r="C217" s="42">
        <v>45626</v>
      </c>
      <c r="D217" s="41" t="s">
        <v>41</v>
      </c>
      <c r="E217" t="s">
        <v>64</v>
      </c>
      <c r="F217" s="17">
        <v>2509</v>
      </c>
      <c r="G217" s="17">
        <v>324</v>
      </c>
      <c r="H217" s="17">
        <v>171</v>
      </c>
      <c r="I217" s="17">
        <v>35126</v>
      </c>
      <c r="J217" s="17">
        <v>34685</v>
      </c>
      <c r="K217" s="17">
        <v>277</v>
      </c>
      <c r="L217" s="41" t="s">
        <v>27</v>
      </c>
      <c r="M217" s="41" t="s">
        <v>22</v>
      </c>
      <c r="N217" s="17">
        <f>Table1_1[[#This Row],[Likes]]+Table1_1[[#This Row],[Shares]]+Table1_1[[#This Row],[Comments]]+Table1_1[[#This Row],[Clicks]]</f>
        <v>3281</v>
      </c>
      <c r="O217" s="36">
        <f>(Table1_1[[#This Row],[Likes]]+Table1_1[[#This Row],[Shares]]+Table1_1[[#This Row],[Comments]])/ Table1_1[[#This Row],[Impressions]]</f>
        <v>8.5520696919660646E-2</v>
      </c>
    </row>
    <row r="218" spans="1:15" x14ac:dyDescent="0.3">
      <c r="A218" t="s">
        <v>401</v>
      </c>
      <c r="B218" s="41" t="s">
        <v>39</v>
      </c>
      <c r="C218" s="42">
        <v>45754</v>
      </c>
      <c r="D218" s="41" t="s">
        <v>15</v>
      </c>
      <c r="E218" t="s">
        <v>61</v>
      </c>
      <c r="F218" s="17">
        <v>3718</v>
      </c>
      <c r="G218" s="17">
        <v>385</v>
      </c>
      <c r="H218" s="17">
        <v>310</v>
      </c>
      <c r="I218" s="17">
        <v>70642</v>
      </c>
      <c r="J218" s="17">
        <v>69749</v>
      </c>
      <c r="K218" s="17">
        <v>233</v>
      </c>
      <c r="L218" s="41" t="s">
        <v>27</v>
      </c>
      <c r="M218" s="41" t="s">
        <v>22</v>
      </c>
      <c r="N218" s="17">
        <f>Table1_1[[#This Row],[Likes]]+Table1_1[[#This Row],[Shares]]+Table1_1[[#This Row],[Comments]]+Table1_1[[#This Row],[Clicks]]</f>
        <v>4646</v>
      </c>
      <c r="O218" s="36">
        <f>(Table1_1[[#This Row],[Likes]]+Table1_1[[#This Row],[Shares]]+Table1_1[[#This Row],[Comments]])/ Table1_1[[#This Row],[Impressions]]</f>
        <v>6.246991874522239E-2</v>
      </c>
    </row>
    <row r="219" spans="1:15" x14ac:dyDescent="0.3">
      <c r="A219" t="s">
        <v>403</v>
      </c>
      <c r="B219" s="41" t="s">
        <v>13</v>
      </c>
      <c r="C219" s="42">
        <v>45672</v>
      </c>
      <c r="D219" s="41" t="s">
        <v>15</v>
      </c>
      <c r="E219" t="s">
        <v>16</v>
      </c>
      <c r="F219" s="17">
        <v>802</v>
      </c>
      <c r="G219" s="17">
        <v>262</v>
      </c>
      <c r="H219" s="17">
        <v>244</v>
      </c>
      <c r="I219" s="17">
        <v>14436</v>
      </c>
      <c r="J219" s="17">
        <v>14280</v>
      </c>
      <c r="K219" s="17">
        <v>49</v>
      </c>
      <c r="L219" s="41" t="s">
        <v>34</v>
      </c>
      <c r="M219" s="41" t="s">
        <v>17</v>
      </c>
      <c r="N219" s="17">
        <f>Table1_1[[#This Row],[Likes]]+Table1_1[[#This Row],[Shares]]+Table1_1[[#This Row],[Comments]]+Table1_1[[#This Row],[Clicks]]</f>
        <v>1357</v>
      </c>
      <c r="O219" s="36">
        <f>(Table1_1[[#This Row],[Likes]]+Table1_1[[#This Row],[Shares]]+Table1_1[[#This Row],[Comments]])/ Table1_1[[#This Row],[Impressions]]</f>
        <v>9.0606816292601824E-2</v>
      </c>
    </row>
    <row r="220" spans="1:15" x14ac:dyDescent="0.3">
      <c r="A220" t="s">
        <v>405</v>
      </c>
      <c r="B220" s="41" t="s">
        <v>39</v>
      </c>
      <c r="C220" s="42">
        <v>45445</v>
      </c>
      <c r="D220" s="41" t="s">
        <v>48</v>
      </c>
      <c r="E220" t="s">
        <v>55</v>
      </c>
      <c r="F220" s="17">
        <v>1871</v>
      </c>
      <c r="G220" s="17">
        <v>252</v>
      </c>
      <c r="H220" s="17">
        <v>335</v>
      </c>
      <c r="I220" s="17">
        <v>29936</v>
      </c>
      <c r="J220" s="17">
        <v>29576</v>
      </c>
      <c r="K220" s="17">
        <v>288</v>
      </c>
      <c r="L220" s="41" t="s">
        <v>34</v>
      </c>
      <c r="M220" s="41" t="s">
        <v>28</v>
      </c>
      <c r="N220" s="17">
        <f>Table1_1[[#This Row],[Likes]]+Table1_1[[#This Row],[Shares]]+Table1_1[[#This Row],[Comments]]+Table1_1[[#This Row],[Clicks]]</f>
        <v>2746</v>
      </c>
      <c r="O220" s="36">
        <f>(Table1_1[[#This Row],[Likes]]+Table1_1[[#This Row],[Shares]]+Table1_1[[#This Row],[Comments]])/ Table1_1[[#This Row],[Impressions]]</f>
        <v>8.2108498129342594E-2</v>
      </c>
    </row>
    <row r="221" spans="1:15" x14ac:dyDescent="0.3">
      <c r="A221" t="s">
        <v>407</v>
      </c>
      <c r="B221" s="41" t="s">
        <v>30</v>
      </c>
      <c r="C221" s="42">
        <v>45617</v>
      </c>
      <c r="D221" s="41" t="s">
        <v>41</v>
      </c>
      <c r="E221" t="s">
        <v>84</v>
      </c>
      <c r="F221" s="17">
        <v>3773</v>
      </c>
      <c r="G221" s="17">
        <v>299</v>
      </c>
      <c r="H221" s="17">
        <v>38</v>
      </c>
      <c r="I221" s="17">
        <v>71687</v>
      </c>
      <c r="J221" s="17">
        <v>71447</v>
      </c>
      <c r="K221" s="17">
        <v>286</v>
      </c>
      <c r="L221" s="41" t="s">
        <v>58</v>
      </c>
      <c r="M221" s="41" t="s">
        <v>17</v>
      </c>
      <c r="N221" s="17">
        <f>Table1_1[[#This Row],[Likes]]+Table1_1[[#This Row],[Shares]]+Table1_1[[#This Row],[Comments]]+Table1_1[[#This Row],[Clicks]]</f>
        <v>4396</v>
      </c>
      <c r="O221" s="36">
        <f>(Table1_1[[#This Row],[Likes]]+Table1_1[[#This Row],[Shares]]+Table1_1[[#This Row],[Comments]])/ Table1_1[[#This Row],[Impressions]]</f>
        <v>5.7332570758993957E-2</v>
      </c>
    </row>
    <row r="222" spans="1:15" x14ac:dyDescent="0.3">
      <c r="A222" t="s">
        <v>409</v>
      </c>
      <c r="B222" s="41" t="s">
        <v>30</v>
      </c>
      <c r="C222" s="42">
        <v>45658</v>
      </c>
      <c r="D222" s="41" t="s">
        <v>41</v>
      </c>
      <c r="E222" t="s">
        <v>84</v>
      </c>
      <c r="F222" s="17">
        <v>2234</v>
      </c>
      <c r="G222" s="17">
        <v>653</v>
      </c>
      <c r="H222" s="17">
        <v>432</v>
      </c>
      <c r="I222" s="17">
        <v>11170</v>
      </c>
      <c r="J222" s="17">
        <v>10569</v>
      </c>
      <c r="K222" s="17">
        <v>198</v>
      </c>
      <c r="L222" s="41" t="s">
        <v>58</v>
      </c>
      <c r="M222" s="41" t="s">
        <v>28</v>
      </c>
      <c r="N222" s="17">
        <f>Table1_1[[#This Row],[Likes]]+Table1_1[[#This Row],[Shares]]+Table1_1[[#This Row],[Comments]]+Table1_1[[#This Row],[Clicks]]</f>
        <v>3517</v>
      </c>
      <c r="O222" s="36">
        <f>(Table1_1[[#This Row],[Likes]]+Table1_1[[#This Row],[Shares]]+Table1_1[[#This Row],[Comments]])/ Table1_1[[#This Row],[Impressions]]</f>
        <v>0.29713518352730528</v>
      </c>
    </row>
    <row r="223" spans="1:15" x14ac:dyDescent="0.3">
      <c r="A223" t="s">
        <v>410</v>
      </c>
      <c r="B223" s="41" t="s">
        <v>13</v>
      </c>
      <c r="C223" s="42">
        <v>45771</v>
      </c>
      <c r="D223" s="41" t="s">
        <v>70</v>
      </c>
      <c r="E223" t="s">
        <v>140</v>
      </c>
      <c r="F223" s="17">
        <v>3820</v>
      </c>
      <c r="G223" s="17">
        <v>697</v>
      </c>
      <c r="H223" s="17">
        <v>268</v>
      </c>
      <c r="I223" s="17">
        <v>45840</v>
      </c>
      <c r="J223" s="17">
        <v>45631</v>
      </c>
      <c r="K223" s="17">
        <v>171</v>
      </c>
      <c r="L223" s="41" t="s">
        <v>27</v>
      </c>
      <c r="M223" s="41" t="s">
        <v>35</v>
      </c>
      <c r="N223" s="17">
        <f>Table1_1[[#This Row],[Likes]]+Table1_1[[#This Row],[Shares]]+Table1_1[[#This Row],[Comments]]+Table1_1[[#This Row],[Clicks]]</f>
        <v>4956</v>
      </c>
      <c r="O223" s="36">
        <f>(Table1_1[[#This Row],[Likes]]+Table1_1[[#This Row],[Shares]]+Table1_1[[#This Row],[Comments]])/ Table1_1[[#This Row],[Impressions]]</f>
        <v>0.1043848167539267</v>
      </c>
    </row>
    <row r="224" spans="1:15" x14ac:dyDescent="0.3">
      <c r="A224" t="s">
        <v>410</v>
      </c>
      <c r="B224" s="41" t="s">
        <v>13</v>
      </c>
      <c r="C224" s="42">
        <v>45771</v>
      </c>
      <c r="D224" s="41" t="s">
        <v>70</v>
      </c>
      <c r="E224" t="s">
        <v>140</v>
      </c>
      <c r="F224" s="17">
        <v>3820</v>
      </c>
      <c r="G224" s="17">
        <v>697</v>
      </c>
      <c r="H224" s="17">
        <v>268</v>
      </c>
      <c r="I224" s="17">
        <v>45840</v>
      </c>
      <c r="J224" s="17">
        <v>45631</v>
      </c>
      <c r="K224" s="17">
        <v>171</v>
      </c>
      <c r="L224" s="41" t="s">
        <v>552</v>
      </c>
      <c r="M224" s="41" t="s">
        <v>35</v>
      </c>
      <c r="N224" s="17">
        <f>Table1_1[[#This Row],[Likes]]+Table1_1[[#This Row],[Shares]]+Table1_1[[#This Row],[Comments]]+Table1_1[[#This Row],[Clicks]]</f>
        <v>4956</v>
      </c>
      <c r="O224" s="36">
        <f>(Table1_1[[#This Row],[Likes]]+Table1_1[[#This Row],[Shares]]+Table1_1[[#This Row],[Comments]])/ Table1_1[[#This Row],[Impressions]]</f>
        <v>0.1043848167539267</v>
      </c>
    </row>
    <row r="225" spans="1:15" x14ac:dyDescent="0.3">
      <c r="A225" t="s">
        <v>411</v>
      </c>
      <c r="B225" s="41" t="s">
        <v>13</v>
      </c>
      <c r="C225" s="42">
        <v>45467</v>
      </c>
      <c r="D225" s="41" t="s">
        <v>20</v>
      </c>
      <c r="E225" t="s">
        <v>21</v>
      </c>
      <c r="F225" s="17">
        <v>941</v>
      </c>
      <c r="G225" s="17">
        <v>121</v>
      </c>
      <c r="H225" s="17">
        <v>458</v>
      </c>
      <c r="I225" s="17">
        <v>14115</v>
      </c>
      <c r="J225" s="17">
        <v>13838</v>
      </c>
      <c r="K225" s="17">
        <v>87</v>
      </c>
      <c r="L225" s="41" t="s">
        <v>34</v>
      </c>
      <c r="M225" s="41" t="s">
        <v>17</v>
      </c>
      <c r="N225" s="17">
        <f>Table1_1[[#This Row],[Likes]]+Table1_1[[#This Row],[Shares]]+Table1_1[[#This Row],[Comments]]+Table1_1[[#This Row],[Clicks]]</f>
        <v>1607</v>
      </c>
      <c r="O225" s="36">
        <f>(Table1_1[[#This Row],[Likes]]+Table1_1[[#This Row],[Shares]]+Table1_1[[#This Row],[Comments]])/ Table1_1[[#This Row],[Impressions]]</f>
        <v>0.10768685795253277</v>
      </c>
    </row>
    <row r="226" spans="1:15" x14ac:dyDescent="0.3">
      <c r="A226" t="s">
        <v>412</v>
      </c>
      <c r="B226" s="41" t="s">
        <v>13</v>
      </c>
      <c r="C226" s="42">
        <v>45655</v>
      </c>
      <c r="D226" s="41" t="s">
        <v>41</v>
      </c>
      <c r="E226" t="s">
        <v>45</v>
      </c>
      <c r="F226" s="17">
        <v>4274</v>
      </c>
      <c r="G226" s="17">
        <v>340</v>
      </c>
      <c r="H226" s="17">
        <v>281</v>
      </c>
      <c r="I226" s="17">
        <v>34192</v>
      </c>
      <c r="J226" s="17">
        <v>33446</v>
      </c>
      <c r="K226" s="17">
        <v>129</v>
      </c>
      <c r="L226" s="41" t="s">
        <v>27</v>
      </c>
      <c r="M226" s="41" t="s">
        <v>28</v>
      </c>
      <c r="N226" s="17">
        <f>Table1_1[[#This Row],[Likes]]+Table1_1[[#This Row],[Shares]]+Table1_1[[#This Row],[Comments]]+Table1_1[[#This Row],[Clicks]]</f>
        <v>5024</v>
      </c>
      <c r="O226" s="36">
        <f>(Table1_1[[#This Row],[Likes]]+Table1_1[[#This Row],[Shares]]+Table1_1[[#This Row],[Comments]])/ Table1_1[[#This Row],[Impressions]]</f>
        <v>0.14316214319138981</v>
      </c>
    </row>
    <row r="227" spans="1:15" x14ac:dyDescent="0.3">
      <c r="A227" t="s">
        <v>412</v>
      </c>
      <c r="B227" s="41" t="s">
        <v>13</v>
      </c>
      <c r="C227" s="42">
        <v>45655</v>
      </c>
      <c r="D227" s="41" t="s">
        <v>41</v>
      </c>
      <c r="E227" t="s">
        <v>45</v>
      </c>
      <c r="F227" s="17">
        <v>4274</v>
      </c>
      <c r="G227" s="17">
        <v>340</v>
      </c>
      <c r="H227" s="17">
        <v>281</v>
      </c>
      <c r="I227" s="17">
        <v>34192</v>
      </c>
      <c r="J227" s="17">
        <v>33446</v>
      </c>
      <c r="K227" s="17">
        <v>129</v>
      </c>
      <c r="L227" s="41" t="s">
        <v>552</v>
      </c>
      <c r="M227" s="41" t="s">
        <v>28</v>
      </c>
      <c r="N227" s="17">
        <f>Table1_1[[#This Row],[Likes]]+Table1_1[[#This Row],[Shares]]+Table1_1[[#This Row],[Comments]]+Table1_1[[#This Row],[Clicks]]</f>
        <v>5024</v>
      </c>
      <c r="O227" s="36">
        <f>(Table1_1[[#This Row],[Likes]]+Table1_1[[#This Row],[Shares]]+Table1_1[[#This Row],[Comments]])/ Table1_1[[#This Row],[Impressions]]</f>
        <v>0.14316214319138981</v>
      </c>
    </row>
    <row r="228" spans="1:15" x14ac:dyDescent="0.3">
      <c r="A228" t="s">
        <v>414</v>
      </c>
      <c r="B228" s="41" t="s">
        <v>24</v>
      </c>
      <c r="C228" s="42">
        <v>45467</v>
      </c>
      <c r="D228" s="41" t="s">
        <v>70</v>
      </c>
      <c r="E228" t="s">
        <v>211</v>
      </c>
      <c r="F228" s="17">
        <v>2949</v>
      </c>
      <c r="G228" s="17">
        <v>476</v>
      </c>
      <c r="H228" s="17">
        <v>403</v>
      </c>
      <c r="I228" s="17">
        <v>44235</v>
      </c>
      <c r="J228" s="17">
        <v>43705</v>
      </c>
      <c r="K228" s="17">
        <v>135</v>
      </c>
      <c r="L228" s="41" t="s">
        <v>27</v>
      </c>
      <c r="M228" s="41" t="s">
        <v>22</v>
      </c>
      <c r="N228" s="17">
        <f>Table1_1[[#This Row],[Likes]]+Table1_1[[#This Row],[Shares]]+Table1_1[[#This Row],[Comments]]+Table1_1[[#This Row],[Clicks]]</f>
        <v>3963</v>
      </c>
      <c r="O228" s="36">
        <f>(Table1_1[[#This Row],[Likes]]+Table1_1[[#This Row],[Shares]]+Table1_1[[#This Row],[Comments]])/ Table1_1[[#This Row],[Impressions]]</f>
        <v>8.6537809426924378E-2</v>
      </c>
    </row>
    <row r="229" spans="1:15" x14ac:dyDescent="0.3">
      <c r="A229" t="s">
        <v>415</v>
      </c>
      <c r="B229" s="41" t="s">
        <v>13</v>
      </c>
      <c r="C229" s="42">
        <v>45735</v>
      </c>
      <c r="D229" s="41" t="s">
        <v>70</v>
      </c>
      <c r="E229" t="s">
        <v>140</v>
      </c>
      <c r="F229" s="17">
        <v>3160</v>
      </c>
      <c r="G229" s="17">
        <v>204</v>
      </c>
      <c r="H229" s="17">
        <v>297</v>
      </c>
      <c r="I229" s="17">
        <v>44240</v>
      </c>
      <c r="J229" s="17">
        <v>43666</v>
      </c>
      <c r="K229" s="17">
        <v>49</v>
      </c>
      <c r="L229" s="41" t="s">
        <v>58</v>
      </c>
      <c r="M229" s="41" t="s">
        <v>35</v>
      </c>
      <c r="N229" s="17">
        <f>Table1_1[[#This Row],[Likes]]+Table1_1[[#This Row],[Shares]]+Table1_1[[#This Row],[Comments]]+Table1_1[[#This Row],[Clicks]]</f>
        <v>3710</v>
      </c>
      <c r="O229" s="36">
        <f>(Table1_1[[#This Row],[Likes]]+Table1_1[[#This Row],[Shares]]+Table1_1[[#This Row],[Comments]])/ Table1_1[[#This Row],[Impressions]]</f>
        <v>8.2753164556962022E-2</v>
      </c>
    </row>
    <row r="230" spans="1:15" x14ac:dyDescent="0.3">
      <c r="A230" t="s">
        <v>415</v>
      </c>
      <c r="B230" s="41" t="s">
        <v>13</v>
      </c>
      <c r="C230" s="42">
        <v>45735</v>
      </c>
      <c r="D230" s="41" t="s">
        <v>70</v>
      </c>
      <c r="E230" t="s">
        <v>140</v>
      </c>
      <c r="F230" s="17">
        <v>3160</v>
      </c>
      <c r="G230" s="17">
        <v>204</v>
      </c>
      <c r="H230" s="17">
        <v>297</v>
      </c>
      <c r="I230" s="17">
        <v>44240</v>
      </c>
      <c r="J230" s="17">
        <v>43666</v>
      </c>
      <c r="K230" s="17">
        <v>49</v>
      </c>
      <c r="L230" s="41" t="s">
        <v>551</v>
      </c>
      <c r="M230" s="41" t="s">
        <v>35</v>
      </c>
      <c r="N230" s="17">
        <f>Table1_1[[#This Row],[Likes]]+Table1_1[[#This Row],[Shares]]+Table1_1[[#This Row],[Comments]]+Table1_1[[#This Row],[Clicks]]</f>
        <v>3710</v>
      </c>
      <c r="O230" s="36">
        <f>(Table1_1[[#This Row],[Likes]]+Table1_1[[#This Row],[Shares]]+Table1_1[[#This Row],[Comments]])/ Table1_1[[#This Row],[Impressions]]</f>
        <v>8.2753164556962022E-2</v>
      </c>
    </row>
    <row r="231" spans="1:15" x14ac:dyDescent="0.3">
      <c r="A231" t="s">
        <v>417</v>
      </c>
      <c r="B231" s="41" t="s">
        <v>24</v>
      </c>
      <c r="C231" s="42">
        <v>45707</v>
      </c>
      <c r="D231" s="41" t="s">
        <v>48</v>
      </c>
      <c r="E231" t="s">
        <v>49</v>
      </c>
      <c r="F231" s="17">
        <v>257</v>
      </c>
      <c r="G231" s="17">
        <v>966</v>
      </c>
      <c r="H231" s="17">
        <v>398</v>
      </c>
      <c r="I231" s="17">
        <v>3341</v>
      </c>
      <c r="J231" s="17">
        <v>2753</v>
      </c>
      <c r="K231" s="17">
        <v>287</v>
      </c>
      <c r="L231" s="41" t="s">
        <v>58</v>
      </c>
      <c r="M231" s="41" t="s">
        <v>17</v>
      </c>
      <c r="N231" s="17">
        <f>Table1_1[[#This Row],[Likes]]+Table1_1[[#This Row],[Shares]]+Table1_1[[#This Row],[Comments]]+Table1_1[[#This Row],[Clicks]]</f>
        <v>1908</v>
      </c>
      <c r="O231" s="36">
        <f>(Table1_1[[#This Row],[Likes]]+Table1_1[[#This Row],[Shares]]+Table1_1[[#This Row],[Comments]])/ Table1_1[[#This Row],[Impressions]]</f>
        <v>0.48518407662376534</v>
      </c>
    </row>
    <row r="232" spans="1:15" x14ac:dyDescent="0.3">
      <c r="A232" t="s">
        <v>418</v>
      </c>
      <c r="B232" s="41" t="s">
        <v>13</v>
      </c>
      <c r="C232" s="42">
        <v>45491</v>
      </c>
      <c r="D232" s="41" t="s">
        <v>41</v>
      </c>
      <c r="E232" t="s">
        <v>45</v>
      </c>
      <c r="F232" s="17">
        <v>2120</v>
      </c>
      <c r="G232" s="17">
        <v>38</v>
      </c>
      <c r="H232" s="17">
        <v>212</v>
      </c>
      <c r="I232" s="17">
        <v>12720</v>
      </c>
      <c r="J232" s="17">
        <v>12564</v>
      </c>
      <c r="K232" s="17">
        <v>21</v>
      </c>
      <c r="L232" s="41" t="s">
        <v>58</v>
      </c>
      <c r="M232" s="41" t="s">
        <v>35</v>
      </c>
      <c r="N232" s="17">
        <f>Table1_1[[#This Row],[Likes]]+Table1_1[[#This Row],[Shares]]+Table1_1[[#This Row],[Comments]]+Table1_1[[#This Row],[Clicks]]</f>
        <v>2391</v>
      </c>
      <c r="O232" s="36">
        <f>(Table1_1[[#This Row],[Likes]]+Table1_1[[#This Row],[Shares]]+Table1_1[[#This Row],[Comments]])/ Table1_1[[#This Row],[Impressions]]</f>
        <v>0.18632075471698112</v>
      </c>
    </row>
    <row r="233" spans="1:15" x14ac:dyDescent="0.3">
      <c r="A233" t="s">
        <v>420</v>
      </c>
      <c r="B233" s="41" t="s">
        <v>24</v>
      </c>
      <c r="C233" s="42">
        <v>45719</v>
      </c>
      <c r="D233" s="41" t="s">
        <v>70</v>
      </c>
      <c r="E233" t="s">
        <v>211</v>
      </c>
      <c r="F233" s="17">
        <v>3874</v>
      </c>
      <c r="G233" s="17">
        <v>884</v>
      </c>
      <c r="H233" s="17">
        <v>19</v>
      </c>
      <c r="I233" s="17">
        <v>38740</v>
      </c>
      <c r="J233" s="17">
        <v>38552</v>
      </c>
      <c r="K233" s="17">
        <v>219</v>
      </c>
      <c r="L233" s="41" t="s">
        <v>27</v>
      </c>
      <c r="M233" s="41" t="s">
        <v>22</v>
      </c>
      <c r="N233" s="17">
        <f>Table1_1[[#This Row],[Likes]]+Table1_1[[#This Row],[Shares]]+Table1_1[[#This Row],[Comments]]+Table1_1[[#This Row],[Clicks]]</f>
        <v>4996</v>
      </c>
      <c r="O233" s="36">
        <f>(Table1_1[[#This Row],[Likes]]+Table1_1[[#This Row],[Shares]]+Table1_1[[#This Row],[Comments]])/ Table1_1[[#This Row],[Impressions]]</f>
        <v>0.123309241094476</v>
      </c>
    </row>
    <row r="234" spans="1:15" x14ac:dyDescent="0.3">
      <c r="A234" t="s">
        <v>421</v>
      </c>
      <c r="B234" s="41" t="s">
        <v>39</v>
      </c>
      <c r="C234" s="42">
        <v>45778</v>
      </c>
      <c r="D234" s="41" t="s">
        <v>41</v>
      </c>
      <c r="E234" t="s">
        <v>42</v>
      </c>
      <c r="F234" s="17">
        <v>2696</v>
      </c>
      <c r="G234" s="17">
        <v>628</v>
      </c>
      <c r="H234" s="17">
        <v>443</v>
      </c>
      <c r="I234" s="17">
        <v>45832</v>
      </c>
      <c r="J234" s="17">
        <v>45632</v>
      </c>
      <c r="K234" s="17">
        <v>248</v>
      </c>
      <c r="L234" s="41" t="s">
        <v>34</v>
      </c>
      <c r="M234" s="41" t="s">
        <v>35</v>
      </c>
      <c r="N234" s="17">
        <f>Table1_1[[#This Row],[Likes]]+Table1_1[[#This Row],[Shares]]+Table1_1[[#This Row],[Comments]]+Table1_1[[#This Row],[Clicks]]</f>
        <v>4015</v>
      </c>
      <c r="O234" s="36">
        <f>(Table1_1[[#This Row],[Likes]]+Table1_1[[#This Row],[Shares]]+Table1_1[[#This Row],[Comments]])/ Table1_1[[#This Row],[Impressions]]</f>
        <v>8.21914819340199E-2</v>
      </c>
    </row>
    <row r="235" spans="1:15" x14ac:dyDescent="0.3">
      <c r="A235" t="s">
        <v>423</v>
      </c>
      <c r="B235" s="41" t="s">
        <v>30</v>
      </c>
      <c r="C235" s="42">
        <v>45649</v>
      </c>
      <c r="D235" s="41" t="s">
        <v>48</v>
      </c>
      <c r="E235" t="s">
        <v>208</v>
      </c>
      <c r="F235" s="17">
        <v>521</v>
      </c>
      <c r="G235" s="17">
        <v>746</v>
      </c>
      <c r="H235" s="17">
        <v>315</v>
      </c>
      <c r="I235" s="17">
        <v>4168</v>
      </c>
      <c r="J235" s="17">
        <v>3399</v>
      </c>
      <c r="K235" s="17">
        <v>282</v>
      </c>
      <c r="L235" s="41" t="s">
        <v>58</v>
      </c>
      <c r="M235" s="41" t="s">
        <v>22</v>
      </c>
      <c r="N235" s="17">
        <f>Table1_1[[#This Row],[Likes]]+Table1_1[[#This Row],[Shares]]+Table1_1[[#This Row],[Comments]]+Table1_1[[#This Row],[Clicks]]</f>
        <v>1864</v>
      </c>
      <c r="O235" s="36">
        <f>(Table1_1[[#This Row],[Likes]]+Table1_1[[#This Row],[Shares]]+Table1_1[[#This Row],[Comments]])/ Table1_1[[#This Row],[Impressions]]</f>
        <v>0.37955854126679461</v>
      </c>
    </row>
    <row r="236" spans="1:15" x14ac:dyDescent="0.3">
      <c r="A236" t="s">
        <v>424</v>
      </c>
      <c r="B236" s="41" t="s">
        <v>39</v>
      </c>
      <c r="C236" s="42">
        <v>45783</v>
      </c>
      <c r="D236" s="41" t="s">
        <v>48</v>
      </c>
      <c r="E236" t="s">
        <v>55</v>
      </c>
      <c r="F236" s="17">
        <v>4872</v>
      </c>
      <c r="G236" s="17">
        <v>925</v>
      </c>
      <c r="H236" s="17">
        <v>176</v>
      </c>
      <c r="I236" s="17">
        <v>82824</v>
      </c>
      <c r="J236" s="17">
        <v>82543</v>
      </c>
      <c r="K236" s="17">
        <v>89</v>
      </c>
      <c r="L236" s="41" t="s">
        <v>34</v>
      </c>
      <c r="M236" s="41" t="s">
        <v>22</v>
      </c>
      <c r="N236" s="17">
        <f>Table1_1[[#This Row],[Likes]]+Table1_1[[#This Row],[Shares]]+Table1_1[[#This Row],[Comments]]+Table1_1[[#This Row],[Clicks]]</f>
        <v>6062</v>
      </c>
      <c r="O236" s="36">
        <f>(Table1_1[[#This Row],[Likes]]+Table1_1[[#This Row],[Shares]]+Table1_1[[#This Row],[Comments]])/ Table1_1[[#This Row],[Impressions]]</f>
        <v>7.2116777745580993E-2</v>
      </c>
    </row>
    <row r="237" spans="1:15" x14ac:dyDescent="0.3">
      <c r="A237" t="s">
        <v>426</v>
      </c>
      <c r="B237" s="41" t="s">
        <v>24</v>
      </c>
      <c r="C237" s="42">
        <v>45502</v>
      </c>
      <c r="D237" s="41" t="s">
        <v>32</v>
      </c>
      <c r="E237" t="s">
        <v>149</v>
      </c>
      <c r="F237" s="17">
        <v>1509</v>
      </c>
      <c r="G237" s="17">
        <v>88</v>
      </c>
      <c r="H237" s="17">
        <v>163</v>
      </c>
      <c r="I237" s="17">
        <v>30180</v>
      </c>
      <c r="J237" s="17">
        <v>29689</v>
      </c>
      <c r="K237" s="17">
        <v>119</v>
      </c>
      <c r="L237" s="41" t="s">
        <v>34</v>
      </c>
      <c r="M237" s="41" t="s">
        <v>22</v>
      </c>
      <c r="N237" s="17">
        <f>Table1_1[[#This Row],[Likes]]+Table1_1[[#This Row],[Shares]]+Table1_1[[#This Row],[Comments]]+Table1_1[[#This Row],[Clicks]]</f>
        <v>1879</v>
      </c>
      <c r="O237" s="36">
        <f>(Table1_1[[#This Row],[Likes]]+Table1_1[[#This Row],[Shares]]+Table1_1[[#This Row],[Comments]])/ Table1_1[[#This Row],[Impressions]]</f>
        <v>5.8316766070245198E-2</v>
      </c>
    </row>
    <row r="238" spans="1:15" x14ac:dyDescent="0.3">
      <c r="A238" t="s">
        <v>427</v>
      </c>
      <c r="B238" s="41" t="s">
        <v>39</v>
      </c>
      <c r="C238" s="42">
        <v>45629</v>
      </c>
      <c r="D238" s="41" t="s">
        <v>48</v>
      </c>
      <c r="E238" t="s">
        <v>55</v>
      </c>
      <c r="F238" s="17">
        <v>4606</v>
      </c>
      <c r="G238" s="17">
        <v>931</v>
      </c>
      <c r="H238" s="17">
        <v>230</v>
      </c>
      <c r="I238" s="17">
        <v>92120</v>
      </c>
      <c r="J238" s="17">
        <v>91440</v>
      </c>
      <c r="K238" s="17">
        <v>56</v>
      </c>
      <c r="L238" s="41" t="s">
        <v>27</v>
      </c>
      <c r="N238" s="17">
        <f>Table1_1[[#This Row],[Likes]]+Table1_1[[#This Row],[Shares]]+Table1_1[[#This Row],[Comments]]+Table1_1[[#This Row],[Clicks]]</f>
        <v>5823</v>
      </c>
      <c r="O238" s="36">
        <f>(Table1_1[[#This Row],[Likes]]+Table1_1[[#This Row],[Shares]]+Table1_1[[#This Row],[Comments]])/ Table1_1[[#This Row],[Impressions]]</f>
        <v>6.2603126356925748E-2</v>
      </c>
    </row>
    <row r="239" spans="1:15" x14ac:dyDescent="0.3">
      <c r="A239" t="s">
        <v>428</v>
      </c>
      <c r="B239" s="41" t="s">
        <v>39</v>
      </c>
      <c r="C239" s="42">
        <v>45454</v>
      </c>
      <c r="D239" s="41" t="s">
        <v>41</v>
      </c>
      <c r="E239" t="s">
        <v>42</v>
      </c>
      <c r="F239" s="17">
        <v>1869</v>
      </c>
      <c r="G239" s="17">
        <v>453</v>
      </c>
      <c r="H239" s="17">
        <v>490</v>
      </c>
      <c r="I239" s="17">
        <v>14952</v>
      </c>
      <c r="J239" s="17">
        <v>14309</v>
      </c>
      <c r="K239" s="17">
        <v>275</v>
      </c>
      <c r="L239" s="41" t="s">
        <v>27</v>
      </c>
      <c r="M239" s="41" t="s">
        <v>35</v>
      </c>
      <c r="N239" s="17">
        <f>Table1_1[[#This Row],[Likes]]+Table1_1[[#This Row],[Shares]]+Table1_1[[#This Row],[Comments]]+Table1_1[[#This Row],[Clicks]]</f>
        <v>3087</v>
      </c>
      <c r="O239" s="36">
        <f>(Table1_1[[#This Row],[Likes]]+Table1_1[[#This Row],[Shares]]+Table1_1[[#This Row],[Comments]])/ Table1_1[[#This Row],[Impressions]]</f>
        <v>0.18806848582129482</v>
      </c>
    </row>
    <row r="240" spans="1:15" x14ac:dyDescent="0.3">
      <c r="A240" t="s">
        <v>429</v>
      </c>
      <c r="B240" s="41" t="s">
        <v>13</v>
      </c>
      <c r="C240" s="42">
        <v>45685</v>
      </c>
      <c r="D240" s="41" t="s">
        <v>15</v>
      </c>
      <c r="E240" t="s">
        <v>16</v>
      </c>
      <c r="F240" s="17">
        <v>1188</v>
      </c>
      <c r="G240" s="17">
        <v>470</v>
      </c>
      <c r="H240" s="17">
        <v>174</v>
      </c>
      <c r="I240" s="17">
        <v>7128</v>
      </c>
      <c r="J240" s="17">
        <v>6145</v>
      </c>
      <c r="K240" s="17">
        <v>270</v>
      </c>
      <c r="L240" s="41" t="s">
        <v>27</v>
      </c>
      <c r="M240" s="41" t="s">
        <v>35</v>
      </c>
      <c r="N240" s="17">
        <f>Table1_1[[#This Row],[Likes]]+Table1_1[[#This Row],[Shares]]+Table1_1[[#This Row],[Comments]]+Table1_1[[#This Row],[Clicks]]</f>
        <v>2102</v>
      </c>
      <c r="O240" s="36">
        <f>(Table1_1[[#This Row],[Likes]]+Table1_1[[#This Row],[Shares]]+Table1_1[[#This Row],[Comments]])/ Table1_1[[#This Row],[Impressions]]</f>
        <v>0.25701459034792368</v>
      </c>
    </row>
    <row r="241" spans="1:15" x14ac:dyDescent="0.3">
      <c r="A241" t="s">
        <v>430</v>
      </c>
      <c r="B241" s="41" t="s">
        <v>30</v>
      </c>
      <c r="C241" s="42">
        <v>45445</v>
      </c>
      <c r="D241" s="41" t="s">
        <v>32</v>
      </c>
      <c r="E241" t="s">
        <v>33</v>
      </c>
      <c r="F241" s="17">
        <v>84</v>
      </c>
      <c r="G241" s="17">
        <v>897</v>
      </c>
      <c r="H241" s="17">
        <v>85</v>
      </c>
      <c r="I241" s="17">
        <v>588</v>
      </c>
      <c r="J241" s="17">
        <v>8</v>
      </c>
      <c r="K241" s="17">
        <v>12</v>
      </c>
      <c r="L241" s="41" t="s">
        <v>34</v>
      </c>
      <c r="N241" s="17">
        <f>Table1_1[[#This Row],[Likes]]+Table1_1[[#This Row],[Shares]]+Table1_1[[#This Row],[Comments]]+Table1_1[[#This Row],[Clicks]]</f>
        <v>1078</v>
      </c>
      <c r="O241" s="36">
        <f>(Table1_1[[#This Row],[Likes]]+Table1_1[[#This Row],[Shares]]+Table1_1[[#This Row],[Comments]])/ Table1_1[[#This Row],[Impressions]]</f>
        <v>1.8129251700680271</v>
      </c>
    </row>
    <row r="242" spans="1:15" x14ac:dyDescent="0.3">
      <c r="A242" t="s">
        <v>431</v>
      </c>
      <c r="B242" s="41" t="s">
        <v>39</v>
      </c>
      <c r="C242" s="42">
        <v>45739</v>
      </c>
      <c r="D242" s="41" t="s">
        <v>70</v>
      </c>
      <c r="E242" t="s">
        <v>71</v>
      </c>
      <c r="F242" s="17">
        <v>4453</v>
      </c>
      <c r="G242" s="17">
        <v>111</v>
      </c>
      <c r="H242" s="17">
        <v>420</v>
      </c>
      <c r="I242" s="17">
        <v>31171</v>
      </c>
      <c r="J242" s="17">
        <v>30565</v>
      </c>
      <c r="K242" s="17">
        <v>23</v>
      </c>
      <c r="L242" s="41" t="s">
        <v>27</v>
      </c>
      <c r="N242" s="17">
        <f>Table1_1[[#This Row],[Likes]]+Table1_1[[#This Row],[Shares]]+Table1_1[[#This Row],[Comments]]+Table1_1[[#This Row],[Clicks]]</f>
        <v>5007</v>
      </c>
      <c r="O242" s="36">
        <f>(Table1_1[[#This Row],[Likes]]+Table1_1[[#This Row],[Shares]]+Table1_1[[#This Row],[Comments]])/ Table1_1[[#This Row],[Impressions]]</f>
        <v>0.15989220750056141</v>
      </c>
    </row>
    <row r="243" spans="1:15" x14ac:dyDescent="0.3">
      <c r="A243" t="s">
        <v>432</v>
      </c>
      <c r="B243" s="41" t="s">
        <v>39</v>
      </c>
      <c r="C243" s="42">
        <v>45573</v>
      </c>
      <c r="D243" s="41" t="s">
        <v>15</v>
      </c>
      <c r="E243" t="s">
        <v>61</v>
      </c>
      <c r="F243" s="17">
        <v>1814</v>
      </c>
      <c r="G243" s="17">
        <v>653</v>
      </c>
      <c r="H243" s="17">
        <v>363</v>
      </c>
      <c r="I243" s="17">
        <v>25396</v>
      </c>
      <c r="J243" s="17">
        <v>25286</v>
      </c>
      <c r="K243" s="17">
        <v>39</v>
      </c>
      <c r="L243" s="41" t="s">
        <v>58</v>
      </c>
      <c r="M243" s="41" t="s">
        <v>17</v>
      </c>
      <c r="N243" s="17">
        <f>Table1_1[[#This Row],[Likes]]+Table1_1[[#This Row],[Shares]]+Table1_1[[#This Row],[Comments]]+Table1_1[[#This Row],[Clicks]]</f>
        <v>2869</v>
      </c>
      <c r="O243" s="36">
        <f>(Table1_1[[#This Row],[Likes]]+Table1_1[[#This Row],[Shares]]+Table1_1[[#This Row],[Comments]])/ Table1_1[[#This Row],[Impressions]]</f>
        <v>0.11143487163332809</v>
      </c>
    </row>
    <row r="244" spans="1:15" x14ac:dyDescent="0.3">
      <c r="A244" t="s">
        <v>432</v>
      </c>
      <c r="B244" s="41" t="s">
        <v>39</v>
      </c>
      <c r="C244" s="42">
        <v>45573</v>
      </c>
      <c r="D244" s="41" t="s">
        <v>15</v>
      </c>
      <c r="E244" t="s">
        <v>61</v>
      </c>
      <c r="F244" s="17">
        <v>1814</v>
      </c>
      <c r="G244" s="17">
        <v>653</v>
      </c>
      <c r="H244" s="17">
        <v>363</v>
      </c>
      <c r="I244" s="17">
        <v>25396</v>
      </c>
      <c r="J244" s="17">
        <v>25286</v>
      </c>
      <c r="K244" s="17">
        <v>39</v>
      </c>
      <c r="L244" s="41" t="s">
        <v>552</v>
      </c>
      <c r="M244" s="41" t="s">
        <v>17</v>
      </c>
      <c r="N244" s="17">
        <f>Table1_1[[#This Row],[Likes]]+Table1_1[[#This Row],[Shares]]+Table1_1[[#This Row],[Comments]]+Table1_1[[#This Row],[Clicks]]</f>
        <v>2869</v>
      </c>
      <c r="O244" s="36">
        <f>(Table1_1[[#This Row],[Likes]]+Table1_1[[#This Row],[Shares]]+Table1_1[[#This Row],[Comments]])/ Table1_1[[#This Row],[Impressions]]</f>
        <v>0.11143487163332809</v>
      </c>
    </row>
    <row r="245" spans="1:15" x14ac:dyDescent="0.3">
      <c r="A245" t="s">
        <v>434</v>
      </c>
      <c r="B245" s="41" t="s">
        <v>13</v>
      </c>
      <c r="C245" s="42">
        <v>45608</v>
      </c>
      <c r="D245" s="41" t="s">
        <v>48</v>
      </c>
      <c r="E245" t="s">
        <v>127</v>
      </c>
      <c r="F245" s="17">
        <v>3338</v>
      </c>
      <c r="G245" s="17">
        <v>277</v>
      </c>
      <c r="H245" s="17">
        <v>118</v>
      </c>
      <c r="I245" s="17">
        <v>60084</v>
      </c>
      <c r="J245" s="17">
        <v>59842</v>
      </c>
      <c r="K245" s="17">
        <v>252</v>
      </c>
      <c r="L245" s="41" t="s">
        <v>27</v>
      </c>
      <c r="N245" s="17">
        <f>Table1_1[[#This Row],[Likes]]+Table1_1[[#This Row],[Shares]]+Table1_1[[#This Row],[Comments]]+Table1_1[[#This Row],[Clicks]]</f>
        <v>3985</v>
      </c>
      <c r="O245" s="36">
        <f>(Table1_1[[#This Row],[Likes]]+Table1_1[[#This Row],[Shares]]+Table1_1[[#This Row],[Comments]])/ Table1_1[[#This Row],[Impressions]]</f>
        <v>6.2129685107516146E-2</v>
      </c>
    </row>
    <row r="246" spans="1:15" x14ac:dyDescent="0.3">
      <c r="A246" t="s">
        <v>435</v>
      </c>
      <c r="B246" s="41" t="s">
        <v>39</v>
      </c>
      <c r="C246" s="42">
        <v>45790</v>
      </c>
      <c r="D246" s="41" t="s">
        <v>48</v>
      </c>
      <c r="E246" t="s">
        <v>55</v>
      </c>
      <c r="F246" s="17">
        <v>602</v>
      </c>
      <c r="G246" s="17">
        <v>594</v>
      </c>
      <c r="H246" s="17">
        <v>156</v>
      </c>
      <c r="I246" s="17">
        <v>4214</v>
      </c>
      <c r="J246" s="17">
        <v>3363</v>
      </c>
      <c r="K246" s="17">
        <v>164</v>
      </c>
      <c r="L246" s="41" t="s">
        <v>27</v>
      </c>
      <c r="M246" s="41" t="s">
        <v>28</v>
      </c>
      <c r="N246" s="17">
        <f>Table1_1[[#This Row],[Likes]]+Table1_1[[#This Row],[Shares]]+Table1_1[[#This Row],[Comments]]+Table1_1[[#This Row],[Clicks]]</f>
        <v>1516</v>
      </c>
      <c r="O246" s="36">
        <f>(Table1_1[[#This Row],[Likes]]+Table1_1[[#This Row],[Shares]]+Table1_1[[#This Row],[Comments]])/ Table1_1[[#This Row],[Impressions]]</f>
        <v>0.32083531086853345</v>
      </c>
    </row>
    <row r="247" spans="1:15" x14ac:dyDescent="0.3">
      <c r="A247" t="s">
        <v>437</v>
      </c>
      <c r="B247" s="41" t="s">
        <v>13</v>
      </c>
      <c r="C247" s="42">
        <v>45463</v>
      </c>
      <c r="D247" s="41" t="s">
        <v>41</v>
      </c>
      <c r="E247" t="s">
        <v>45</v>
      </c>
      <c r="F247" s="17">
        <v>4672</v>
      </c>
      <c r="G247" s="17">
        <v>325</v>
      </c>
      <c r="H247" s="17">
        <v>32</v>
      </c>
      <c r="I247" s="17">
        <v>88768</v>
      </c>
      <c r="J247" s="17">
        <v>87833</v>
      </c>
      <c r="K247" s="17">
        <v>118</v>
      </c>
      <c r="L247" s="41" t="s">
        <v>34</v>
      </c>
      <c r="N247" s="17">
        <f>Table1_1[[#This Row],[Likes]]+Table1_1[[#This Row],[Shares]]+Table1_1[[#This Row],[Comments]]+Table1_1[[#This Row],[Clicks]]</f>
        <v>5147</v>
      </c>
      <c r="O247" s="36">
        <f>(Table1_1[[#This Row],[Likes]]+Table1_1[[#This Row],[Shares]]+Table1_1[[#This Row],[Comments]])/ Table1_1[[#This Row],[Impressions]]</f>
        <v>5.6653298485940883E-2</v>
      </c>
    </row>
    <row r="248" spans="1:15" x14ac:dyDescent="0.3">
      <c r="A248" t="s">
        <v>438</v>
      </c>
      <c r="B248" s="41" t="s">
        <v>30</v>
      </c>
      <c r="C248" s="42">
        <v>45511</v>
      </c>
      <c r="D248" s="41" t="s">
        <v>41</v>
      </c>
      <c r="E248" t="s">
        <v>84</v>
      </c>
      <c r="F248" s="17">
        <v>1741</v>
      </c>
      <c r="G248" s="17">
        <v>164</v>
      </c>
      <c r="H248" s="17">
        <v>318</v>
      </c>
      <c r="I248" s="17">
        <v>8705</v>
      </c>
      <c r="J248" s="17">
        <v>8272</v>
      </c>
      <c r="K248" s="17">
        <v>121</v>
      </c>
      <c r="L248" s="41" t="s">
        <v>27</v>
      </c>
      <c r="N248" s="17">
        <f>Table1_1[[#This Row],[Likes]]+Table1_1[[#This Row],[Shares]]+Table1_1[[#This Row],[Comments]]+Table1_1[[#This Row],[Clicks]]</f>
        <v>2344</v>
      </c>
      <c r="O248" s="36">
        <f>(Table1_1[[#This Row],[Likes]]+Table1_1[[#This Row],[Shares]]+Table1_1[[#This Row],[Comments]])/ Table1_1[[#This Row],[Impressions]]</f>
        <v>0.25537047673750718</v>
      </c>
    </row>
    <row r="249" spans="1:15" x14ac:dyDescent="0.3">
      <c r="A249" t="s">
        <v>440</v>
      </c>
      <c r="B249" s="41" t="s">
        <v>30</v>
      </c>
      <c r="C249" s="42">
        <v>45455</v>
      </c>
      <c r="D249" s="41" t="s">
        <v>20</v>
      </c>
      <c r="E249" t="s">
        <v>108</v>
      </c>
      <c r="F249" s="17">
        <v>246</v>
      </c>
      <c r="G249" s="17">
        <v>149</v>
      </c>
      <c r="H249" s="17">
        <v>130</v>
      </c>
      <c r="I249" s="17">
        <v>4674</v>
      </c>
      <c r="J249" s="17">
        <v>4390</v>
      </c>
      <c r="K249" s="17">
        <v>217</v>
      </c>
      <c r="L249" s="41" t="s">
        <v>58</v>
      </c>
      <c r="M249" s="41" t="s">
        <v>28</v>
      </c>
      <c r="N249" s="17">
        <f>Table1_1[[#This Row],[Likes]]+Table1_1[[#This Row],[Shares]]+Table1_1[[#This Row],[Comments]]+Table1_1[[#This Row],[Clicks]]</f>
        <v>742</v>
      </c>
      <c r="O249" s="36">
        <f>(Table1_1[[#This Row],[Likes]]+Table1_1[[#This Row],[Shares]]+Table1_1[[#This Row],[Comments]])/ Table1_1[[#This Row],[Impressions]]</f>
        <v>0.11232349165596919</v>
      </c>
    </row>
    <row r="250" spans="1:15" x14ac:dyDescent="0.3">
      <c r="A250" t="s">
        <v>442</v>
      </c>
      <c r="B250" s="41" t="s">
        <v>30</v>
      </c>
      <c r="C250" s="42">
        <v>45474</v>
      </c>
      <c r="D250" s="41" t="s">
        <v>32</v>
      </c>
      <c r="E250" t="s">
        <v>33</v>
      </c>
      <c r="F250" s="17">
        <v>4808</v>
      </c>
      <c r="G250" s="17">
        <v>772</v>
      </c>
      <c r="H250" s="17">
        <v>320</v>
      </c>
      <c r="I250" s="17">
        <v>72120</v>
      </c>
      <c r="J250" s="17">
        <v>71696</v>
      </c>
      <c r="K250" s="17">
        <v>195</v>
      </c>
      <c r="L250" s="41" t="s">
        <v>34</v>
      </c>
      <c r="M250" s="41" t="s">
        <v>17</v>
      </c>
      <c r="N250" s="17">
        <f>Table1_1[[#This Row],[Likes]]+Table1_1[[#This Row],[Shares]]+Table1_1[[#This Row],[Comments]]+Table1_1[[#This Row],[Clicks]]</f>
        <v>6095</v>
      </c>
      <c r="O250" s="36">
        <f>(Table1_1[[#This Row],[Likes]]+Table1_1[[#This Row],[Shares]]+Table1_1[[#This Row],[Comments]])/ Table1_1[[#This Row],[Impressions]]</f>
        <v>8.1808097615085965E-2</v>
      </c>
    </row>
    <row r="251" spans="1:15" x14ac:dyDescent="0.3">
      <c r="A251" t="s">
        <v>444</v>
      </c>
      <c r="B251" s="41" t="s">
        <v>30</v>
      </c>
      <c r="C251" s="42">
        <v>45476</v>
      </c>
      <c r="D251" s="41" t="s">
        <v>41</v>
      </c>
      <c r="E251" t="s">
        <v>84</v>
      </c>
      <c r="F251" s="17">
        <v>4799</v>
      </c>
      <c r="G251" s="17">
        <v>694</v>
      </c>
      <c r="H251" s="17">
        <v>289</v>
      </c>
      <c r="I251" s="17">
        <v>43191</v>
      </c>
      <c r="J251" s="17">
        <v>42228</v>
      </c>
      <c r="K251" s="17">
        <v>118</v>
      </c>
      <c r="L251" s="41" t="s">
        <v>27</v>
      </c>
      <c r="N251" s="17">
        <f>Table1_1[[#This Row],[Likes]]+Table1_1[[#This Row],[Shares]]+Table1_1[[#This Row],[Comments]]+Table1_1[[#This Row],[Clicks]]</f>
        <v>5900</v>
      </c>
      <c r="O251" s="36">
        <f>(Table1_1[[#This Row],[Likes]]+Table1_1[[#This Row],[Shares]]+Table1_1[[#This Row],[Comments]])/ Table1_1[[#This Row],[Impressions]]</f>
        <v>0.13387048227640017</v>
      </c>
    </row>
    <row r="252" spans="1:15" x14ac:dyDescent="0.3">
      <c r="A252" t="s">
        <v>445</v>
      </c>
      <c r="B252" s="41" t="s">
        <v>39</v>
      </c>
      <c r="C252" s="42">
        <v>45488</v>
      </c>
      <c r="D252" s="41" t="s">
        <v>15</v>
      </c>
      <c r="E252" t="s">
        <v>61</v>
      </c>
      <c r="F252" s="17">
        <v>3663</v>
      </c>
      <c r="G252" s="17">
        <v>17</v>
      </c>
      <c r="H252" s="17">
        <v>295</v>
      </c>
      <c r="I252" s="17">
        <v>51282</v>
      </c>
      <c r="J252" s="17">
        <v>50567</v>
      </c>
      <c r="K252" s="17">
        <v>84</v>
      </c>
      <c r="L252" s="41" t="s">
        <v>34</v>
      </c>
      <c r="M252" s="41" t="s">
        <v>28</v>
      </c>
      <c r="N252" s="17">
        <f>Table1_1[[#This Row],[Likes]]+Table1_1[[#This Row],[Shares]]+Table1_1[[#This Row],[Comments]]+Table1_1[[#This Row],[Clicks]]</f>
        <v>4059</v>
      </c>
      <c r="O252" s="36">
        <f>(Table1_1[[#This Row],[Likes]]+Table1_1[[#This Row],[Shares]]+Table1_1[[#This Row],[Comments]])/ Table1_1[[#This Row],[Impressions]]</f>
        <v>7.7512577512577507E-2</v>
      </c>
    </row>
    <row r="253" spans="1:15" x14ac:dyDescent="0.3">
      <c r="A253" t="s">
        <v>446</v>
      </c>
      <c r="B253" s="41" t="s">
        <v>30</v>
      </c>
      <c r="C253" s="42">
        <v>45778</v>
      </c>
      <c r="D253" s="41" t="s">
        <v>20</v>
      </c>
      <c r="E253" t="s">
        <v>108</v>
      </c>
      <c r="F253" s="17">
        <v>1430</v>
      </c>
      <c r="G253" s="17">
        <v>376</v>
      </c>
      <c r="H253" s="17">
        <v>33</v>
      </c>
      <c r="I253" s="17">
        <v>21450</v>
      </c>
      <c r="J253" s="17">
        <v>20509</v>
      </c>
      <c r="K253" s="17">
        <v>251</v>
      </c>
      <c r="L253" s="41" t="s">
        <v>58</v>
      </c>
      <c r="M253" s="41" t="s">
        <v>17</v>
      </c>
      <c r="N253" s="17">
        <f>Table1_1[[#This Row],[Likes]]+Table1_1[[#This Row],[Shares]]+Table1_1[[#This Row],[Comments]]+Table1_1[[#This Row],[Clicks]]</f>
        <v>2090</v>
      </c>
      <c r="O253" s="36">
        <f>(Table1_1[[#This Row],[Likes]]+Table1_1[[#This Row],[Shares]]+Table1_1[[#This Row],[Comments]])/ Table1_1[[#This Row],[Impressions]]</f>
        <v>8.5734265734265735E-2</v>
      </c>
    </row>
    <row r="254" spans="1:15" x14ac:dyDescent="0.3">
      <c r="A254" t="s">
        <v>447</v>
      </c>
      <c r="B254" s="41" t="s">
        <v>13</v>
      </c>
      <c r="C254" s="42">
        <v>45776</v>
      </c>
      <c r="D254" s="41" t="s">
        <v>32</v>
      </c>
      <c r="E254" t="s">
        <v>144</v>
      </c>
      <c r="F254" s="17">
        <v>249</v>
      </c>
      <c r="G254" s="17">
        <v>592</v>
      </c>
      <c r="H254" s="17">
        <v>230</v>
      </c>
      <c r="I254" s="17">
        <v>1494</v>
      </c>
      <c r="J254" s="17">
        <v>1044</v>
      </c>
      <c r="K254" s="17">
        <v>201</v>
      </c>
      <c r="L254" s="41" t="s">
        <v>34</v>
      </c>
      <c r="M254" s="41" t="s">
        <v>35</v>
      </c>
      <c r="N254" s="17">
        <f>Table1_1[[#This Row],[Likes]]+Table1_1[[#This Row],[Shares]]+Table1_1[[#This Row],[Comments]]+Table1_1[[#This Row],[Clicks]]</f>
        <v>1272</v>
      </c>
      <c r="O254" s="36">
        <f>(Table1_1[[#This Row],[Likes]]+Table1_1[[#This Row],[Shares]]+Table1_1[[#This Row],[Comments]])/ Table1_1[[#This Row],[Impressions]]</f>
        <v>0.7168674698795181</v>
      </c>
    </row>
    <row r="255" spans="1:15" x14ac:dyDescent="0.3">
      <c r="A255" t="s">
        <v>449</v>
      </c>
      <c r="B255" s="41" t="s">
        <v>39</v>
      </c>
      <c r="C255" s="42">
        <v>45724</v>
      </c>
      <c r="D255" s="41" t="s">
        <v>48</v>
      </c>
      <c r="E255" t="s">
        <v>55</v>
      </c>
      <c r="F255" s="17">
        <v>2382</v>
      </c>
      <c r="G255" s="17">
        <v>265</v>
      </c>
      <c r="H255" s="17">
        <v>134</v>
      </c>
      <c r="I255" s="17">
        <v>38112</v>
      </c>
      <c r="J255" s="17">
        <v>37437</v>
      </c>
      <c r="K255" s="17">
        <v>249</v>
      </c>
      <c r="L255" s="41" t="s">
        <v>58</v>
      </c>
      <c r="M255" s="41" t="s">
        <v>35</v>
      </c>
      <c r="N255" s="17">
        <f>Table1_1[[#This Row],[Likes]]+Table1_1[[#This Row],[Shares]]+Table1_1[[#This Row],[Comments]]+Table1_1[[#This Row],[Clicks]]</f>
        <v>3030</v>
      </c>
      <c r="O255" s="36">
        <f>(Table1_1[[#This Row],[Likes]]+Table1_1[[#This Row],[Shares]]+Table1_1[[#This Row],[Comments]])/ Table1_1[[#This Row],[Impressions]]</f>
        <v>7.2969143576826198E-2</v>
      </c>
    </row>
    <row r="256" spans="1:15" x14ac:dyDescent="0.3">
      <c r="A256" t="s">
        <v>450</v>
      </c>
      <c r="B256" s="41" t="s">
        <v>39</v>
      </c>
      <c r="C256" s="42">
        <v>45444</v>
      </c>
      <c r="D256" s="41" t="s">
        <v>20</v>
      </c>
      <c r="E256" t="s">
        <v>52</v>
      </c>
      <c r="F256" s="17">
        <v>1272</v>
      </c>
      <c r="G256" s="17">
        <v>465</v>
      </c>
      <c r="H256" s="17">
        <v>99</v>
      </c>
      <c r="I256" s="17">
        <v>24168</v>
      </c>
      <c r="J256" s="17">
        <v>23719</v>
      </c>
      <c r="K256" s="17">
        <v>42</v>
      </c>
      <c r="L256" s="41" t="s">
        <v>27</v>
      </c>
      <c r="N256" s="17">
        <f>Table1_1[[#This Row],[Likes]]+Table1_1[[#This Row],[Shares]]+Table1_1[[#This Row],[Comments]]+Table1_1[[#This Row],[Clicks]]</f>
        <v>1878</v>
      </c>
      <c r="O256" s="36">
        <f>(Table1_1[[#This Row],[Likes]]+Table1_1[[#This Row],[Shares]]+Table1_1[[#This Row],[Comments]])/ Table1_1[[#This Row],[Impressions]]</f>
        <v>7.5968222442899705E-2</v>
      </c>
    </row>
    <row r="257" spans="1:15" x14ac:dyDescent="0.3">
      <c r="A257" t="s">
        <v>452</v>
      </c>
      <c r="B257" s="41" t="s">
        <v>39</v>
      </c>
      <c r="C257" s="42">
        <v>45648</v>
      </c>
      <c r="D257" s="41" t="s">
        <v>48</v>
      </c>
      <c r="E257" t="s">
        <v>55</v>
      </c>
      <c r="F257" s="17">
        <v>3196</v>
      </c>
      <c r="G257" s="17">
        <v>941</v>
      </c>
      <c r="H257" s="17">
        <v>376</v>
      </c>
      <c r="I257" s="17">
        <v>35156</v>
      </c>
      <c r="J257" s="17">
        <v>34444</v>
      </c>
      <c r="K257" s="17">
        <v>241</v>
      </c>
      <c r="L257" s="41" t="s">
        <v>27</v>
      </c>
      <c r="M257" s="41" t="s">
        <v>28</v>
      </c>
      <c r="N257" s="17">
        <f>Table1_1[[#This Row],[Likes]]+Table1_1[[#This Row],[Shares]]+Table1_1[[#This Row],[Comments]]+Table1_1[[#This Row],[Clicks]]</f>
        <v>4754</v>
      </c>
      <c r="O257" s="36">
        <f>(Table1_1[[#This Row],[Likes]]+Table1_1[[#This Row],[Shares]]+Table1_1[[#This Row],[Comments]])/ Table1_1[[#This Row],[Impressions]]</f>
        <v>0.1283706906360223</v>
      </c>
    </row>
    <row r="258" spans="1:15" x14ac:dyDescent="0.3">
      <c r="A258" t="s">
        <v>453</v>
      </c>
      <c r="B258" s="41" t="s">
        <v>39</v>
      </c>
      <c r="C258" s="42">
        <v>45523</v>
      </c>
      <c r="D258" s="41" t="s">
        <v>20</v>
      </c>
      <c r="E258" t="s">
        <v>52</v>
      </c>
      <c r="F258" s="17">
        <v>1257</v>
      </c>
      <c r="G258" s="17">
        <v>19</v>
      </c>
      <c r="H258" s="17">
        <v>351</v>
      </c>
      <c r="I258" s="17">
        <v>12570</v>
      </c>
      <c r="J258" s="17">
        <v>11660</v>
      </c>
      <c r="K258" s="17">
        <v>194</v>
      </c>
      <c r="L258" s="41" t="s">
        <v>58</v>
      </c>
      <c r="M258" s="41" t="s">
        <v>22</v>
      </c>
      <c r="N258" s="17">
        <f>Table1_1[[#This Row],[Likes]]+Table1_1[[#This Row],[Shares]]+Table1_1[[#This Row],[Comments]]+Table1_1[[#This Row],[Clicks]]</f>
        <v>1821</v>
      </c>
      <c r="O258" s="36">
        <f>(Table1_1[[#This Row],[Likes]]+Table1_1[[#This Row],[Shares]]+Table1_1[[#This Row],[Comments]])/ Table1_1[[#This Row],[Impressions]]</f>
        <v>0.12943516308671441</v>
      </c>
    </row>
    <row r="259" spans="1:15" x14ac:dyDescent="0.3">
      <c r="A259" t="s">
        <v>453</v>
      </c>
      <c r="B259" s="41" t="s">
        <v>39</v>
      </c>
      <c r="C259" s="42">
        <v>45523</v>
      </c>
      <c r="D259" s="41" t="s">
        <v>20</v>
      </c>
      <c r="E259" t="s">
        <v>52</v>
      </c>
      <c r="F259" s="17">
        <v>1257</v>
      </c>
      <c r="G259" s="17">
        <v>19</v>
      </c>
      <c r="H259" s="17">
        <v>351</v>
      </c>
      <c r="I259" s="17">
        <v>12570</v>
      </c>
      <c r="J259" s="17">
        <v>11660</v>
      </c>
      <c r="K259" s="17">
        <v>194</v>
      </c>
      <c r="L259" s="41" t="s">
        <v>551</v>
      </c>
      <c r="M259" s="41" t="s">
        <v>22</v>
      </c>
      <c r="N259" s="17">
        <f>Table1_1[[#This Row],[Likes]]+Table1_1[[#This Row],[Shares]]+Table1_1[[#This Row],[Comments]]+Table1_1[[#This Row],[Clicks]]</f>
        <v>1821</v>
      </c>
      <c r="O259" s="36">
        <f>(Table1_1[[#This Row],[Likes]]+Table1_1[[#This Row],[Shares]]+Table1_1[[#This Row],[Comments]])/ Table1_1[[#This Row],[Impressions]]</f>
        <v>0.12943516308671441</v>
      </c>
    </row>
    <row r="260" spans="1:15" x14ac:dyDescent="0.3">
      <c r="A260" t="s">
        <v>453</v>
      </c>
      <c r="B260" s="41" t="s">
        <v>39</v>
      </c>
      <c r="C260" s="42">
        <v>45523</v>
      </c>
      <c r="D260" s="41" t="s">
        <v>20</v>
      </c>
      <c r="E260" t="s">
        <v>52</v>
      </c>
      <c r="F260" s="17">
        <v>1257</v>
      </c>
      <c r="G260" s="17">
        <v>19</v>
      </c>
      <c r="H260" s="17">
        <v>351</v>
      </c>
      <c r="I260" s="17">
        <v>12570</v>
      </c>
      <c r="J260" s="17">
        <v>11660</v>
      </c>
      <c r="K260" s="17">
        <v>194</v>
      </c>
      <c r="L260" s="41" t="s">
        <v>34</v>
      </c>
      <c r="M260" s="41" t="s">
        <v>22</v>
      </c>
      <c r="N260" s="17">
        <f>Table1_1[[#This Row],[Likes]]+Table1_1[[#This Row],[Shares]]+Table1_1[[#This Row],[Comments]]+Table1_1[[#This Row],[Clicks]]</f>
        <v>1821</v>
      </c>
      <c r="O260" s="36">
        <f>(Table1_1[[#This Row],[Likes]]+Table1_1[[#This Row],[Shares]]+Table1_1[[#This Row],[Comments]])/ Table1_1[[#This Row],[Impressions]]</f>
        <v>0.12943516308671441</v>
      </c>
    </row>
    <row r="261" spans="1:15" x14ac:dyDescent="0.3">
      <c r="A261" t="s">
        <v>454</v>
      </c>
      <c r="B261" s="41" t="s">
        <v>30</v>
      </c>
      <c r="C261" s="42">
        <v>45587</v>
      </c>
      <c r="D261" s="41" t="s">
        <v>32</v>
      </c>
      <c r="E261" t="s">
        <v>33</v>
      </c>
      <c r="F261" s="17">
        <v>3770</v>
      </c>
      <c r="G261" s="17">
        <v>917</v>
      </c>
      <c r="H261" s="17">
        <v>129</v>
      </c>
      <c r="I261" s="17">
        <v>71630</v>
      </c>
      <c r="J261" s="17">
        <v>71322</v>
      </c>
      <c r="K261" s="17">
        <v>76</v>
      </c>
      <c r="L261" s="41" t="s">
        <v>58</v>
      </c>
      <c r="M261" s="41" t="s">
        <v>17</v>
      </c>
      <c r="N261" s="17">
        <f>Table1_1[[#This Row],[Likes]]+Table1_1[[#This Row],[Shares]]+Table1_1[[#This Row],[Comments]]+Table1_1[[#This Row],[Clicks]]</f>
        <v>4892</v>
      </c>
      <c r="O261" s="36">
        <f>(Table1_1[[#This Row],[Likes]]+Table1_1[[#This Row],[Shares]]+Table1_1[[#This Row],[Comments]])/ Table1_1[[#This Row],[Impressions]]</f>
        <v>6.7234398994834563E-2</v>
      </c>
    </row>
    <row r="262" spans="1:15" x14ac:dyDescent="0.3">
      <c r="A262" t="s">
        <v>455</v>
      </c>
      <c r="B262" s="41" t="s">
        <v>13</v>
      </c>
      <c r="C262" s="42">
        <v>45489</v>
      </c>
      <c r="D262" s="41" t="s">
        <v>20</v>
      </c>
      <c r="E262" t="s">
        <v>21</v>
      </c>
      <c r="F262" s="17">
        <v>4725</v>
      </c>
      <c r="G262" s="17">
        <v>400</v>
      </c>
      <c r="H262" s="17">
        <v>362</v>
      </c>
      <c r="I262" s="17">
        <v>75600</v>
      </c>
      <c r="J262" s="17">
        <v>74927</v>
      </c>
      <c r="K262" s="17">
        <v>43</v>
      </c>
      <c r="L262" s="41" t="s">
        <v>58</v>
      </c>
      <c r="M262" s="41" t="s">
        <v>35</v>
      </c>
      <c r="N262" s="17">
        <f>Table1_1[[#This Row],[Likes]]+Table1_1[[#This Row],[Shares]]+Table1_1[[#This Row],[Comments]]+Table1_1[[#This Row],[Clicks]]</f>
        <v>5530</v>
      </c>
      <c r="O262" s="36">
        <f>(Table1_1[[#This Row],[Likes]]+Table1_1[[#This Row],[Shares]]+Table1_1[[#This Row],[Comments]])/ Table1_1[[#This Row],[Impressions]]</f>
        <v>7.2579365079365077E-2</v>
      </c>
    </row>
    <row r="263" spans="1:15" x14ac:dyDescent="0.3">
      <c r="A263" t="s">
        <v>457</v>
      </c>
      <c r="B263" s="41" t="s">
        <v>24</v>
      </c>
      <c r="C263" s="42">
        <v>45712</v>
      </c>
      <c r="D263" s="41" t="s">
        <v>20</v>
      </c>
      <c r="E263" t="s">
        <v>99</v>
      </c>
      <c r="F263" s="17">
        <v>4188</v>
      </c>
      <c r="G263" s="17">
        <v>942</v>
      </c>
      <c r="H263" s="17">
        <v>118</v>
      </c>
      <c r="I263" s="17">
        <v>20940</v>
      </c>
      <c r="J263" s="17">
        <v>20471</v>
      </c>
      <c r="K263" s="17">
        <v>102</v>
      </c>
      <c r="L263" s="41" t="s">
        <v>58</v>
      </c>
      <c r="N263" s="17">
        <f>Table1_1[[#This Row],[Likes]]+Table1_1[[#This Row],[Shares]]+Table1_1[[#This Row],[Comments]]+Table1_1[[#This Row],[Clicks]]</f>
        <v>5350</v>
      </c>
      <c r="O263" s="36">
        <f>(Table1_1[[#This Row],[Likes]]+Table1_1[[#This Row],[Shares]]+Table1_1[[#This Row],[Comments]])/ Table1_1[[#This Row],[Impressions]]</f>
        <v>0.25062082139446035</v>
      </c>
    </row>
    <row r="264" spans="1:15" x14ac:dyDescent="0.3">
      <c r="A264" t="s">
        <v>458</v>
      </c>
      <c r="B264" s="41" t="s">
        <v>13</v>
      </c>
      <c r="C264" s="42">
        <v>45530</v>
      </c>
      <c r="D264" s="41" t="s">
        <v>41</v>
      </c>
      <c r="E264" t="s">
        <v>45</v>
      </c>
      <c r="F264" s="17">
        <v>929</v>
      </c>
      <c r="G264" s="17">
        <v>192</v>
      </c>
      <c r="H264" s="17">
        <v>322</v>
      </c>
      <c r="I264" s="17">
        <v>16722</v>
      </c>
      <c r="J264" s="17">
        <v>15996</v>
      </c>
      <c r="K264" s="17">
        <v>145</v>
      </c>
      <c r="L264" s="41" t="s">
        <v>34</v>
      </c>
      <c r="M264" s="41" t="s">
        <v>28</v>
      </c>
      <c r="N264" s="17">
        <f>Table1_1[[#This Row],[Likes]]+Table1_1[[#This Row],[Shares]]+Table1_1[[#This Row],[Comments]]+Table1_1[[#This Row],[Clicks]]</f>
        <v>1588</v>
      </c>
      <c r="O264" s="36">
        <f>(Table1_1[[#This Row],[Likes]]+Table1_1[[#This Row],[Shares]]+Table1_1[[#This Row],[Comments]])/ Table1_1[[#This Row],[Impressions]]</f>
        <v>8.6293505561535699E-2</v>
      </c>
    </row>
    <row r="265" spans="1:15" x14ac:dyDescent="0.3">
      <c r="A265" t="s">
        <v>458</v>
      </c>
      <c r="B265" s="41" t="s">
        <v>13</v>
      </c>
      <c r="C265" s="42">
        <v>45530</v>
      </c>
      <c r="D265" s="41" t="s">
        <v>41</v>
      </c>
      <c r="E265" t="s">
        <v>45</v>
      </c>
      <c r="F265" s="17">
        <v>929</v>
      </c>
      <c r="G265" s="17">
        <v>192</v>
      </c>
      <c r="H265" s="17">
        <v>322</v>
      </c>
      <c r="I265" s="17">
        <v>16722</v>
      </c>
      <c r="J265" s="17">
        <v>15996</v>
      </c>
      <c r="K265" s="17">
        <v>145</v>
      </c>
      <c r="L265" s="41" t="s">
        <v>27</v>
      </c>
      <c r="M265" s="41" t="s">
        <v>28</v>
      </c>
      <c r="N265" s="17">
        <f>Table1_1[[#This Row],[Likes]]+Table1_1[[#This Row],[Shares]]+Table1_1[[#This Row],[Comments]]+Table1_1[[#This Row],[Clicks]]</f>
        <v>1588</v>
      </c>
      <c r="O265" s="36">
        <f>(Table1_1[[#This Row],[Likes]]+Table1_1[[#This Row],[Shares]]+Table1_1[[#This Row],[Comments]])/ Table1_1[[#This Row],[Impressions]]</f>
        <v>8.6293505561535699E-2</v>
      </c>
    </row>
    <row r="266" spans="1:15" x14ac:dyDescent="0.3">
      <c r="A266" t="s">
        <v>458</v>
      </c>
      <c r="B266" s="41" t="s">
        <v>13</v>
      </c>
      <c r="C266" s="42">
        <v>45530</v>
      </c>
      <c r="D266" s="41" t="s">
        <v>41</v>
      </c>
      <c r="E266" t="s">
        <v>45</v>
      </c>
      <c r="F266" s="17">
        <v>929</v>
      </c>
      <c r="G266" s="17">
        <v>192</v>
      </c>
      <c r="H266" s="17">
        <v>322</v>
      </c>
      <c r="I266" s="17">
        <v>16722</v>
      </c>
      <c r="J266" s="17">
        <v>15996</v>
      </c>
      <c r="K266" s="17">
        <v>145</v>
      </c>
      <c r="L266" s="41" t="s">
        <v>551</v>
      </c>
      <c r="M266" s="41" t="s">
        <v>28</v>
      </c>
      <c r="N266" s="17">
        <f>Table1_1[[#This Row],[Likes]]+Table1_1[[#This Row],[Shares]]+Table1_1[[#This Row],[Comments]]+Table1_1[[#This Row],[Clicks]]</f>
        <v>1588</v>
      </c>
      <c r="O266" s="36">
        <f>(Table1_1[[#This Row],[Likes]]+Table1_1[[#This Row],[Shares]]+Table1_1[[#This Row],[Comments]])/ Table1_1[[#This Row],[Impressions]]</f>
        <v>8.6293505561535699E-2</v>
      </c>
    </row>
    <row r="267" spans="1:15" x14ac:dyDescent="0.3">
      <c r="A267" t="s">
        <v>459</v>
      </c>
      <c r="B267" s="41" t="s">
        <v>39</v>
      </c>
      <c r="C267" s="42">
        <v>45675</v>
      </c>
      <c r="D267" s="41" t="s">
        <v>32</v>
      </c>
      <c r="E267" t="s">
        <v>67</v>
      </c>
      <c r="F267" s="17">
        <v>4321</v>
      </c>
      <c r="G267" s="17">
        <v>874</v>
      </c>
      <c r="H267" s="17">
        <v>172</v>
      </c>
      <c r="I267" s="17">
        <v>30247</v>
      </c>
      <c r="J267" s="17">
        <v>29254</v>
      </c>
      <c r="K267" s="17">
        <v>122</v>
      </c>
      <c r="L267" s="41" t="s">
        <v>27</v>
      </c>
      <c r="M267" s="41" t="s">
        <v>35</v>
      </c>
      <c r="N267" s="17">
        <f>Table1_1[[#This Row],[Likes]]+Table1_1[[#This Row],[Shares]]+Table1_1[[#This Row],[Comments]]+Table1_1[[#This Row],[Clicks]]</f>
        <v>5489</v>
      </c>
      <c r="O267" s="36">
        <f>(Table1_1[[#This Row],[Likes]]+Table1_1[[#This Row],[Shares]]+Table1_1[[#This Row],[Comments]])/ Table1_1[[#This Row],[Impressions]]</f>
        <v>0.17743908486792079</v>
      </c>
    </row>
    <row r="268" spans="1:15" x14ac:dyDescent="0.3">
      <c r="A268" t="s">
        <v>461</v>
      </c>
      <c r="B268" s="41" t="s">
        <v>39</v>
      </c>
      <c r="C268" s="42">
        <v>45480</v>
      </c>
      <c r="D268" s="41" t="s">
        <v>15</v>
      </c>
      <c r="E268" t="s">
        <v>61</v>
      </c>
      <c r="F268" s="17">
        <v>4767</v>
      </c>
      <c r="G268" s="17">
        <v>190</v>
      </c>
      <c r="H268" s="17">
        <v>340</v>
      </c>
      <c r="I268" s="17">
        <v>28602</v>
      </c>
      <c r="J268" s="17">
        <v>28044</v>
      </c>
      <c r="K268" s="17">
        <v>210</v>
      </c>
      <c r="L268" s="41" t="s">
        <v>34</v>
      </c>
      <c r="M268" s="41" t="s">
        <v>28</v>
      </c>
      <c r="N268" s="17">
        <f>Table1_1[[#This Row],[Likes]]+Table1_1[[#This Row],[Shares]]+Table1_1[[#This Row],[Comments]]+Table1_1[[#This Row],[Clicks]]</f>
        <v>5507</v>
      </c>
      <c r="O268" s="36">
        <f>(Table1_1[[#This Row],[Likes]]+Table1_1[[#This Row],[Shares]]+Table1_1[[#This Row],[Comments]])/ Table1_1[[#This Row],[Impressions]]</f>
        <v>0.18519683938186141</v>
      </c>
    </row>
    <row r="269" spans="1:15" x14ac:dyDescent="0.3">
      <c r="A269" t="s">
        <v>462</v>
      </c>
      <c r="B269" s="41" t="s">
        <v>13</v>
      </c>
      <c r="C269" s="42">
        <v>45722</v>
      </c>
      <c r="D269" s="41" t="s">
        <v>48</v>
      </c>
      <c r="E269" t="s">
        <v>127</v>
      </c>
      <c r="F269" s="17">
        <v>3592</v>
      </c>
      <c r="G269" s="17">
        <v>911</v>
      </c>
      <c r="H269" s="17">
        <v>375</v>
      </c>
      <c r="I269" s="17">
        <v>50288</v>
      </c>
      <c r="J269" s="17">
        <v>49490</v>
      </c>
      <c r="K269" s="17">
        <v>32</v>
      </c>
      <c r="L269" s="41" t="s">
        <v>58</v>
      </c>
      <c r="M269" s="41" t="s">
        <v>35</v>
      </c>
      <c r="N269" s="17">
        <f>Table1_1[[#This Row],[Likes]]+Table1_1[[#This Row],[Shares]]+Table1_1[[#This Row],[Comments]]+Table1_1[[#This Row],[Clicks]]</f>
        <v>4910</v>
      </c>
      <c r="O269" s="36">
        <f>(Table1_1[[#This Row],[Likes]]+Table1_1[[#This Row],[Shares]]+Table1_1[[#This Row],[Comments]])/ Table1_1[[#This Row],[Impressions]]</f>
        <v>9.7001272669424113E-2</v>
      </c>
    </row>
    <row r="270" spans="1:15" x14ac:dyDescent="0.3">
      <c r="A270" t="s">
        <v>464</v>
      </c>
      <c r="B270" s="41" t="s">
        <v>24</v>
      </c>
      <c r="C270" s="42">
        <v>45590</v>
      </c>
      <c r="D270" s="41" t="s">
        <v>70</v>
      </c>
      <c r="E270" t="s">
        <v>211</v>
      </c>
      <c r="F270" s="17">
        <v>4661</v>
      </c>
      <c r="G270" s="17">
        <v>935</v>
      </c>
      <c r="H270" s="17">
        <v>433</v>
      </c>
      <c r="I270" s="17">
        <v>23305</v>
      </c>
      <c r="J270" s="17">
        <v>22583</v>
      </c>
      <c r="K270" s="17">
        <v>63</v>
      </c>
      <c r="L270" s="41" t="s">
        <v>58</v>
      </c>
      <c r="M270" s="41" t="s">
        <v>28</v>
      </c>
      <c r="N270" s="17">
        <f>Table1_1[[#This Row],[Likes]]+Table1_1[[#This Row],[Shares]]+Table1_1[[#This Row],[Comments]]+Table1_1[[#This Row],[Clicks]]</f>
        <v>6092</v>
      </c>
      <c r="O270" s="36">
        <f>(Table1_1[[#This Row],[Likes]]+Table1_1[[#This Row],[Shares]]+Table1_1[[#This Row],[Comments]])/ Table1_1[[#This Row],[Impressions]]</f>
        <v>0.25869984981763572</v>
      </c>
    </row>
    <row r="271" spans="1:15" x14ac:dyDescent="0.3">
      <c r="A271" t="s">
        <v>466</v>
      </c>
      <c r="B271" s="41" t="s">
        <v>39</v>
      </c>
      <c r="C271" s="42">
        <v>45669</v>
      </c>
      <c r="D271" s="41" t="s">
        <v>15</v>
      </c>
      <c r="E271" t="s">
        <v>61</v>
      </c>
      <c r="F271" s="17">
        <v>4134</v>
      </c>
      <c r="G271" s="17">
        <v>824</v>
      </c>
      <c r="H271" s="17">
        <v>99</v>
      </c>
      <c r="I271" s="17">
        <v>41340</v>
      </c>
      <c r="J271" s="17">
        <v>41050</v>
      </c>
      <c r="K271" s="17">
        <v>177</v>
      </c>
      <c r="L271" s="41" t="s">
        <v>34</v>
      </c>
      <c r="M271" s="41" t="s">
        <v>17</v>
      </c>
      <c r="N271" s="17">
        <f>Table1_1[[#This Row],[Likes]]+Table1_1[[#This Row],[Shares]]+Table1_1[[#This Row],[Comments]]+Table1_1[[#This Row],[Clicks]]</f>
        <v>5234</v>
      </c>
      <c r="O271" s="36">
        <f>(Table1_1[[#This Row],[Likes]]+Table1_1[[#This Row],[Shares]]+Table1_1[[#This Row],[Comments]])/ Table1_1[[#This Row],[Impressions]]</f>
        <v>0.12232704402515723</v>
      </c>
    </row>
    <row r="272" spans="1:15" x14ac:dyDescent="0.3">
      <c r="A272" t="s">
        <v>468</v>
      </c>
      <c r="B272" s="41" t="s">
        <v>39</v>
      </c>
      <c r="C272" s="42">
        <v>45576</v>
      </c>
      <c r="D272" s="41" t="s">
        <v>48</v>
      </c>
      <c r="E272" t="s">
        <v>55</v>
      </c>
      <c r="F272" s="17">
        <v>400</v>
      </c>
      <c r="G272" s="17">
        <v>680</v>
      </c>
      <c r="H272" s="17">
        <v>434</v>
      </c>
      <c r="I272" s="17">
        <v>6400</v>
      </c>
      <c r="J272" s="17">
        <v>5472</v>
      </c>
      <c r="K272" s="17">
        <v>160</v>
      </c>
      <c r="L272" s="41" t="s">
        <v>58</v>
      </c>
      <c r="M272" s="41" t="s">
        <v>22</v>
      </c>
      <c r="N272" s="17">
        <f>Table1_1[[#This Row],[Likes]]+Table1_1[[#This Row],[Shares]]+Table1_1[[#This Row],[Comments]]+Table1_1[[#This Row],[Clicks]]</f>
        <v>1674</v>
      </c>
      <c r="O272" s="36">
        <f>(Table1_1[[#This Row],[Likes]]+Table1_1[[#This Row],[Shares]]+Table1_1[[#This Row],[Comments]])/ Table1_1[[#This Row],[Impressions]]</f>
        <v>0.23656250000000001</v>
      </c>
    </row>
    <row r="273" spans="1:15" x14ac:dyDescent="0.3">
      <c r="A273" t="s">
        <v>470</v>
      </c>
      <c r="B273" s="41" t="s">
        <v>39</v>
      </c>
      <c r="C273" s="42">
        <v>45531</v>
      </c>
      <c r="D273" s="41" t="s">
        <v>15</v>
      </c>
      <c r="E273" t="s">
        <v>61</v>
      </c>
      <c r="F273" s="17">
        <v>3960</v>
      </c>
      <c r="G273" s="17">
        <v>266</v>
      </c>
      <c r="H273" s="17">
        <v>8</v>
      </c>
      <c r="I273" s="17">
        <v>35640</v>
      </c>
      <c r="J273" s="17">
        <v>34850</v>
      </c>
      <c r="K273" s="17">
        <v>208</v>
      </c>
      <c r="L273" s="41" t="s">
        <v>58</v>
      </c>
      <c r="N273" s="17">
        <f>Table1_1[[#This Row],[Likes]]+Table1_1[[#This Row],[Shares]]+Table1_1[[#This Row],[Comments]]+Table1_1[[#This Row],[Clicks]]</f>
        <v>4442</v>
      </c>
      <c r="O273" s="36">
        <f>(Table1_1[[#This Row],[Likes]]+Table1_1[[#This Row],[Shares]]+Table1_1[[#This Row],[Comments]])/ Table1_1[[#This Row],[Impressions]]</f>
        <v>0.11879910213243547</v>
      </c>
    </row>
    <row r="274" spans="1:15" x14ac:dyDescent="0.3">
      <c r="A274" t="s">
        <v>470</v>
      </c>
      <c r="B274" s="41" t="s">
        <v>39</v>
      </c>
      <c r="C274" s="42">
        <v>45531</v>
      </c>
      <c r="D274" s="41" t="s">
        <v>15</v>
      </c>
      <c r="E274" t="s">
        <v>61</v>
      </c>
      <c r="F274" s="17">
        <v>3960</v>
      </c>
      <c r="G274" s="17">
        <v>266</v>
      </c>
      <c r="H274" s="17">
        <v>8</v>
      </c>
      <c r="I274" s="17">
        <v>35640</v>
      </c>
      <c r="J274" s="17">
        <v>34850</v>
      </c>
      <c r="K274" s="17">
        <v>208</v>
      </c>
      <c r="L274" s="41" t="s">
        <v>34</v>
      </c>
      <c r="N274" s="17">
        <f>Table1_1[[#This Row],[Likes]]+Table1_1[[#This Row],[Shares]]+Table1_1[[#This Row],[Comments]]+Table1_1[[#This Row],[Clicks]]</f>
        <v>4442</v>
      </c>
      <c r="O274" s="36">
        <f>(Table1_1[[#This Row],[Likes]]+Table1_1[[#This Row],[Shares]]+Table1_1[[#This Row],[Comments]])/ Table1_1[[#This Row],[Impressions]]</f>
        <v>0.11879910213243547</v>
      </c>
    </row>
    <row r="275" spans="1:15" x14ac:dyDescent="0.3">
      <c r="A275" t="s">
        <v>470</v>
      </c>
      <c r="B275" s="41" t="s">
        <v>39</v>
      </c>
      <c r="C275" s="42">
        <v>45531</v>
      </c>
      <c r="D275" s="41" t="s">
        <v>15</v>
      </c>
      <c r="E275" t="s">
        <v>61</v>
      </c>
      <c r="F275" s="17">
        <v>3960</v>
      </c>
      <c r="G275" s="17">
        <v>266</v>
      </c>
      <c r="H275" s="17">
        <v>8</v>
      </c>
      <c r="I275" s="17">
        <v>35640</v>
      </c>
      <c r="J275" s="17">
        <v>34850</v>
      </c>
      <c r="K275" s="17">
        <v>208</v>
      </c>
      <c r="L275" s="41" t="s">
        <v>553</v>
      </c>
      <c r="N275" s="17">
        <f>Table1_1[[#This Row],[Likes]]+Table1_1[[#This Row],[Shares]]+Table1_1[[#This Row],[Comments]]+Table1_1[[#This Row],[Clicks]]</f>
        <v>4442</v>
      </c>
      <c r="O275" s="36">
        <f>(Table1_1[[#This Row],[Likes]]+Table1_1[[#This Row],[Shares]]+Table1_1[[#This Row],[Comments]])/ Table1_1[[#This Row],[Impressions]]</f>
        <v>0.11879910213243547</v>
      </c>
    </row>
    <row r="276" spans="1:15" x14ac:dyDescent="0.3">
      <c r="A276" t="s">
        <v>472</v>
      </c>
      <c r="B276" s="41" t="s">
        <v>39</v>
      </c>
      <c r="C276" s="42">
        <v>45690</v>
      </c>
      <c r="D276" s="41" t="s">
        <v>32</v>
      </c>
      <c r="E276" t="s">
        <v>67</v>
      </c>
      <c r="F276" s="17">
        <v>886</v>
      </c>
      <c r="G276" s="17">
        <v>126</v>
      </c>
      <c r="H276" s="17">
        <v>153</v>
      </c>
      <c r="I276" s="17">
        <v>4430</v>
      </c>
      <c r="J276" s="17">
        <v>4037</v>
      </c>
      <c r="K276" s="17">
        <v>212</v>
      </c>
      <c r="L276" s="41" t="s">
        <v>34</v>
      </c>
      <c r="N276" s="17">
        <f>Table1_1[[#This Row],[Likes]]+Table1_1[[#This Row],[Shares]]+Table1_1[[#This Row],[Comments]]+Table1_1[[#This Row],[Clicks]]</f>
        <v>1377</v>
      </c>
      <c r="O276" s="36">
        <f>(Table1_1[[#This Row],[Likes]]+Table1_1[[#This Row],[Shares]]+Table1_1[[#This Row],[Comments]])/ Table1_1[[#This Row],[Impressions]]</f>
        <v>0.26297968397291194</v>
      </c>
    </row>
    <row r="277" spans="1:15" x14ac:dyDescent="0.3">
      <c r="A277" t="s">
        <v>473</v>
      </c>
      <c r="B277" s="41" t="s">
        <v>13</v>
      </c>
      <c r="C277" s="42">
        <v>45491</v>
      </c>
      <c r="D277" s="41" t="s">
        <v>48</v>
      </c>
      <c r="E277" t="s">
        <v>127</v>
      </c>
      <c r="F277" s="17">
        <v>827</v>
      </c>
      <c r="G277" s="17">
        <v>77</v>
      </c>
      <c r="H277" s="17">
        <v>402</v>
      </c>
      <c r="I277" s="17">
        <v>14886</v>
      </c>
      <c r="J277" s="17">
        <v>14129</v>
      </c>
      <c r="K277" s="17">
        <v>254</v>
      </c>
      <c r="L277" s="41" t="s">
        <v>34</v>
      </c>
      <c r="M277" s="41" t="s">
        <v>22</v>
      </c>
      <c r="N277" s="17">
        <f>Table1_1[[#This Row],[Likes]]+Table1_1[[#This Row],[Shares]]+Table1_1[[#This Row],[Comments]]+Table1_1[[#This Row],[Clicks]]</f>
        <v>1560</v>
      </c>
      <c r="O277" s="36">
        <f>(Table1_1[[#This Row],[Likes]]+Table1_1[[#This Row],[Shares]]+Table1_1[[#This Row],[Comments]])/ Table1_1[[#This Row],[Impressions]]</f>
        <v>8.7733440816874911E-2</v>
      </c>
    </row>
    <row r="278" spans="1:15" x14ac:dyDescent="0.3">
      <c r="A278" t="s">
        <v>474</v>
      </c>
      <c r="B278" s="41" t="s">
        <v>39</v>
      </c>
      <c r="C278" s="42">
        <v>45465</v>
      </c>
      <c r="D278" s="41" t="s">
        <v>15</v>
      </c>
      <c r="E278" t="s">
        <v>61</v>
      </c>
      <c r="F278" s="17">
        <v>3813</v>
      </c>
      <c r="G278" s="17">
        <v>935</v>
      </c>
      <c r="H278" s="17">
        <v>274</v>
      </c>
      <c r="I278" s="17">
        <v>68634</v>
      </c>
      <c r="J278" s="17">
        <v>68488</v>
      </c>
      <c r="K278" s="17">
        <v>251</v>
      </c>
      <c r="L278" s="41" t="s">
        <v>58</v>
      </c>
      <c r="N278" s="17">
        <f>Table1_1[[#This Row],[Likes]]+Table1_1[[#This Row],[Shares]]+Table1_1[[#This Row],[Comments]]+Table1_1[[#This Row],[Clicks]]</f>
        <v>5273</v>
      </c>
      <c r="O278" s="36">
        <f>(Table1_1[[#This Row],[Likes]]+Table1_1[[#This Row],[Shares]]+Table1_1[[#This Row],[Comments]])/ Table1_1[[#This Row],[Impressions]]</f>
        <v>7.3170731707317069E-2</v>
      </c>
    </row>
    <row r="279" spans="1:15" x14ac:dyDescent="0.3">
      <c r="A279" t="s">
        <v>475</v>
      </c>
      <c r="B279" s="41" t="s">
        <v>30</v>
      </c>
      <c r="C279" s="42">
        <v>45743</v>
      </c>
      <c r="D279" s="41" t="s">
        <v>41</v>
      </c>
      <c r="E279" t="s">
        <v>84</v>
      </c>
      <c r="F279" s="17">
        <v>1377</v>
      </c>
      <c r="G279" s="17">
        <v>796</v>
      </c>
      <c r="H279" s="17">
        <v>387</v>
      </c>
      <c r="I279" s="17">
        <v>22032</v>
      </c>
      <c r="J279" s="17">
        <v>21869</v>
      </c>
      <c r="K279" s="17">
        <v>189</v>
      </c>
      <c r="L279" s="41" t="s">
        <v>58</v>
      </c>
      <c r="N279" s="17">
        <f>Table1_1[[#This Row],[Likes]]+Table1_1[[#This Row],[Shares]]+Table1_1[[#This Row],[Comments]]+Table1_1[[#This Row],[Clicks]]</f>
        <v>2749</v>
      </c>
      <c r="O279" s="36">
        <f>(Table1_1[[#This Row],[Likes]]+Table1_1[[#This Row],[Shares]]+Table1_1[[#This Row],[Comments]])/ Table1_1[[#This Row],[Impressions]]</f>
        <v>0.11619462599854757</v>
      </c>
    </row>
    <row r="280" spans="1:15" x14ac:dyDescent="0.3">
      <c r="A280" t="s">
        <v>477</v>
      </c>
      <c r="B280" s="41" t="s">
        <v>39</v>
      </c>
      <c r="C280" s="42">
        <v>45775</v>
      </c>
      <c r="D280" s="41" t="s">
        <v>41</v>
      </c>
      <c r="E280" t="s">
        <v>42</v>
      </c>
      <c r="F280" s="17">
        <v>2089</v>
      </c>
      <c r="G280" s="17">
        <v>476</v>
      </c>
      <c r="H280" s="17">
        <v>69</v>
      </c>
      <c r="I280" s="17">
        <v>16712</v>
      </c>
      <c r="J280" s="17">
        <v>16309</v>
      </c>
      <c r="K280" s="17">
        <v>64</v>
      </c>
      <c r="L280" s="41" t="s">
        <v>58</v>
      </c>
      <c r="M280" s="41" t="s">
        <v>28</v>
      </c>
      <c r="N280" s="17">
        <f>Table1_1[[#This Row],[Likes]]+Table1_1[[#This Row],[Shares]]+Table1_1[[#This Row],[Comments]]+Table1_1[[#This Row],[Clicks]]</f>
        <v>2698</v>
      </c>
      <c r="O280" s="36">
        <f>(Table1_1[[#This Row],[Likes]]+Table1_1[[#This Row],[Shares]]+Table1_1[[#This Row],[Comments]])/ Table1_1[[#This Row],[Impressions]]</f>
        <v>0.15761129727142173</v>
      </c>
    </row>
    <row r="281" spans="1:15" x14ac:dyDescent="0.3">
      <c r="A281" t="s">
        <v>478</v>
      </c>
      <c r="B281" s="41" t="s">
        <v>13</v>
      </c>
      <c r="C281" s="42">
        <v>45507</v>
      </c>
      <c r="D281" s="41" t="s">
        <v>15</v>
      </c>
      <c r="E281" t="s">
        <v>16</v>
      </c>
      <c r="F281" s="17">
        <v>3791</v>
      </c>
      <c r="G281" s="17">
        <v>593</v>
      </c>
      <c r="H281" s="17">
        <v>228</v>
      </c>
      <c r="I281" s="17">
        <v>53074</v>
      </c>
      <c r="J281" s="17">
        <v>52613</v>
      </c>
      <c r="K281" s="17">
        <v>205</v>
      </c>
      <c r="L281" s="41" t="s">
        <v>34</v>
      </c>
      <c r="N281" s="17">
        <f>Table1_1[[#This Row],[Likes]]+Table1_1[[#This Row],[Shares]]+Table1_1[[#This Row],[Comments]]+Table1_1[[#This Row],[Clicks]]</f>
        <v>4817</v>
      </c>
      <c r="O281" s="36">
        <f>(Table1_1[[#This Row],[Likes]]+Table1_1[[#This Row],[Shares]]+Table1_1[[#This Row],[Comments]])/ Table1_1[[#This Row],[Impressions]]</f>
        <v>8.6897539284772202E-2</v>
      </c>
    </row>
    <row r="282" spans="1:15" x14ac:dyDescent="0.3">
      <c r="A282" t="s">
        <v>480</v>
      </c>
      <c r="B282" s="41" t="s">
        <v>13</v>
      </c>
      <c r="C282" s="42">
        <v>45671</v>
      </c>
      <c r="D282" s="41" t="s">
        <v>48</v>
      </c>
      <c r="E282" t="s">
        <v>127</v>
      </c>
      <c r="F282" s="17">
        <v>2692</v>
      </c>
      <c r="G282" s="17">
        <v>115</v>
      </c>
      <c r="H282" s="17">
        <v>64</v>
      </c>
      <c r="I282" s="17">
        <v>21536</v>
      </c>
      <c r="J282" s="17">
        <v>21120</v>
      </c>
      <c r="K282" s="17">
        <v>224</v>
      </c>
      <c r="L282" s="41" t="s">
        <v>58</v>
      </c>
      <c r="M282" s="41" t="s">
        <v>22</v>
      </c>
      <c r="N282" s="17">
        <f>Table1_1[[#This Row],[Likes]]+Table1_1[[#This Row],[Shares]]+Table1_1[[#This Row],[Comments]]+Table1_1[[#This Row],[Clicks]]</f>
        <v>3095</v>
      </c>
      <c r="O282" s="36">
        <f>(Table1_1[[#This Row],[Likes]]+Table1_1[[#This Row],[Shares]]+Table1_1[[#This Row],[Comments]])/ Table1_1[[#This Row],[Impressions]]</f>
        <v>0.13331166419019316</v>
      </c>
    </row>
    <row r="283" spans="1:15" x14ac:dyDescent="0.3">
      <c r="A283" t="s">
        <v>482</v>
      </c>
      <c r="B283" s="41" t="s">
        <v>39</v>
      </c>
      <c r="C283" s="42">
        <v>45750</v>
      </c>
      <c r="D283" s="41" t="s">
        <v>32</v>
      </c>
      <c r="E283" t="s">
        <v>67</v>
      </c>
      <c r="F283" s="17">
        <v>3767</v>
      </c>
      <c r="G283" s="17">
        <v>514</v>
      </c>
      <c r="H283" s="17">
        <v>238</v>
      </c>
      <c r="I283" s="17">
        <v>37670</v>
      </c>
      <c r="J283" s="17">
        <v>36807</v>
      </c>
      <c r="K283" s="17">
        <v>226</v>
      </c>
      <c r="L283" s="41" t="s">
        <v>58</v>
      </c>
      <c r="M283" s="41" t="s">
        <v>35</v>
      </c>
      <c r="N283" s="17">
        <f>Table1_1[[#This Row],[Likes]]+Table1_1[[#This Row],[Shares]]+Table1_1[[#This Row],[Comments]]+Table1_1[[#This Row],[Clicks]]</f>
        <v>4745</v>
      </c>
      <c r="O283" s="36">
        <f>(Table1_1[[#This Row],[Likes]]+Table1_1[[#This Row],[Shares]]+Table1_1[[#This Row],[Comments]])/ Table1_1[[#This Row],[Impressions]]</f>
        <v>0.11996283514733209</v>
      </c>
    </row>
    <row r="284" spans="1:15" x14ac:dyDescent="0.3">
      <c r="A284" t="s">
        <v>483</v>
      </c>
      <c r="B284" s="41" t="s">
        <v>24</v>
      </c>
      <c r="C284" s="42">
        <v>45553</v>
      </c>
      <c r="D284" s="41" t="s">
        <v>41</v>
      </c>
      <c r="E284" t="s">
        <v>64</v>
      </c>
      <c r="F284" s="17">
        <v>2143</v>
      </c>
      <c r="G284" s="17">
        <v>12</v>
      </c>
      <c r="H284" s="17">
        <v>204</v>
      </c>
      <c r="I284" s="17">
        <v>40717</v>
      </c>
      <c r="J284" s="17">
        <v>40125</v>
      </c>
      <c r="K284" s="17">
        <v>248</v>
      </c>
      <c r="L284" s="41" t="s">
        <v>34</v>
      </c>
      <c r="M284" s="41" t="s">
        <v>22</v>
      </c>
      <c r="N284" s="17">
        <f>Table1_1[[#This Row],[Likes]]+Table1_1[[#This Row],[Shares]]+Table1_1[[#This Row],[Comments]]+Table1_1[[#This Row],[Clicks]]</f>
        <v>2607</v>
      </c>
      <c r="O284" s="36">
        <f>(Table1_1[[#This Row],[Likes]]+Table1_1[[#This Row],[Shares]]+Table1_1[[#This Row],[Comments]])/ Table1_1[[#This Row],[Impressions]]</f>
        <v>5.7936488444630008E-2</v>
      </c>
    </row>
    <row r="285" spans="1:15" x14ac:dyDescent="0.3">
      <c r="A285" t="s">
        <v>484</v>
      </c>
      <c r="B285" s="41" t="s">
        <v>39</v>
      </c>
      <c r="C285" s="42">
        <v>45753</v>
      </c>
      <c r="D285" s="41" t="s">
        <v>48</v>
      </c>
      <c r="E285" t="s">
        <v>55</v>
      </c>
      <c r="F285" s="17">
        <v>3090</v>
      </c>
      <c r="G285" s="17">
        <v>697</v>
      </c>
      <c r="H285" s="17">
        <v>164</v>
      </c>
      <c r="I285" s="17">
        <v>49440</v>
      </c>
      <c r="J285" s="17">
        <v>48524</v>
      </c>
      <c r="K285" s="17">
        <v>25</v>
      </c>
      <c r="L285" s="41" t="s">
        <v>34</v>
      </c>
      <c r="M285" s="41" t="s">
        <v>22</v>
      </c>
      <c r="N285" s="17">
        <f>Table1_1[[#This Row],[Likes]]+Table1_1[[#This Row],[Shares]]+Table1_1[[#This Row],[Comments]]+Table1_1[[#This Row],[Clicks]]</f>
        <v>3976</v>
      </c>
      <c r="O285" s="36">
        <f>(Table1_1[[#This Row],[Likes]]+Table1_1[[#This Row],[Shares]]+Table1_1[[#This Row],[Comments]])/ Table1_1[[#This Row],[Impressions]]</f>
        <v>7.9915048543689318E-2</v>
      </c>
    </row>
    <row r="286" spans="1:15" x14ac:dyDescent="0.3">
      <c r="A286" t="s">
        <v>484</v>
      </c>
      <c r="B286" s="41" t="s">
        <v>39</v>
      </c>
      <c r="C286" s="42">
        <v>45753</v>
      </c>
      <c r="D286" s="41" t="s">
        <v>48</v>
      </c>
      <c r="E286" t="s">
        <v>55</v>
      </c>
      <c r="F286" s="17">
        <v>3090</v>
      </c>
      <c r="G286" s="17">
        <v>697</v>
      </c>
      <c r="H286" s="17">
        <v>164</v>
      </c>
      <c r="I286" s="17">
        <v>49440</v>
      </c>
      <c r="J286" s="17">
        <v>48524</v>
      </c>
      <c r="K286" s="17">
        <v>25</v>
      </c>
      <c r="L286" s="41" t="s">
        <v>34</v>
      </c>
      <c r="M286" s="41" t="s">
        <v>22</v>
      </c>
      <c r="N286" s="17">
        <f>Table1_1[[#This Row],[Likes]]+Table1_1[[#This Row],[Shares]]+Table1_1[[#This Row],[Comments]]+Table1_1[[#This Row],[Clicks]]</f>
        <v>3976</v>
      </c>
      <c r="O286" s="36">
        <f>(Table1_1[[#This Row],[Likes]]+Table1_1[[#This Row],[Shares]]+Table1_1[[#This Row],[Comments]])/ Table1_1[[#This Row],[Impressions]]</f>
        <v>7.9915048543689318E-2</v>
      </c>
    </row>
    <row r="287" spans="1:15" x14ac:dyDescent="0.3">
      <c r="A287" t="s">
        <v>484</v>
      </c>
      <c r="B287" s="41" t="s">
        <v>39</v>
      </c>
      <c r="C287" s="42">
        <v>45753</v>
      </c>
      <c r="D287" s="41" t="s">
        <v>48</v>
      </c>
      <c r="E287" t="s">
        <v>55</v>
      </c>
      <c r="F287" s="17">
        <v>3090</v>
      </c>
      <c r="G287" s="17">
        <v>697</v>
      </c>
      <c r="H287" s="17">
        <v>164</v>
      </c>
      <c r="I287" s="17">
        <v>49440</v>
      </c>
      <c r="J287" s="17">
        <v>48524</v>
      </c>
      <c r="K287" s="17">
        <v>25</v>
      </c>
      <c r="L287" s="41" t="s">
        <v>553</v>
      </c>
      <c r="M287" s="41" t="s">
        <v>22</v>
      </c>
      <c r="N287" s="17">
        <f>Table1_1[[#This Row],[Likes]]+Table1_1[[#This Row],[Shares]]+Table1_1[[#This Row],[Comments]]+Table1_1[[#This Row],[Clicks]]</f>
        <v>3976</v>
      </c>
      <c r="O287" s="36">
        <f>(Table1_1[[#This Row],[Likes]]+Table1_1[[#This Row],[Shares]]+Table1_1[[#This Row],[Comments]])/ Table1_1[[#This Row],[Impressions]]</f>
        <v>7.9915048543689318E-2</v>
      </c>
    </row>
    <row r="288" spans="1:15" x14ac:dyDescent="0.3">
      <c r="A288" t="s">
        <v>485</v>
      </c>
      <c r="B288" s="41" t="s">
        <v>30</v>
      </c>
      <c r="C288" s="42">
        <v>45509</v>
      </c>
      <c r="D288" s="41" t="s">
        <v>32</v>
      </c>
      <c r="E288" t="s">
        <v>33</v>
      </c>
      <c r="F288" s="17">
        <v>3601</v>
      </c>
      <c r="G288" s="17">
        <v>695</v>
      </c>
      <c r="H288" s="17">
        <v>75</v>
      </c>
      <c r="I288" s="17">
        <v>21606</v>
      </c>
      <c r="J288" s="17">
        <v>21454</v>
      </c>
      <c r="K288" s="17">
        <v>172</v>
      </c>
      <c r="L288" s="41" t="s">
        <v>34</v>
      </c>
      <c r="M288" s="41" t="s">
        <v>22</v>
      </c>
      <c r="N288" s="17">
        <f>Table1_1[[#This Row],[Likes]]+Table1_1[[#This Row],[Shares]]+Table1_1[[#This Row],[Comments]]+Table1_1[[#This Row],[Clicks]]</f>
        <v>4543</v>
      </c>
      <c r="O288" s="36">
        <f>(Table1_1[[#This Row],[Likes]]+Table1_1[[#This Row],[Shares]]+Table1_1[[#This Row],[Comments]])/ Table1_1[[#This Row],[Impressions]]</f>
        <v>0.2023049153013052</v>
      </c>
    </row>
    <row r="289" spans="1:15" x14ac:dyDescent="0.3">
      <c r="A289" t="s">
        <v>487</v>
      </c>
      <c r="B289" s="41" t="s">
        <v>39</v>
      </c>
      <c r="C289" s="42">
        <v>45698</v>
      </c>
      <c r="D289" s="41" t="s">
        <v>20</v>
      </c>
      <c r="E289" t="s">
        <v>52</v>
      </c>
      <c r="F289" s="17">
        <v>562</v>
      </c>
      <c r="G289" s="17">
        <v>158</v>
      </c>
      <c r="H289" s="17">
        <v>149</v>
      </c>
      <c r="I289" s="17">
        <v>3372</v>
      </c>
      <c r="J289" s="17">
        <v>2940</v>
      </c>
      <c r="K289" s="17">
        <v>93</v>
      </c>
      <c r="L289" s="41" t="s">
        <v>27</v>
      </c>
      <c r="M289" s="41" t="s">
        <v>17</v>
      </c>
      <c r="N289" s="17">
        <f>Table1_1[[#This Row],[Likes]]+Table1_1[[#This Row],[Shares]]+Table1_1[[#This Row],[Comments]]+Table1_1[[#This Row],[Clicks]]</f>
        <v>962</v>
      </c>
      <c r="O289" s="36">
        <f>(Table1_1[[#This Row],[Likes]]+Table1_1[[#This Row],[Shares]]+Table1_1[[#This Row],[Comments]])/ Table1_1[[#This Row],[Impressions]]</f>
        <v>0.25771055753262156</v>
      </c>
    </row>
    <row r="290" spans="1:15" x14ac:dyDescent="0.3">
      <c r="A290" t="s">
        <v>488</v>
      </c>
      <c r="B290" s="41" t="s">
        <v>30</v>
      </c>
      <c r="C290" s="42">
        <v>45700</v>
      </c>
      <c r="D290" s="41" t="s">
        <v>32</v>
      </c>
      <c r="E290" t="s">
        <v>33</v>
      </c>
      <c r="F290" s="17">
        <v>4332</v>
      </c>
      <c r="G290" s="17">
        <v>771</v>
      </c>
      <c r="H290" s="17">
        <v>219</v>
      </c>
      <c r="I290" s="17">
        <v>60648</v>
      </c>
      <c r="J290" s="17">
        <v>60397</v>
      </c>
      <c r="K290" s="17">
        <v>10</v>
      </c>
      <c r="L290" s="41" t="s">
        <v>27</v>
      </c>
      <c r="M290" s="41" t="s">
        <v>28</v>
      </c>
      <c r="N290" s="17">
        <f>Table1_1[[#This Row],[Likes]]+Table1_1[[#This Row],[Shares]]+Table1_1[[#This Row],[Comments]]+Table1_1[[#This Row],[Clicks]]</f>
        <v>5332</v>
      </c>
      <c r="O290" s="36">
        <f>(Table1_1[[#This Row],[Likes]]+Table1_1[[#This Row],[Shares]]+Table1_1[[#This Row],[Comments]])/ Table1_1[[#This Row],[Impressions]]</f>
        <v>8.7752275425405618E-2</v>
      </c>
    </row>
    <row r="291" spans="1:15" x14ac:dyDescent="0.3">
      <c r="A291" t="s">
        <v>488</v>
      </c>
      <c r="B291" s="41" t="s">
        <v>30</v>
      </c>
      <c r="C291" s="42">
        <v>45700</v>
      </c>
      <c r="D291" s="41" t="s">
        <v>32</v>
      </c>
      <c r="E291" t="s">
        <v>33</v>
      </c>
      <c r="F291" s="17">
        <v>4332</v>
      </c>
      <c r="G291" s="17">
        <v>771</v>
      </c>
      <c r="H291" s="17">
        <v>219</v>
      </c>
      <c r="I291" s="17">
        <v>60648</v>
      </c>
      <c r="J291" s="17">
        <v>60397</v>
      </c>
      <c r="K291" s="17">
        <v>10</v>
      </c>
      <c r="L291" s="41" t="s">
        <v>34</v>
      </c>
      <c r="M291" s="41" t="s">
        <v>28</v>
      </c>
      <c r="N291" s="17">
        <f>Table1_1[[#This Row],[Likes]]+Table1_1[[#This Row],[Shares]]+Table1_1[[#This Row],[Comments]]+Table1_1[[#This Row],[Clicks]]</f>
        <v>5332</v>
      </c>
      <c r="O291" s="36">
        <f>(Table1_1[[#This Row],[Likes]]+Table1_1[[#This Row],[Shares]]+Table1_1[[#This Row],[Comments]])/ Table1_1[[#This Row],[Impressions]]</f>
        <v>8.7752275425405618E-2</v>
      </c>
    </row>
    <row r="292" spans="1:15" x14ac:dyDescent="0.3">
      <c r="A292" t="s">
        <v>488</v>
      </c>
      <c r="B292" s="41" t="s">
        <v>30</v>
      </c>
      <c r="C292" s="42">
        <v>45700</v>
      </c>
      <c r="D292" s="41" t="s">
        <v>32</v>
      </c>
      <c r="E292" t="s">
        <v>33</v>
      </c>
      <c r="F292" s="17">
        <v>4332</v>
      </c>
      <c r="G292" s="17">
        <v>771</v>
      </c>
      <c r="H292" s="17">
        <v>219</v>
      </c>
      <c r="I292" s="17">
        <v>60648</v>
      </c>
      <c r="J292" s="17">
        <v>60397</v>
      </c>
      <c r="K292" s="17">
        <v>10</v>
      </c>
      <c r="L292" s="41" t="s">
        <v>553</v>
      </c>
      <c r="M292" s="41" t="s">
        <v>28</v>
      </c>
      <c r="N292" s="17">
        <f>Table1_1[[#This Row],[Likes]]+Table1_1[[#This Row],[Shares]]+Table1_1[[#This Row],[Comments]]+Table1_1[[#This Row],[Clicks]]</f>
        <v>5332</v>
      </c>
      <c r="O292" s="36">
        <f>(Table1_1[[#This Row],[Likes]]+Table1_1[[#This Row],[Shares]]+Table1_1[[#This Row],[Comments]])/ Table1_1[[#This Row],[Impressions]]</f>
        <v>8.7752275425405618E-2</v>
      </c>
    </row>
    <row r="293" spans="1:15" x14ac:dyDescent="0.3">
      <c r="A293" t="s">
        <v>490</v>
      </c>
      <c r="B293" s="41" t="s">
        <v>30</v>
      </c>
      <c r="C293" s="42">
        <v>45592</v>
      </c>
      <c r="D293" s="41" t="s">
        <v>48</v>
      </c>
      <c r="E293" t="s">
        <v>208</v>
      </c>
      <c r="F293" s="17">
        <v>4853</v>
      </c>
      <c r="G293" s="17">
        <v>837</v>
      </c>
      <c r="H293" s="17">
        <v>340</v>
      </c>
      <c r="I293" s="17">
        <v>72795</v>
      </c>
      <c r="J293" s="17">
        <v>72237</v>
      </c>
      <c r="K293" s="17">
        <v>170</v>
      </c>
      <c r="L293" s="41" t="s">
        <v>34</v>
      </c>
      <c r="M293" s="41" t="s">
        <v>17</v>
      </c>
      <c r="N293" s="17">
        <f>Table1_1[[#This Row],[Likes]]+Table1_1[[#This Row],[Shares]]+Table1_1[[#This Row],[Comments]]+Table1_1[[#This Row],[Clicks]]</f>
        <v>6200</v>
      </c>
      <c r="O293" s="36">
        <f>(Table1_1[[#This Row],[Likes]]+Table1_1[[#This Row],[Shares]]+Table1_1[[#This Row],[Comments]])/ Table1_1[[#This Row],[Impressions]]</f>
        <v>8.2835359571399134E-2</v>
      </c>
    </row>
    <row r="294" spans="1:15" x14ac:dyDescent="0.3">
      <c r="A294" t="s">
        <v>492</v>
      </c>
      <c r="B294" s="41" t="s">
        <v>24</v>
      </c>
      <c r="C294" s="42">
        <v>45675</v>
      </c>
      <c r="D294" s="41" t="s">
        <v>48</v>
      </c>
      <c r="E294" t="s">
        <v>49</v>
      </c>
      <c r="F294" s="17">
        <v>1206</v>
      </c>
      <c r="G294" s="17">
        <v>238</v>
      </c>
      <c r="H294" s="17">
        <v>36</v>
      </c>
      <c r="I294" s="17">
        <v>9648</v>
      </c>
      <c r="J294" s="17">
        <v>9417</v>
      </c>
      <c r="K294" s="17">
        <v>237</v>
      </c>
      <c r="L294" s="41" t="s">
        <v>27</v>
      </c>
      <c r="N294" s="17">
        <f>Table1_1[[#This Row],[Likes]]+Table1_1[[#This Row],[Shares]]+Table1_1[[#This Row],[Comments]]+Table1_1[[#This Row],[Clicks]]</f>
        <v>1717</v>
      </c>
      <c r="O294" s="36">
        <f>(Table1_1[[#This Row],[Likes]]+Table1_1[[#This Row],[Shares]]+Table1_1[[#This Row],[Comments]])/ Table1_1[[#This Row],[Impressions]]</f>
        <v>0.15339966832504145</v>
      </c>
    </row>
    <row r="295" spans="1:15" x14ac:dyDescent="0.3">
      <c r="A295" t="s">
        <v>493</v>
      </c>
      <c r="B295" s="41" t="s">
        <v>30</v>
      </c>
      <c r="C295" s="42">
        <v>45524</v>
      </c>
      <c r="D295" s="41" t="s">
        <v>15</v>
      </c>
      <c r="E295" t="s">
        <v>78</v>
      </c>
      <c r="F295" s="17">
        <v>2603</v>
      </c>
      <c r="G295" s="17">
        <v>690</v>
      </c>
      <c r="H295" s="17">
        <v>205</v>
      </c>
      <c r="I295" s="17">
        <v>13015</v>
      </c>
      <c r="J295" s="17">
        <v>12130</v>
      </c>
      <c r="K295" s="17">
        <v>20</v>
      </c>
      <c r="L295" s="41" t="s">
        <v>58</v>
      </c>
      <c r="M295" s="41" t="s">
        <v>22</v>
      </c>
      <c r="N295" s="17">
        <f>Table1_1[[#This Row],[Likes]]+Table1_1[[#This Row],[Shares]]+Table1_1[[#This Row],[Comments]]+Table1_1[[#This Row],[Clicks]]</f>
        <v>3518</v>
      </c>
      <c r="O295" s="36">
        <f>(Table1_1[[#This Row],[Likes]]+Table1_1[[#This Row],[Shares]]+Table1_1[[#This Row],[Comments]])/ Table1_1[[#This Row],[Impressions]]</f>
        <v>0.26876680752977333</v>
      </c>
    </row>
    <row r="296" spans="1:15" x14ac:dyDescent="0.3">
      <c r="A296" t="s">
        <v>495</v>
      </c>
      <c r="B296" s="41" t="s">
        <v>13</v>
      </c>
      <c r="C296" s="42">
        <v>45687</v>
      </c>
      <c r="D296" s="41" t="s">
        <v>48</v>
      </c>
      <c r="E296" t="s">
        <v>127</v>
      </c>
      <c r="F296" s="17">
        <v>59</v>
      </c>
      <c r="G296" s="17">
        <v>163</v>
      </c>
      <c r="H296" s="17">
        <v>93</v>
      </c>
      <c r="I296" s="17">
        <v>590</v>
      </c>
      <c r="J296" s="17">
        <v>475</v>
      </c>
      <c r="K296" s="17">
        <v>293</v>
      </c>
      <c r="L296" s="41" t="s">
        <v>27</v>
      </c>
      <c r="M296" s="41" t="s">
        <v>22</v>
      </c>
      <c r="N296" s="17">
        <f>Table1_1[[#This Row],[Likes]]+Table1_1[[#This Row],[Shares]]+Table1_1[[#This Row],[Comments]]+Table1_1[[#This Row],[Clicks]]</f>
        <v>608</v>
      </c>
      <c r="O296" s="36">
        <f>(Table1_1[[#This Row],[Likes]]+Table1_1[[#This Row],[Shares]]+Table1_1[[#This Row],[Comments]])/ Table1_1[[#This Row],[Impressions]]</f>
        <v>0.53389830508474578</v>
      </c>
    </row>
    <row r="297" spans="1:15" x14ac:dyDescent="0.3">
      <c r="A297" t="s">
        <v>497</v>
      </c>
      <c r="B297" s="41" t="s">
        <v>13</v>
      </c>
      <c r="C297" s="42">
        <v>45708</v>
      </c>
      <c r="D297" s="41" t="s">
        <v>41</v>
      </c>
      <c r="E297" t="s">
        <v>45</v>
      </c>
      <c r="F297" s="17">
        <v>1877</v>
      </c>
      <c r="G297" s="17">
        <v>745</v>
      </c>
      <c r="H297" s="17">
        <v>225</v>
      </c>
      <c r="I297" s="17">
        <v>11262</v>
      </c>
      <c r="J297" s="17">
        <v>10967</v>
      </c>
      <c r="K297" s="17">
        <v>41</v>
      </c>
      <c r="L297" s="41" t="s">
        <v>34</v>
      </c>
      <c r="M297" s="41" t="s">
        <v>35</v>
      </c>
      <c r="N297" s="17">
        <f>Table1_1[[#This Row],[Likes]]+Table1_1[[#This Row],[Shares]]+Table1_1[[#This Row],[Comments]]+Table1_1[[#This Row],[Clicks]]</f>
        <v>2888</v>
      </c>
      <c r="O297" s="36">
        <f>(Table1_1[[#This Row],[Likes]]+Table1_1[[#This Row],[Shares]]+Table1_1[[#This Row],[Comments]])/ Table1_1[[#This Row],[Impressions]]</f>
        <v>0.25279701651571657</v>
      </c>
    </row>
    <row r="298" spans="1:15" x14ac:dyDescent="0.3">
      <c r="A298" t="s">
        <v>499</v>
      </c>
      <c r="B298" s="41" t="s">
        <v>39</v>
      </c>
      <c r="C298" s="42">
        <v>45621</v>
      </c>
      <c r="D298" s="41" t="s">
        <v>32</v>
      </c>
      <c r="E298" t="s">
        <v>67</v>
      </c>
      <c r="F298" s="17">
        <v>4182</v>
      </c>
      <c r="G298" s="17">
        <v>640</v>
      </c>
      <c r="H298" s="17">
        <v>240</v>
      </c>
      <c r="I298" s="17">
        <v>50184</v>
      </c>
      <c r="J298" s="17">
        <v>49351</v>
      </c>
      <c r="K298" s="17">
        <v>10</v>
      </c>
      <c r="L298" s="41" t="s">
        <v>27</v>
      </c>
      <c r="M298" s="41" t="s">
        <v>28</v>
      </c>
      <c r="N298" s="17">
        <f>Table1_1[[#This Row],[Likes]]+Table1_1[[#This Row],[Shares]]+Table1_1[[#This Row],[Comments]]+Table1_1[[#This Row],[Clicks]]</f>
        <v>5072</v>
      </c>
      <c r="O298" s="36">
        <f>(Table1_1[[#This Row],[Likes]]+Table1_1[[#This Row],[Shares]]+Table1_1[[#This Row],[Comments]])/ Table1_1[[#This Row],[Impressions]]</f>
        <v>0.10086880280567512</v>
      </c>
    </row>
    <row r="299" spans="1:15" x14ac:dyDescent="0.3">
      <c r="A299" t="s">
        <v>500</v>
      </c>
      <c r="B299" s="41" t="s">
        <v>13</v>
      </c>
      <c r="C299" s="42">
        <v>45569</v>
      </c>
      <c r="D299" s="41" t="s">
        <v>15</v>
      </c>
      <c r="E299" t="s">
        <v>16</v>
      </c>
      <c r="F299" s="17">
        <v>4187</v>
      </c>
      <c r="G299" s="17">
        <v>66</v>
      </c>
      <c r="H299" s="17">
        <v>31</v>
      </c>
      <c r="I299" s="17">
        <v>66992</v>
      </c>
      <c r="J299" s="17">
        <v>66614</v>
      </c>
      <c r="K299" s="17">
        <v>62</v>
      </c>
      <c r="L299" s="41" t="s">
        <v>58</v>
      </c>
      <c r="N299" s="17">
        <f>Table1_1[[#This Row],[Likes]]+Table1_1[[#This Row],[Shares]]+Table1_1[[#This Row],[Comments]]+Table1_1[[#This Row],[Clicks]]</f>
        <v>4346</v>
      </c>
      <c r="O299" s="36">
        <f>(Table1_1[[#This Row],[Likes]]+Table1_1[[#This Row],[Shares]]+Table1_1[[#This Row],[Comments]])/ Table1_1[[#This Row],[Impressions]]</f>
        <v>6.3947934081681396E-2</v>
      </c>
    </row>
    <row r="300" spans="1:15" x14ac:dyDescent="0.3">
      <c r="A300" t="s">
        <v>501</v>
      </c>
      <c r="B300" s="41" t="s">
        <v>30</v>
      </c>
      <c r="C300" s="42">
        <v>45760</v>
      </c>
      <c r="D300" s="41" t="s">
        <v>15</v>
      </c>
      <c r="E300" t="s">
        <v>78</v>
      </c>
      <c r="F300" s="17">
        <v>4579</v>
      </c>
      <c r="G300" s="17">
        <v>125</v>
      </c>
      <c r="H300" s="17">
        <v>300</v>
      </c>
      <c r="I300" s="17">
        <v>59527</v>
      </c>
      <c r="J300" s="17">
        <v>59400</v>
      </c>
      <c r="K300" s="17">
        <v>269</v>
      </c>
      <c r="L300" s="41" t="s">
        <v>34</v>
      </c>
      <c r="M300" s="41" t="s">
        <v>17</v>
      </c>
      <c r="N300" s="17">
        <f>Table1_1[[#This Row],[Likes]]+Table1_1[[#This Row],[Shares]]+Table1_1[[#This Row],[Comments]]+Table1_1[[#This Row],[Clicks]]</f>
        <v>5273</v>
      </c>
      <c r="O300" s="36">
        <f>(Table1_1[[#This Row],[Likes]]+Table1_1[[#This Row],[Shares]]+Table1_1[[#This Row],[Comments]])/ Table1_1[[#This Row],[Impressions]]</f>
        <v>8.4062694239588759E-2</v>
      </c>
    </row>
    <row r="301" spans="1:15" x14ac:dyDescent="0.3">
      <c r="A301" t="s">
        <v>503</v>
      </c>
      <c r="B301" s="41" t="s">
        <v>30</v>
      </c>
      <c r="C301" s="42">
        <v>45601</v>
      </c>
      <c r="D301" s="41" t="s">
        <v>70</v>
      </c>
      <c r="E301" t="s">
        <v>81</v>
      </c>
      <c r="F301" s="17">
        <v>4561</v>
      </c>
      <c r="G301" s="17">
        <v>51</v>
      </c>
      <c r="H301" s="17">
        <v>441</v>
      </c>
      <c r="I301" s="17">
        <v>22805</v>
      </c>
      <c r="J301" s="17">
        <v>21890</v>
      </c>
      <c r="K301" s="17">
        <v>45</v>
      </c>
      <c r="L301" s="41" t="s">
        <v>27</v>
      </c>
      <c r="M301" s="41" t="s">
        <v>22</v>
      </c>
      <c r="N301" s="17">
        <f>Table1_1[[#This Row],[Likes]]+Table1_1[[#This Row],[Shares]]+Table1_1[[#This Row],[Comments]]+Table1_1[[#This Row],[Clicks]]</f>
        <v>5098</v>
      </c>
      <c r="O301" s="36">
        <f>(Table1_1[[#This Row],[Likes]]+Table1_1[[#This Row],[Shares]]+Table1_1[[#This Row],[Comments]])/ Table1_1[[#This Row],[Impressions]]</f>
        <v>0.22157421618066214</v>
      </c>
    </row>
    <row r="302" spans="1:15" x14ac:dyDescent="0.3">
      <c r="A302" t="s">
        <v>505</v>
      </c>
      <c r="B302" s="41" t="s">
        <v>24</v>
      </c>
      <c r="C302" s="42">
        <v>45672</v>
      </c>
      <c r="D302" s="41" t="s">
        <v>15</v>
      </c>
      <c r="E302" t="s">
        <v>26</v>
      </c>
      <c r="F302" s="17">
        <v>3774</v>
      </c>
      <c r="G302" s="17">
        <v>239</v>
      </c>
      <c r="H302" s="17">
        <v>39</v>
      </c>
      <c r="I302" s="17">
        <v>60384</v>
      </c>
      <c r="J302" s="17">
        <v>59490</v>
      </c>
      <c r="K302" s="17">
        <v>241</v>
      </c>
      <c r="L302" s="41" t="s">
        <v>27</v>
      </c>
      <c r="M302" s="41" t="s">
        <v>28</v>
      </c>
      <c r="N302" s="17">
        <f>Table1_1[[#This Row],[Likes]]+Table1_1[[#This Row],[Shares]]+Table1_1[[#This Row],[Comments]]+Table1_1[[#This Row],[Clicks]]</f>
        <v>4293</v>
      </c>
      <c r="O302" s="36">
        <f>(Table1_1[[#This Row],[Likes]]+Table1_1[[#This Row],[Shares]]+Table1_1[[#This Row],[Comments]])/ Table1_1[[#This Row],[Impressions]]</f>
        <v>6.7103868574456813E-2</v>
      </c>
    </row>
    <row r="303" spans="1:15" x14ac:dyDescent="0.3">
      <c r="A303" t="s">
        <v>506</v>
      </c>
      <c r="B303" s="41" t="s">
        <v>30</v>
      </c>
      <c r="C303" s="42">
        <v>45582</v>
      </c>
      <c r="D303" s="41" t="s">
        <v>70</v>
      </c>
      <c r="E303" t="s">
        <v>81</v>
      </c>
      <c r="F303" s="17">
        <v>3575</v>
      </c>
      <c r="G303" s="17">
        <v>749</v>
      </c>
      <c r="H303" s="17">
        <v>111</v>
      </c>
      <c r="I303" s="17">
        <v>21450</v>
      </c>
      <c r="J303" s="17">
        <v>20785</v>
      </c>
      <c r="K303" s="17">
        <v>195</v>
      </c>
      <c r="L303" s="41" t="s">
        <v>34</v>
      </c>
      <c r="M303" s="41" t="s">
        <v>22</v>
      </c>
      <c r="N303" s="17">
        <f>Table1_1[[#This Row],[Likes]]+Table1_1[[#This Row],[Shares]]+Table1_1[[#This Row],[Comments]]+Table1_1[[#This Row],[Clicks]]</f>
        <v>4630</v>
      </c>
      <c r="O303" s="36">
        <f>(Table1_1[[#This Row],[Likes]]+Table1_1[[#This Row],[Shares]]+Table1_1[[#This Row],[Comments]])/ Table1_1[[#This Row],[Impressions]]</f>
        <v>0.20675990675990677</v>
      </c>
    </row>
    <row r="304" spans="1:15" x14ac:dyDescent="0.3">
      <c r="A304" t="s">
        <v>508</v>
      </c>
      <c r="B304" s="41" t="s">
        <v>30</v>
      </c>
      <c r="C304" s="42">
        <v>45743</v>
      </c>
      <c r="D304" s="41" t="s">
        <v>20</v>
      </c>
      <c r="E304" t="s">
        <v>108</v>
      </c>
      <c r="F304" s="17">
        <v>4941</v>
      </c>
      <c r="G304" s="17">
        <v>414</v>
      </c>
      <c r="H304" s="17">
        <v>266</v>
      </c>
      <c r="I304" s="17">
        <v>39528</v>
      </c>
      <c r="J304" s="17">
        <v>39154</v>
      </c>
      <c r="K304" s="17">
        <v>217</v>
      </c>
      <c r="L304" s="41" t="s">
        <v>27</v>
      </c>
      <c r="M304" s="41" t="s">
        <v>28</v>
      </c>
      <c r="N304" s="17">
        <f>Table1_1[[#This Row],[Likes]]+Table1_1[[#This Row],[Shares]]+Table1_1[[#This Row],[Comments]]+Table1_1[[#This Row],[Clicks]]</f>
        <v>5838</v>
      </c>
      <c r="O304" s="36">
        <f>(Table1_1[[#This Row],[Likes]]+Table1_1[[#This Row],[Shares]]+Table1_1[[#This Row],[Comments]])/ Table1_1[[#This Row],[Impressions]]</f>
        <v>0.14220299534507186</v>
      </c>
    </row>
    <row r="305" spans="1:15" x14ac:dyDescent="0.3">
      <c r="A305" t="s">
        <v>509</v>
      </c>
      <c r="B305" s="41" t="s">
        <v>24</v>
      </c>
      <c r="C305" s="42">
        <v>45577</v>
      </c>
      <c r="D305" s="41" t="s">
        <v>32</v>
      </c>
      <c r="E305" t="s">
        <v>149</v>
      </c>
      <c r="F305" s="17">
        <v>3641</v>
      </c>
      <c r="G305" s="17">
        <v>226</v>
      </c>
      <c r="H305" s="17">
        <v>46</v>
      </c>
      <c r="I305" s="17">
        <v>40051</v>
      </c>
      <c r="J305" s="17">
        <v>39319</v>
      </c>
      <c r="K305" s="17">
        <v>296</v>
      </c>
      <c r="L305" s="41" t="s">
        <v>34</v>
      </c>
      <c r="M305" s="41" t="s">
        <v>35</v>
      </c>
      <c r="N305" s="17">
        <f>Table1_1[[#This Row],[Likes]]+Table1_1[[#This Row],[Shares]]+Table1_1[[#This Row],[Comments]]+Table1_1[[#This Row],[Clicks]]</f>
        <v>4209</v>
      </c>
      <c r="O305" s="36">
        <f>(Table1_1[[#This Row],[Likes]]+Table1_1[[#This Row],[Shares]]+Table1_1[[#This Row],[Comments]])/ Table1_1[[#This Row],[Impressions]]</f>
        <v>9.7700431949264685E-2</v>
      </c>
    </row>
    <row r="306" spans="1:15" x14ac:dyDescent="0.3">
      <c r="A306" t="s">
        <v>511</v>
      </c>
      <c r="B306" s="41" t="s">
        <v>13</v>
      </c>
      <c r="C306" s="42">
        <v>45658</v>
      </c>
      <c r="D306" s="41" t="s">
        <v>41</v>
      </c>
      <c r="E306" t="s">
        <v>45</v>
      </c>
      <c r="F306" s="17">
        <v>3535</v>
      </c>
      <c r="G306" s="17">
        <v>494</v>
      </c>
      <c r="H306" s="17">
        <v>152</v>
      </c>
      <c r="I306" s="17">
        <v>53025</v>
      </c>
      <c r="J306" s="17">
        <v>52791</v>
      </c>
      <c r="K306" s="17">
        <v>44</v>
      </c>
      <c r="L306" s="41" t="s">
        <v>27</v>
      </c>
      <c r="M306" s="41" t="s">
        <v>35</v>
      </c>
      <c r="N306" s="17">
        <f>Table1_1[[#This Row],[Likes]]+Table1_1[[#This Row],[Shares]]+Table1_1[[#This Row],[Comments]]+Table1_1[[#This Row],[Clicks]]</f>
        <v>4225</v>
      </c>
      <c r="O306" s="36">
        <f>(Table1_1[[#This Row],[Likes]]+Table1_1[[#This Row],[Shares]]+Table1_1[[#This Row],[Comments]])/ Table1_1[[#This Row],[Impressions]]</f>
        <v>7.8849599245638849E-2</v>
      </c>
    </row>
    <row r="307" spans="1:15" x14ac:dyDescent="0.3">
      <c r="A307" t="s">
        <v>512</v>
      </c>
      <c r="B307" s="41" t="s">
        <v>39</v>
      </c>
      <c r="C307" s="42">
        <v>45509</v>
      </c>
      <c r="D307" s="41" t="s">
        <v>15</v>
      </c>
      <c r="E307" t="s">
        <v>61</v>
      </c>
      <c r="F307" s="17">
        <v>1741</v>
      </c>
      <c r="G307" s="17">
        <v>831</v>
      </c>
      <c r="H307" s="17">
        <v>345</v>
      </c>
      <c r="I307" s="17">
        <v>17410</v>
      </c>
      <c r="J307" s="17">
        <v>16844</v>
      </c>
      <c r="K307" s="17">
        <v>58</v>
      </c>
      <c r="L307" s="41" t="s">
        <v>34</v>
      </c>
      <c r="M307" s="41" t="s">
        <v>28</v>
      </c>
      <c r="N307" s="17">
        <f>Table1_1[[#This Row],[Likes]]+Table1_1[[#This Row],[Shares]]+Table1_1[[#This Row],[Comments]]+Table1_1[[#This Row],[Clicks]]</f>
        <v>2975</v>
      </c>
      <c r="O307" s="36">
        <f>(Table1_1[[#This Row],[Likes]]+Table1_1[[#This Row],[Shares]]+Table1_1[[#This Row],[Comments]])/ Table1_1[[#This Row],[Impressions]]</f>
        <v>0.16754738655944859</v>
      </c>
    </row>
    <row r="308" spans="1:15" x14ac:dyDescent="0.3">
      <c r="A308" t="s">
        <v>513</v>
      </c>
      <c r="B308" s="41" t="s">
        <v>13</v>
      </c>
      <c r="C308" s="42">
        <v>45450</v>
      </c>
      <c r="D308" s="41" t="s">
        <v>41</v>
      </c>
      <c r="E308" t="s">
        <v>45</v>
      </c>
      <c r="F308" s="17">
        <v>1556</v>
      </c>
      <c r="G308" s="17">
        <v>195</v>
      </c>
      <c r="H308" s="17">
        <v>131</v>
      </c>
      <c r="I308" s="17">
        <v>9336</v>
      </c>
      <c r="J308" s="17">
        <v>8875</v>
      </c>
      <c r="K308" s="17">
        <v>137</v>
      </c>
      <c r="L308" s="41" t="s">
        <v>27</v>
      </c>
      <c r="M308" s="41" t="s">
        <v>22</v>
      </c>
      <c r="N308" s="17">
        <f>Table1_1[[#This Row],[Likes]]+Table1_1[[#This Row],[Shares]]+Table1_1[[#This Row],[Comments]]+Table1_1[[#This Row],[Clicks]]</f>
        <v>2019</v>
      </c>
      <c r="O308" s="36">
        <f>(Table1_1[[#This Row],[Likes]]+Table1_1[[#This Row],[Shares]]+Table1_1[[#This Row],[Comments]])/ Table1_1[[#This Row],[Impressions]]</f>
        <v>0.2015852613538989</v>
      </c>
    </row>
    <row r="309" spans="1:15" x14ac:dyDescent="0.3">
      <c r="A309" t="s">
        <v>515</v>
      </c>
      <c r="B309" s="41" t="s">
        <v>39</v>
      </c>
      <c r="C309" s="42">
        <v>45753</v>
      </c>
      <c r="D309" s="41" t="s">
        <v>48</v>
      </c>
      <c r="E309" t="s">
        <v>55</v>
      </c>
      <c r="F309" s="17">
        <v>4236</v>
      </c>
      <c r="G309" s="17">
        <v>711</v>
      </c>
      <c r="H309" s="17">
        <v>298</v>
      </c>
      <c r="I309" s="17">
        <v>21180</v>
      </c>
      <c r="J309" s="17">
        <v>20516</v>
      </c>
      <c r="K309" s="17">
        <v>238</v>
      </c>
      <c r="L309" s="41" t="s">
        <v>58</v>
      </c>
      <c r="M309" s="41" t="s">
        <v>17</v>
      </c>
      <c r="N309" s="17">
        <f>Table1_1[[#This Row],[Likes]]+Table1_1[[#This Row],[Shares]]+Table1_1[[#This Row],[Comments]]+Table1_1[[#This Row],[Clicks]]</f>
        <v>5483</v>
      </c>
      <c r="O309" s="36">
        <f>(Table1_1[[#This Row],[Likes]]+Table1_1[[#This Row],[Shares]]+Table1_1[[#This Row],[Comments]])/ Table1_1[[#This Row],[Impressions]]</f>
        <v>0.24763928234183191</v>
      </c>
    </row>
    <row r="310" spans="1:15" x14ac:dyDescent="0.3">
      <c r="A310" t="s">
        <v>516</v>
      </c>
      <c r="B310" s="41" t="s">
        <v>13</v>
      </c>
      <c r="C310" s="42">
        <v>45622</v>
      </c>
      <c r="D310" s="41" t="s">
        <v>20</v>
      </c>
      <c r="E310" t="s">
        <v>21</v>
      </c>
      <c r="F310" s="17">
        <v>4516</v>
      </c>
      <c r="G310" s="17">
        <v>836</v>
      </c>
      <c r="H310" s="17">
        <v>169</v>
      </c>
      <c r="I310" s="17">
        <v>49676</v>
      </c>
      <c r="J310" s="17">
        <v>49257</v>
      </c>
      <c r="K310" s="17">
        <v>282</v>
      </c>
      <c r="L310" s="41" t="s">
        <v>34</v>
      </c>
      <c r="M310" s="41" t="s">
        <v>35</v>
      </c>
      <c r="N310" s="17">
        <f>Table1_1[[#This Row],[Likes]]+Table1_1[[#This Row],[Shares]]+Table1_1[[#This Row],[Comments]]+Table1_1[[#This Row],[Clicks]]</f>
        <v>5803</v>
      </c>
      <c r="O310" s="36">
        <f>(Table1_1[[#This Row],[Likes]]+Table1_1[[#This Row],[Shares]]+Table1_1[[#This Row],[Comments]])/ Table1_1[[#This Row],[Impressions]]</f>
        <v>0.11114018842096787</v>
      </c>
    </row>
    <row r="311" spans="1:15" x14ac:dyDescent="0.3">
      <c r="A311" t="s">
        <v>518</v>
      </c>
      <c r="B311" s="41" t="s">
        <v>24</v>
      </c>
      <c r="C311" s="42">
        <v>45537</v>
      </c>
      <c r="D311" s="41" t="s">
        <v>48</v>
      </c>
      <c r="E311" t="s">
        <v>49</v>
      </c>
      <c r="F311" s="17">
        <v>4905</v>
      </c>
      <c r="G311" s="17">
        <v>845</v>
      </c>
      <c r="H311" s="17">
        <v>129</v>
      </c>
      <c r="I311" s="17">
        <v>98100</v>
      </c>
      <c r="J311" s="17">
        <v>97772</v>
      </c>
      <c r="K311" s="17">
        <v>279</v>
      </c>
      <c r="L311" s="41" t="s">
        <v>27</v>
      </c>
      <c r="M311" s="41" t="s">
        <v>22</v>
      </c>
      <c r="N311" s="17">
        <f>Table1_1[[#This Row],[Likes]]+Table1_1[[#This Row],[Shares]]+Table1_1[[#This Row],[Comments]]+Table1_1[[#This Row],[Clicks]]</f>
        <v>6158</v>
      </c>
      <c r="O311" s="36">
        <f>(Table1_1[[#This Row],[Likes]]+Table1_1[[#This Row],[Shares]]+Table1_1[[#This Row],[Comments]])/ Table1_1[[#This Row],[Impressions]]</f>
        <v>5.9928644240570844E-2</v>
      </c>
    </row>
    <row r="312" spans="1:15" x14ac:dyDescent="0.3">
      <c r="A312" t="s">
        <v>519</v>
      </c>
      <c r="B312" s="41" t="s">
        <v>24</v>
      </c>
      <c r="C312" s="42">
        <v>45586</v>
      </c>
      <c r="D312" s="41" t="s">
        <v>70</v>
      </c>
      <c r="E312" t="s">
        <v>211</v>
      </c>
      <c r="F312" s="17">
        <v>4275</v>
      </c>
      <c r="G312" s="17">
        <v>680</v>
      </c>
      <c r="H312" s="17">
        <v>385</v>
      </c>
      <c r="I312" s="17">
        <v>64125</v>
      </c>
      <c r="J312" s="17">
        <v>63650</v>
      </c>
      <c r="K312" s="17">
        <v>104</v>
      </c>
      <c r="L312" s="41" t="s">
        <v>34</v>
      </c>
      <c r="M312" s="41" t="s">
        <v>35</v>
      </c>
      <c r="N312" s="17">
        <f>Table1_1[[#This Row],[Likes]]+Table1_1[[#This Row],[Shares]]+Table1_1[[#This Row],[Comments]]+Table1_1[[#This Row],[Clicks]]</f>
        <v>5444</v>
      </c>
      <c r="O312" s="36">
        <f>(Table1_1[[#This Row],[Likes]]+Table1_1[[#This Row],[Shares]]+Table1_1[[#This Row],[Comments]])/ Table1_1[[#This Row],[Impressions]]</f>
        <v>8.3274853801169585E-2</v>
      </c>
    </row>
    <row r="313" spans="1:15" x14ac:dyDescent="0.3">
      <c r="A313" t="s">
        <v>519</v>
      </c>
      <c r="B313" s="41" t="s">
        <v>24</v>
      </c>
      <c r="C313" s="42">
        <v>45586</v>
      </c>
      <c r="D313" s="41" t="s">
        <v>70</v>
      </c>
      <c r="E313" t="s">
        <v>211</v>
      </c>
      <c r="F313" s="17">
        <v>4275</v>
      </c>
      <c r="G313" s="17">
        <v>680</v>
      </c>
      <c r="H313" s="17">
        <v>385</v>
      </c>
      <c r="I313" s="17">
        <v>64125</v>
      </c>
      <c r="J313" s="17">
        <v>63650</v>
      </c>
      <c r="K313" s="17">
        <v>104</v>
      </c>
      <c r="L313" s="41" t="s">
        <v>27</v>
      </c>
      <c r="M313" s="41" t="s">
        <v>35</v>
      </c>
      <c r="N313" s="17">
        <f>Table1_1[[#This Row],[Likes]]+Table1_1[[#This Row],[Shares]]+Table1_1[[#This Row],[Comments]]+Table1_1[[#This Row],[Clicks]]</f>
        <v>5444</v>
      </c>
      <c r="O313" s="36">
        <f>(Table1_1[[#This Row],[Likes]]+Table1_1[[#This Row],[Shares]]+Table1_1[[#This Row],[Comments]])/ Table1_1[[#This Row],[Impressions]]</f>
        <v>8.3274853801169585E-2</v>
      </c>
    </row>
    <row r="314" spans="1:15" x14ac:dyDescent="0.3">
      <c r="A314" t="s">
        <v>519</v>
      </c>
      <c r="B314" s="41" t="s">
        <v>24</v>
      </c>
      <c r="C314" s="42">
        <v>45586</v>
      </c>
      <c r="D314" s="41" t="s">
        <v>70</v>
      </c>
      <c r="E314" t="s">
        <v>211</v>
      </c>
      <c r="F314" s="17">
        <v>4275</v>
      </c>
      <c r="G314" s="17">
        <v>680</v>
      </c>
      <c r="H314" s="17">
        <v>385</v>
      </c>
      <c r="I314" s="17">
        <v>64125</v>
      </c>
      <c r="J314" s="17">
        <v>63650</v>
      </c>
      <c r="K314" s="17">
        <v>104</v>
      </c>
      <c r="L314" s="41" t="s">
        <v>551</v>
      </c>
      <c r="M314" s="41" t="s">
        <v>35</v>
      </c>
      <c r="N314" s="17">
        <f>Table1_1[[#This Row],[Likes]]+Table1_1[[#This Row],[Shares]]+Table1_1[[#This Row],[Comments]]+Table1_1[[#This Row],[Clicks]]</f>
        <v>5444</v>
      </c>
      <c r="O314" s="36">
        <f>(Table1_1[[#This Row],[Likes]]+Table1_1[[#This Row],[Shares]]+Table1_1[[#This Row],[Comments]])/ Table1_1[[#This Row],[Impressions]]</f>
        <v>8.3274853801169585E-2</v>
      </c>
    </row>
    <row r="315" spans="1:15" x14ac:dyDescent="0.3">
      <c r="A315" t="s">
        <v>520</v>
      </c>
      <c r="B315" s="41" t="s">
        <v>24</v>
      </c>
      <c r="C315" s="42">
        <v>45738</v>
      </c>
      <c r="D315" s="41" t="s">
        <v>48</v>
      </c>
      <c r="E315" t="s">
        <v>49</v>
      </c>
      <c r="F315" s="17">
        <v>3166</v>
      </c>
      <c r="G315" s="17">
        <v>90</v>
      </c>
      <c r="H315" s="17">
        <v>341</v>
      </c>
      <c r="I315" s="17">
        <v>56988</v>
      </c>
      <c r="J315" s="17">
        <v>56125</v>
      </c>
      <c r="K315" s="17">
        <v>135</v>
      </c>
      <c r="L315" s="41" t="s">
        <v>34</v>
      </c>
      <c r="M315" s="41" t="s">
        <v>22</v>
      </c>
      <c r="N315" s="17">
        <f>Table1_1[[#This Row],[Likes]]+Table1_1[[#This Row],[Shares]]+Table1_1[[#This Row],[Comments]]+Table1_1[[#This Row],[Clicks]]</f>
        <v>3732</v>
      </c>
      <c r="O315" s="36">
        <f>(Table1_1[[#This Row],[Likes]]+Table1_1[[#This Row],[Shares]]+Table1_1[[#This Row],[Comments]])/ Table1_1[[#This Row],[Impressions]]</f>
        <v>6.3118551273952411E-2</v>
      </c>
    </row>
    <row r="316" spans="1:15" x14ac:dyDescent="0.3">
      <c r="A316" t="s">
        <v>522</v>
      </c>
      <c r="B316" s="41" t="s">
        <v>30</v>
      </c>
      <c r="C316" s="42">
        <v>45568</v>
      </c>
      <c r="D316" s="41" t="s">
        <v>70</v>
      </c>
      <c r="E316" t="s">
        <v>81</v>
      </c>
      <c r="F316" s="17">
        <v>1488</v>
      </c>
      <c r="G316" s="17">
        <v>417</v>
      </c>
      <c r="H316" s="17">
        <v>168</v>
      </c>
      <c r="I316" s="17">
        <v>19344</v>
      </c>
      <c r="J316" s="17">
        <v>18395</v>
      </c>
      <c r="K316" s="17">
        <v>30</v>
      </c>
      <c r="L316" s="41" t="s">
        <v>58</v>
      </c>
      <c r="M316" s="41" t="s">
        <v>28</v>
      </c>
      <c r="N316" s="17">
        <f>Table1_1[[#This Row],[Likes]]+Table1_1[[#This Row],[Shares]]+Table1_1[[#This Row],[Comments]]+Table1_1[[#This Row],[Clicks]]</f>
        <v>2103</v>
      </c>
      <c r="O316" s="36">
        <f>(Table1_1[[#This Row],[Likes]]+Table1_1[[#This Row],[Shares]]+Table1_1[[#This Row],[Comments]])/ Table1_1[[#This Row],[Impressions]]</f>
        <v>0.1071650124069479</v>
      </c>
    </row>
    <row r="317" spans="1:15" x14ac:dyDescent="0.3">
      <c r="A317" t="s">
        <v>524</v>
      </c>
      <c r="B317" s="41" t="s">
        <v>13</v>
      </c>
      <c r="C317" s="42">
        <v>45786</v>
      </c>
      <c r="D317" s="41" t="s">
        <v>15</v>
      </c>
      <c r="E317" t="s">
        <v>16</v>
      </c>
      <c r="F317" s="17">
        <v>3367</v>
      </c>
      <c r="G317" s="17">
        <v>302</v>
      </c>
      <c r="H317" s="17">
        <v>57</v>
      </c>
      <c r="I317" s="17">
        <v>63973</v>
      </c>
      <c r="J317" s="17">
        <v>63789</v>
      </c>
      <c r="K317" s="17">
        <v>157</v>
      </c>
      <c r="L317" s="41" t="s">
        <v>58</v>
      </c>
      <c r="M317" s="41" t="s">
        <v>22</v>
      </c>
      <c r="N317" s="17">
        <f>Table1_1[[#This Row],[Likes]]+Table1_1[[#This Row],[Shares]]+Table1_1[[#This Row],[Comments]]+Table1_1[[#This Row],[Clicks]]</f>
        <v>3883</v>
      </c>
      <c r="O317" s="36">
        <f>(Table1_1[[#This Row],[Likes]]+Table1_1[[#This Row],[Shares]]+Table1_1[[#This Row],[Comments]])/ Table1_1[[#This Row],[Impressions]]</f>
        <v>5.8243321401216137E-2</v>
      </c>
    </row>
    <row r="318" spans="1:15" x14ac:dyDescent="0.3">
      <c r="A318" t="s">
        <v>526</v>
      </c>
      <c r="B318" s="41" t="s">
        <v>13</v>
      </c>
      <c r="C318" s="42">
        <v>45552</v>
      </c>
      <c r="D318" s="41" t="s">
        <v>20</v>
      </c>
      <c r="E318" t="s">
        <v>21</v>
      </c>
      <c r="F318" s="17">
        <v>571</v>
      </c>
      <c r="G318" s="17">
        <v>190</v>
      </c>
      <c r="H318" s="17">
        <v>352</v>
      </c>
      <c r="I318" s="17">
        <v>9707</v>
      </c>
      <c r="J318" s="17">
        <v>9418</v>
      </c>
      <c r="K318" s="17">
        <v>231</v>
      </c>
      <c r="L318" s="41" t="s">
        <v>27</v>
      </c>
      <c r="M318" s="41" t="s">
        <v>35</v>
      </c>
      <c r="N318" s="17">
        <f>Table1_1[[#This Row],[Likes]]+Table1_1[[#This Row],[Shares]]+Table1_1[[#This Row],[Comments]]+Table1_1[[#This Row],[Clicks]]</f>
        <v>1344</v>
      </c>
      <c r="O318" s="36">
        <f>(Table1_1[[#This Row],[Likes]]+Table1_1[[#This Row],[Shares]]+Table1_1[[#This Row],[Comments]])/ Table1_1[[#This Row],[Impressions]]</f>
        <v>0.11465952405480581</v>
      </c>
    </row>
    <row r="319" spans="1:15" x14ac:dyDescent="0.3">
      <c r="A319" t="s">
        <v>527</v>
      </c>
      <c r="B319" s="41" t="s">
        <v>24</v>
      </c>
      <c r="C319" s="42">
        <v>45491</v>
      </c>
      <c r="D319" s="41" t="s">
        <v>20</v>
      </c>
      <c r="E319" t="s">
        <v>99</v>
      </c>
      <c r="F319" s="17">
        <v>4021</v>
      </c>
      <c r="G319" s="17">
        <v>794</v>
      </c>
      <c r="H319" s="17">
        <v>77</v>
      </c>
      <c r="I319" s="17">
        <v>36189</v>
      </c>
      <c r="J319" s="17">
        <v>35505</v>
      </c>
      <c r="K319" s="17">
        <v>174</v>
      </c>
      <c r="L319" s="41" t="s">
        <v>34</v>
      </c>
      <c r="N319" s="17">
        <f>Table1_1[[#This Row],[Likes]]+Table1_1[[#This Row],[Shares]]+Table1_1[[#This Row],[Comments]]+Table1_1[[#This Row],[Clicks]]</f>
        <v>5066</v>
      </c>
      <c r="O319" s="36">
        <f>(Table1_1[[#This Row],[Likes]]+Table1_1[[#This Row],[Shares]]+Table1_1[[#This Row],[Comments]])/ Table1_1[[#This Row],[Impressions]]</f>
        <v>0.13517919809886983</v>
      </c>
    </row>
    <row r="320" spans="1:15" x14ac:dyDescent="0.3">
      <c r="A320" t="s">
        <v>528</v>
      </c>
      <c r="B320" s="41" t="s">
        <v>24</v>
      </c>
      <c r="C320" s="42">
        <v>45560</v>
      </c>
      <c r="D320" s="41" t="s">
        <v>70</v>
      </c>
      <c r="E320" t="s">
        <v>211</v>
      </c>
      <c r="F320" s="17">
        <v>3389</v>
      </c>
      <c r="G320" s="17">
        <v>344</v>
      </c>
      <c r="H320" s="17">
        <v>229</v>
      </c>
      <c r="I320" s="17">
        <v>20334</v>
      </c>
      <c r="J320" s="17">
        <v>19443</v>
      </c>
      <c r="K320" s="17">
        <v>228</v>
      </c>
      <c r="L320" s="41" t="s">
        <v>58</v>
      </c>
      <c r="M320" s="41" t="s">
        <v>28</v>
      </c>
      <c r="N320" s="17">
        <f>Table1_1[[#This Row],[Likes]]+Table1_1[[#This Row],[Shares]]+Table1_1[[#This Row],[Comments]]+Table1_1[[#This Row],[Clicks]]</f>
        <v>4190</v>
      </c>
      <c r="O320" s="36">
        <f>(Table1_1[[#This Row],[Likes]]+Table1_1[[#This Row],[Shares]]+Table1_1[[#This Row],[Comments]])/ Table1_1[[#This Row],[Impressions]]</f>
        <v>0.19484607062063539</v>
      </c>
    </row>
    <row r="321" spans="1:15" x14ac:dyDescent="0.3">
      <c r="A321" t="s">
        <v>530</v>
      </c>
      <c r="B321" s="41" t="s">
        <v>30</v>
      </c>
      <c r="C321" s="42">
        <v>45519</v>
      </c>
      <c r="D321" s="41" t="s">
        <v>15</v>
      </c>
      <c r="E321" t="s">
        <v>78</v>
      </c>
      <c r="F321" s="17">
        <v>1164</v>
      </c>
      <c r="G321" s="17">
        <v>616</v>
      </c>
      <c r="H321" s="17">
        <v>324</v>
      </c>
      <c r="I321" s="17">
        <v>6984</v>
      </c>
      <c r="J321" s="17">
        <v>6636</v>
      </c>
      <c r="K321" s="17">
        <v>82</v>
      </c>
      <c r="L321" s="41" t="s">
        <v>34</v>
      </c>
      <c r="M321" s="41" t="s">
        <v>17</v>
      </c>
      <c r="N321" s="17">
        <f>Table1_1[[#This Row],[Likes]]+Table1_1[[#This Row],[Shares]]+Table1_1[[#This Row],[Comments]]+Table1_1[[#This Row],[Clicks]]</f>
        <v>2186</v>
      </c>
      <c r="O321" s="36">
        <f>(Table1_1[[#This Row],[Likes]]+Table1_1[[#This Row],[Shares]]+Table1_1[[#This Row],[Comments]])/ Table1_1[[#This Row],[Impressions]]</f>
        <v>0.30126002290950743</v>
      </c>
    </row>
    <row r="322" spans="1:15" x14ac:dyDescent="0.3">
      <c r="A322" t="s">
        <v>531</v>
      </c>
      <c r="B322" s="41" t="s">
        <v>24</v>
      </c>
      <c r="C322" s="42">
        <v>45764</v>
      </c>
      <c r="D322" s="41" t="s">
        <v>41</v>
      </c>
      <c r="E322" t="s">
        <v>64</v>
      </c>
      <c r="F322" s="17">
        <v>4780</v>
      </c>
      <c r="G322" s="17">
        <v>691</v>
      </c>
      <c r="H322" s="17">
        <v>380</v>
      </c>
      <c r="I322" s="17">
        <v>86040</v>
      </c>
      <c r="J322" s="17">
        <v>85743</v>
      </c>
      <c r="K322" s="17">
        <v>262</v>
      </c>
      <c r="L322" s="41" t="s">
        <v>58</v>
      </c>
      <c r="M322" s="41" t="s">
        <v>28</v>
      </c>
      <c r="N322" s="17">
        <f>Table1_1[[#This Row],[Likes]]+Table1_1[[#This Row],[Shares]]+Table1_1[[#This Row],[Comments]]+Table1_1[[#This Row],[Clicks]]</f>
        <v>6113</v>
      </c>
      <c r="O322" s="36">
        <f>(Table1_1[[#This Row],[Likes]]+Table1_1[[#This Row],[Shares]]+Table1_1[[#This Row],[Comments]])/ Table1_1[[#This Row],[Impressions]]</f>
        <v>6.800325430032543E-2</v>
      </c>
    </row>
    <row r="323" spans="1:15" x14ac:dyDescent="0.3">
      <c r="A323" t="s">
        <v>533</v>
      </c>
      <c r="B323" s="41" t="s">
        <v>39</v>
      </c>
      <c r="C323" s="42">
        <v>45624</v>
      </c>
      <c r="D323" s="41" t="s">
        <v>41</v>
      </c>
      <c r="E323" t="s">
        <v>42</v>
      </c>
      <c r="F323" s="17">
        <v>2751</v>
      </c>
      <c r="G323" s="17">
        <v>33</v>
      </c>
      <c r="H323" s="17">
        <v>430</v>
      </c>
      <c r="I323" s="17">
        <v>44016</v>
      </c>
      <c r="J323" s="17">
        <v>43415</v>
      </c>
      <c r="K323" s="17">
        <v>129</v>
      </c>
      <c r="L323" s="41" t="s">
        <v>58</v>
      </c>
      <c r="N323" s="17">
        <f>Table1_1[[#This Row],[Likes]]+Table1_1[[#This Row],[Shares]]+Table1_1[[#This Row],[Comments]]+Table1_1[[#This Row],[Clicks]]</f>
        <v>3343</v>
      </c>
      <c r="O323" s="36">
        <f>(Table1_1[[#This Row],[Likes]]+Table1_1[[#This Row],[Shares]]+Table1_1[[#This Row],[Comments]])/ Table1_1[[#This Row],[Impressions]]</f>
        <v>7.3018902217375503E-2</v>
      </c>
    </row>
    <row r="324" spans="1:15" x14ac:dyDescent="0.3">
      <c r="A324" t="s">
        <v>534</v>
      </c>
      <c r="B324" s="41" t="s">
        <v>30</v>
      </c>
      <c r="C324" s="42">
        <v>45646</v>
      </c>
      <c r="D324" s="41" t="s">
        <v>41</v>
      </c>
      <c r="E324" t="s">
        <v>84</v>
      </c>
      <c r="F324" s="17">
        <v>2107</v>
      </c>
      <c r="G324" s="17">
        <v>550</v>
      </c>
      <c r="H324" s="17">
        <v>349</v>
      </c>
      <c r="I324" s="17">
        <v>35819</v>
      </c>
      <c r="J324" s="17">
        <v>35340</v>
      </c>
      <c r="K324" s="17">
        <v>191</v>
      </c>
      <c r="L324" s="41" t="s">
        <v>34</v>
      </c>
      <c r="M324" s="41" t="s">
        <v>35</v>
      </c>
      <c r="N324" s="17">
        <f>Table1_1[[#This Row],[Likes]]+Table1_1[[#This Row],[Shares]]+Table1_1[[#This Row],[Comments]]+Table1_1[[#This Row],[Clicks]]</f>
        <v>3197</v>
      </c>
      <c r="O324" s="36">
        <f>(Table1_1[[#This Row],[Likes]]+Table1_1[[#This Row],[Shares]]+Table1_1[[#This Row],[Comments]])/ Table1_1[[#This Row],[Impressions]]</f>
        <v>8.3921940869371006E-2</v>
      </c>
    </row>
    <row r="325" spans="1:15" x14ac:dyDescent="0.3">
      <c r="A325" t="s">
        <v>536</v>
      </c>
      <c r="B325" s="41" t="s">
        <v>39</v>
      </c>
      <c r="C325" s="42">
        <v>45602</v>
      </c>
      <c r="D325" s="41" t="s">
        <v>70</v>
      </c>
      <c r="E325" t="s">
        <v>71</v>
      </c>
      <c r="F325" s="17">
        <v>4663</v>
      </c>
      <c r="G325" s="17">
        <v>145</v>
      </c>
      <c r="H325" s="17">
        <v>225</v>
      </c>
      <c r="I325" s="17">
        <v>69945</v>
      </c>
      <c r="J325" s="17">
        <v>69596</v>
      </c>
      <c r="K325" s="17">
        <v>35</v>
      </c>
      <c r="L325" s="41" t="s">
        <v>34</v>
      </c>
      <c r="M325" s="41" t="s">
        <v>35</v>
      </c>
      <c r="N325" s="17">
        <f>Table1_1[[#This Row],[Likes]]+Table1_1[[#This Row],[Shares]]+Table1_1[[#This Row],[Comments]]+Table1_1[[#This Row],[Clicks]]</f>
        <v>5068</v>
      </c>
      <c r="O325" s="36">
        <f>(Table1_1[[#This Row],[Likes]]+Table1_1[[#This Row],[Shares]]+Table1_1[[#This Row],[Comments]])/ Table1_1[[#This Row],[Impressions]]</f>
        <v>7.1956537279290869E-2</v>
      </c>
    </row>
    <row r="326" spans="1:15" x14ac:dyDescent="0.3">
      <c r="A326" t="s">
        <v>537</v>
      </c>
      <c r="B326" s="41" t="s">
        <v>39</v>
      </c>
      <c r="C326" s="42">
        <v>45613</v>
      </c>
      <c r="D326" s="41" t="s">
        <v>20</v>
      </c>
      <c r="E326" t="s">
        <v>52</v>
      </c>
      <c r="F326" s="17">
        <v>880</v>
      </c>
      <c r="G326" s="17">
        <v>297</v>
      </c>
      <c r="H326" s="17">
        <v>345</v>
      </c>
      <c r="I326" s="17">
        <v>12320</v>
      </c>
      <c r="J326" s="17">
        <v>11978</v>
      </c>
      <c r="K326" s="17">
        <v>238</v>
      </c>
      <c r="L326" s="41" t="s">
        <v>27</v>
      </c>
      <c r="N326" s="17">
        <f>Table1_1[[#This Row],[Likes]]+Table1_1[[#This Row],[Shares]]+Table1_1[[#This Row],[Comments]]+Table1_1[[#This Row],[Clicks]]</f>
        <v>1760</v>
      </c>
      <c r="O326" s="36">
        <f>(Table1_1[[#This Row],[Likes]]+Table1_1[[#This Row],[Shares]]+Table1_1[[#This Row],[Comments]])/ Table1_1[[#This Row],[Impressions]]</f>
        <v>0.12353896103896105</v>
      </c>
    </row>
    <row r="327" spans="1:15" x14ac:dyDescent="0.3">
      <c r="A327" t="s">
        <v>537</v>
      </c>
      <c r="B327" s="41" t="s">
        <v>39</v>
      </c>
      <c r="C327" s="42">
        <v>45613</v>
      </c>
      <c r="D327" s="41" t="s">
        <v>20</v>
      </c>
      <c r="E327" t="s">
        <v>52</v>
      </c>
      <c r="F327" s="17">
        <v>880</v>
      </c>
      <c r="G327" s="17">
        <v>297</v>
      </c>
      <c r="H327" s="17">
        <v>345</v>
      </c>
      <c r="I327" s="17">
        <v>12320</v>
      </c>
      <c r="J327" s="17">
        <v>11978</v>
      </c>
      <c r="K327" s="17">
        <v>238</v>
      </c>
      <c r="L327" s="41" t="s">
        <v>551</v>
      </c>
      <c r="N327" s="17">
        <f>Table1_1[[#This Row],[Likes]]+Table1_1[[#This Row],[Shares]]+Table1_1[[#This Row],[Comments]]+Table1_1[[#This Row],[Clicks]]</f>
        <v>1760</v>
      </c>
      <c r="O327" s="36">
        <f>(Table1_1[[#This Row],[Likes]]+Table1_1[[#This Row],[Shares]]+Table1_1[[#This Row],[Comments]])/ Table1_1[[#This Row],[Impressions]]</f>
        <v>0.12353896103896105</v>
      </c>
    </row>
    <row r="328" spans="1:15" x14ac:dyDescent="0.3">
      <c r="A328" t="s">
        <v>539</v>
      </c>
      <c r="B328" s="41" t="s">
        <v>39</v>
      </c>
      <c r="C328" s="42">
        <v>45791</v>
      </c>
      <c r="D328" s="41" t="s">
        <v>20</v>
      </c>
      <c r="E328" t="s">
        <v>52</v>
      </c>
      <c r="F328" s="17">
        <v>2634</v>
      </c>
      <c r="G328" s="17">
        <v>726</v>
      </c>
      <c r="H328" s="17">
        <v>241</v>
      </c>
      <c r="I328" s="17">
        <v>28974</v>
      </c>
      <c r="J328" s="17">
        <v>28102</v>
      </c>
      <c r="K328" s="17">
        <v>277</v>
      </c>
      <c r="L328" s="41" t="s">
        <v>34</v>
      </c>
      <c r="M328" s="41" t="s">
        <v>17</v>
      </c>
      <c r="N328" s="17">
        <f>Table1_1[[#This Row],[Likes]]+Table1_1[[#This Row],[Shares]]+Table1_1[[#This Row],[Comments]]+Table1_1[[#This Row],[Clicks]]</f>
        <v>3878</v>
      </c>
      <c r="O328" s="36">
        <f>(Table1_1[[#This Row],[Likes]]+Table1_1[[#This Row],[Shares]]+Table1_1[[#This Row],[Comments]])/ Table1_1[[#This Row],[Impressions]]</f>
        <v>0.12428384068475185</v>
      </c>
    </row>
    <row r="329" spans="1:15" x14ac:dyDescent="0.3">
      <c r="A329" t="s">
        <v>541</v>
      </c>
      <c r="B329" s="41" t="s">
        <v>39</v>
      </c>
      <c r="C329" s="42">
        <v>45462</v>
      </c>
      <c r="D329" s="41" t="s">
        <v>41</v>
      </c>
      <c r="E329" t="s">
        <v>42</v>
      </c>
      <c r="F329" s="17">
        <v>4731</v>
      </c>
      <c r="G329" s="17">
        <v>173</v>
      </c>
      <c r="H329" s="17">
        <v>276</v>
      </c>
      <c r="I329" s="17">
        <v>28386</v>
      </c>
      <c r="J329" s="17">
        <v>28185</v>
      </c>
      <c r="K329" s="17">
        <v>89</v>
      </c>
      <c r="L329" s="41" t="s">
        <v>34</v>
      </c>
      <c r="M329" s="41" t="s">
        <v>28</v>
      </c>
      <c r="N329" s="17">
        <f>Table1_1[[#This Row],[Likes]]+Table1_1[[#This Row],[Shares]]+Table1_1[[#This Row],[Comments]]+Table1_1[[#This Row],[Clicks]]</f>
        <v>5269</v>
      </c>
      <c r="O329" s="36">
        <f>(Table1_1[[#This Row],[Likes]]+Table1_1[[#This Row],[Shares]]+Table1_1[[#This Row],[Comments]])/ Table1_1[[#This Row],[Impressions]]</f>
        <v>0.18248432325794406</v>
      </c>
    </row>
    <row r="330" spans="1:15" x14ac:dyDescent="0.3">
      <c r="A330" t="s">
        <v>543</v>
      </c>
      <c r="B330" s="41" t="s">
        <v>13</v>
      </c>
      <c r="C330" s="42">
        <v>45783</v>
      </c>
      <c r="D330" s="41" t="s">
        <v>48</v>
      </c>
      <c r="E330" t="s">
        <v>127</v>
      </c>
      <c r="F330" s="17">
        <v>1952</v>
      </c>
      <c r="G330" s="17">
        <v>344</v>
      </c>
      <c r="H330" s="17">
        <v>287</v>
      </c>
      <c r="I330" s="17">
        <v>15616</v>
      </c>
      <c r="J330" s="17">
        <v>15403</v>
      </c>
      <c r="K330" s="17">
        <v>235</v>
      </c>
      <c r="L330" s="41" t="s">
        <v>58</v>
      </c>
      <c r="M330" s="41" t="s">
        <v>22</v>
      </c>
      <c r="N330" s="17">
        <f>Table1_1[[#This Row],[Likes]]+Table1_1[[#This Row],[Shares]]+Table1_1[[#This Row],[Comments]]+Table1_1[[#This Row],[Clicks]]</f>
        <v>2818</v>
      </c>
      <c r="O330" s="36">
        <f>(Table1_1[[#This Row],[Likes]]+Table1_1[[#This Row],[Shares]]+Table1_1[[#This Row],[Comments]])/ Table1_1[[#This Row],[Impressions]]</f>
        <v>0.16540727459016394</v>
      </c>
    </row>
    <row r="331" spans="1:15" x14ac:dyDescent="0.3">
      <c r="A331" t="s">
        <v>543</v>
      </c>
      <c r="B331" s="41" t="s">
        <v>13</v>
      </c>
      <c r="C331" s="42">
        <v>45783</v>
      </c>
      <c r="D331" s="41" t="s">
        <v>48</v>
      </c>
      <c r="E331" t="s">
        <v>127</v>
      </c>
      <c r="F331" s="17">
        <v>1952</v>
      </c>
      <c r="G331" s="17">
        <v>344</v>
      </c>
      <c r="H331" s="17">
        <v>287</v>
      </c>
      <c r="I331" s="17">
        <v>15616</v>
      </c>
      <c r="J331" s="17">
        <v>15403</v>
      </c>
      <c r="K331" s="17">
        <v>235</v>
      </c>
      <c r="L331" s="41" t="s">
        <v>27</v>
      </c>
      <c r="M331" s="41" t="s">
        <v>22</v>
      </c>
      <c r="N331" s="17">
        <f>Table1_1[[#This Row],[Likes]]+Table1_1[[#This Row],[Shares]]+Table1_1[[#This Row],[Comments]]+Table1_1[[#This Row],[Clicks]]</f>
        <v>2818</v>
      </c>
      <c r="O331" s="36">
        <f>(Table1_1[[#This Row],[Likes]]+Table1_1[[#This Row],[Shares]]+Table1_1[[#This Row],[Comments]])/ Table1_1[[#This Row],[Impressions]]</f>
        <v>0.16540727459016394</v>
      </c>
    </row>
    <row r="332" spans="1:15" x14ac:dyDescent="0.3">
      <c r="A332" t="s">
        <v>543</v>
      </c>
      <c r="B332" s="41" t="s">
        <v>13</v>
      </c>
      <c r="C332" s="42">
        <v>45783</v>
      </c>
      <c r="D332" s="41" t="s">
        <v>48</v>
      </c>
      <c r="E332" t="s">
        <v>127</v>
      </c>
      <c r="F332" s="17">
        <v>1952</v>
      </c>
      <c r="G332" s="17">
        <v>344</v>
      </c>
      <c r="H332" s="17">
        <v>287</v>
      </c>
      <c r="I332" s="17">
        <v>15616</v>
      </c>
      <c r="J332" s="17">
        <v>15403</v>
      </c>
      <c r="K332" s="17">
        <v>235</v>
      </c>
      <c r="L332" s="41" t="s">
        <v>551</v>
      </c>
      <c r="M332" s="41" t="s">
        <v>22</v>
      </c>
      <c r="N332" s="17">
        <f>Table1_1[[#This Row],[Likes]]+Table1_1[[#This Row],[Shares]]+Table1_1[[#This Row],[Comments]]+Table1_1[[#This Row],[Clicks]]</f>
        <v>2818</v>
      </c>
      <c r="O332" s="36">
        <f>(Table1_1[[#This Row],[Likes]]+Table1_1[[#This Row],[Shares]]+Table1_1[[#This Row],[Comments]])/ Table1_1[[#This Row],[Impressions]]</f>
        <v>0.16540727459016394</v>
      </c>
    </row>
    <row r="333" spans="1:15" x14ac:dyDescent="0.3">
      <c r="A333" t="s">
        <v>544</v>
      </c>
      <c r="B333" s="41" t="s">
        <v>13</v>
      </c>
      <c r="C333" s="42">
        <v>45699</v>
      </c>
      <c r="D333" s="41" t="s">
        <v>70</v>
      </c>
      <c r="E333" t="s">
        <v>140</v>
      </c>
      <c r="F333" s="17">
        <v>3440</v>
      </c>
      <c r="G333" s="17">
        <v>13</v>
      </c>
      <c r="H333" s="17">
        <v>20</v>
      </c>
      <c r="I333" s="17">
        <v>58480</v>
      </c>
      <c r="J333" s="17">
        <v>58146</v>
      </c>
      <c r="K333" s="17">
        <v>210</v>
      </c>
      <c r="L333" s="41" t="s">
        <v>27</v>
      </c>
      <c r="M333" s="41" t="s">
        <v>35</v>
      </c>
      <c r="N333" s="17">
        <f>Table1_1[[#This Row],[Likes]]+Table1_1[[#This Row],[Shares]]+Table1_1[[#This Row],[Comments]]+Table1_1[[#This Row],[Clicks]]</f>
        <v>3683</v>
      </c>
      <c r="O333" s="36">
        <f>(Table1_1[[#This Row],[Likes]]+Table1_1[[#This Row],[Shares]]+Table1_1[[#This Row],[Comments]])/ Table1_1[[#This Row],[Impressions]]</f>
        <v>5.9387824897400819E-2</v>
      </c>
    </row>
    <row r="334" spans="1:15" x14ac:dyDescent="0.3">
      <c r="A334" t="s">
        <v>544</v>
      </c>
      <c r="B334" s="41" t="s">
        <v>13</v>
      </c>
      <c r="C334" s="42">
        <v>45699</v>
      </c>
      <c r="D334" s="41" t="s">
        <v>70</v>
      </c>
      <c r="E334" t="s">
        <v>140</v>
      </c>
      <c r="F334" s="17">
        <v>3440</v>
      </c>
      <c r="G334" s="17">
        <v>13</v>
      </c>
      <c r="H334" s="17">
        <v>20</v>
      </c>
      <c r="I334" s="17">
        <v>58480</v>
      </c>
      <c r="J334" s="17">
        <v>58146</v>
      </c>
      <c r="K334" s="17">
        <v>210</v>
      </c>
      <c r="L334" s="41" t="s">
        <v>552</v>
      </c>
      <c r="M334" s="41" t="s">
        <v>35</v>
      </c>
      <c r="N334" s="17">
        <f>Table1_1[[#This Row],[Likes]]+Table1_1[[#This Row],[Shares]]+Table1_1[[#This Row],[Comments]]+Table1_1[[#This Row],[Clicks]]</f>
        <v>3683</v>
      </c>
      <c r="O334" s="36">
        <f>(Table1_1[[#This Row],[Likes]]+Table1_1[[#This Row],[Shares]]+Table1_1[[#This Row],[Comments]])/ Table1_1[[#This Row],[Impressions]]</f>
        <v>5.9387824897400819E-2</v>
      </c>
    </row>
    <row r="335" spans="1:15" x14ac:dyDescent="0.3">
      <c r="A335" t="s">
        <v>546</v>
      </c>
      <c r="B335" s="41" t="s">
        <v>13</v>
      </c>
      <c r="C335" s="42">
        <v>45650</v>
      </c>
      <c r="D335" s="41" t="s">
        <v>20</v>
      </c>
      <c r="E335" t="s">
        <v>21</v>
      </c>
      <c r="F335" s="17">
        <v>2166</v>
      </c>
      <c r="G335" s="17">
        <v>354</v>
      </c>
      <c r="H335" s="17">
        <v>117</v>
      </c>
      <c r="I335" s="17">
        <v>10830</v>
      </c>
      <c r="J335" s="17">
        <v>10245</v>
      </c>
      <c r="K335" s="17">
        <v>24</v>
      </c>
      <c r="L335" s="41" t="s">
        <v>34</v>
      </c>
      <c r="M335" s="41" t="s">
        <v>35</v>
      </c>
      <c r="N335" s="17">
        <f>Table1_1[[#This Row],[Likes]]+Table1_1[[#This Row],[Shares]]+Table1_1[[#This Row],[Comments]]+Table1_1[[#This Row],[Clicks]]</f>
        <v>2661</v>
      </c>
      <c r="O335" s="36">
        <f>(Table1_1[[#This Row],[Likes]]+Table1_1[[#This Row],[Shares]]+Table1_1[[#This Row],[Comments]])/ Table1_1[[#This Row],[Impressions]]</f>
        <v>0.24349030470914126</v>
      </c>
    </row>
    <row r="336" spans="1:15" x14ac:dyDescent="0.3">
      <c r="A336" t="s">
        <v>548</v>
      </c>
      <c r="B336" s="41" t="s">
        <v>39</v>
      </c>
      <c r="C336" s="42">
        <v>45589</v>
      </c>
      <c r="D336" s="41" t="s">
        <v>48</v>
      </c>
      <c r="E336" t="s">
        <v>55</v>
      </c>
      <c r="F336" s="17">
        <v>4303</v>
      </c>
      <c r="G336" s="17">
        <v>451</v>
      </c>
      <c r="H336" s="17">
        <v>286</v>
      </c>
      <c r="I336" s="17">
        <v>86060</v>
      </c>
      <c r="J336" s="17">
        <v>85823</v>
      </c>
      <c r="K336" s="17">
        <v>14</v>
      </c>
      <c r="L336" s="41" t="s">
        <v>27</v>
      </c>
      <c r="M336" s="41" t="s">
        <v>28</v>
      </c>
      <c r="N336" s="17">
        <f>Table1_1[[#This Row],[Likes]]+Table1_1[[#This Row],[Shares]]+Table1_1[[#This Row],[Comments]]+Table1_1[[#This Row],[Clicks]]</f>
        <v>5054</v>
      </c>
      <c r="O336" s="36">
        <f>(Table1_1[[#This Row],[Likes]]+Table1_1[[#This Row],[Shares]]+Table1_1[[#This Row],[Comments]])/ Table1_1[[#This Row],[Impressions]]</f>
        <v>5.8563792702765516E-2</v>
      </c>
    </row>
    <row r="337" spans="1:15" x14ac:dyDescent="0.3">
      <c r="A337" t="s">
        <v>549</v>
      </c>
      <c r="B337" s="41" t="s">
        <v>39</v>
      </c>
      <c r="C337" s="42">
        <v>45530</v>
      </c>
      <c r="D337" s="41" t="s">
        <v>48</v>
      </c>
      <c r="E337" t="s">
        <v>55</v>
      </c>
      <c r="F337" s="17">
        <v>2581</v>
      </c>
      <c r="G337" s="17">
        <v>517</v>
      </c>
      <c r="H337" s="17">
        <v>117</v>
      </c>
      <c r="I337" s="17">
        <v>23229</v>
      </c>
      <c r="J337" s="17">
        <v>22331</v>
      </c>
      <c r="K337" s="17">
        <v>70</v>
      </c>
      <c r="L337" s="41" t="s">
        <v>58</v>
      </c>
      <c r="M337" s="41" t="s">
        <v>28</v>
      </c>
      <c r="N337" s="17">
        <f>Table1_1[[#This Row],[Likes]]+Table1_1[[#This Row],[Shares]]+Table1_1[[#This Row],[Comments]]+Table1_1[[#This Row],[Clicks]]</f>
        <v>3285</v>
      </c>
      <c r="O337" s="36">
        <f>(Table1_1[[#This Row],[Likes]]+Table1_1[[#This Row],[Shares]]+Table1_1[[#This Row],[Comments]])/ Table1_1[[#This Row],[Impressions]]</f>
        <v>0.13840458048129492</v>
      </c>
    </row>
    <row r="338" spans="1:15" x14ac:dyDescent="0.3">
      <c r="A338" t="s">
        <v>550</v>
      </c>
      <c r="B338" s="41" t="s">
        <v>13</v>
      </c>
      <c r="C338" s="42">
        <v>45535</v>
      </c>
      <c r="D338" s="41" t="s">
        <v>41</v>
      </c>
      <c r="E338" t="s">
        <v>45</v>
      </c>
      <c r="F338" s="17">
        <v>4494</v>
      </c>
      <c r="G338" s="17">
        <v>717</v>
      </c>
      <c r="H338" s="17">
        <v>45</v>
      </c>
      <c r="I338" s="17">
        <v>62916</v>
      </c>
      <c r="J338" s="17">
        <v>62688</v>
      </c>
      <c r="K338" s="17">
        <v>191</v>
      </c>
      <c r="L338" s="41" t="s">
        <v>27</v>
      </c>
      <c r="M338" s="41" t="s">
        <v>17</v>
      </c>
      <c r="N338" s="17">
        <f>Table1_1[[#This Row],[Likes]]+Table1_1[[#This Row],[Shares]]+Table1_1[[#This Row],[Comments]]+Table1_1[[#This Row],[Clicks]]</f>
        <v>5447</v>
      </c>
      <c r="O338" s="36">
        <f>(Table1_1[[#This Row],[Likes]]+Table1_1[[#This Row],[Shares]]+Table1_1[[#This Row],[Comments]])/ Table1_1[[#This Row],[Impressions]]</f>
        <v>8.3539958039290485E-2</v>
      </c>
    </row>
    <row r="339" spans="1:15" x14ac:dyDescent="0.3">
      <c r="A339" t="s">
        <v>550</v>
      </c>
      <c r="B339" s="41" t="s">
        <v>13</v>
      </c>
      <c r="C339" s="42">
        <v>45535</v>
      </c>
      <c r="D339" s="41" t="s">
        <v>41</v>
      </c>
      <c r="E339" t="s">
        <v>45</v>
      </c>
      <c r="F339" s="17">
        <v>4494</v>
      </c>
      <c r="G339" s="17">
        <v>717</v>
      </c>
      <c r="H339" s="17">
        <v>45</v>
      </c>
      <c r="I339" s="17">
        <v>62916</v>
      </c>
      <c r="J339" s="17">
        <v>62688</v>
      </c>
      <c r="K339" s="17">
        <v>191</v>
      </c>
      <c r="L339" s="41" t="s">
        <v>34</v>
      </c>
      <c r="M339" s="41" t="s">
        <v>17</v>
      </c>
      <c r="N339" s="17">
        <f>Table1_1[[#This Row],[Likes]]+Table1_1[[#This Row],[Shares]]+Table1_1[[#This Row],[Comments]]+Table1_1[[#This Row],[Clicks]]</f>
        <v>5447</v>
      </c>
      <c r="O339" s="36">
        <f>(Table1_1[[#This Row],[Likes]]+Table1_1[[#This Row],[Shares]]+Table1_1[[#This Row],[Comments]])/ Table1_1[[#This Row],[Impressions]]</f>
        <v>8.3539958039290485E-2</v>
      </c>
    </row>
    <row r="340" spans="1:15" x14ac:dyDescent="0.3">
      <c r="A340" t="s">
        <v>550</v>
      </c>
      <c r="B340" s="41" t="s">
        <v>13</v>
      </c>
      <c r="C340" s="42">
        <v>45535</v>
      </c>
      <c r="D340" s="41" t="s">
        <v>41</v>
      </c>
      <c r="E340" t="s">
        <v>45</v>
      </c>
      <c r="F340" s="17">
        <v>4494</v>
      </c>
      <c r="G340" s="17">
        <v>717</v>
      </c>
      <c r="H340" s="17">
        <v>45</v>
      </c>
      <c r="I340" s="17">
        <v>62916</v>
      </c>
      <c r="J340" s="17">
        <v>62688</v>
      </c>
      <c r="K340" s="17">
        <v>191</v>
      </c>
      <c r="L340" s="41" t="s">
        <v>553</v>
      </c>
      <c r="M340" s="41" t="s">
        <v>17</v>
      </c>
      <c r="N340" s="17">
        <f>Table1_1[[#This Row],[Likes]]+Table1_1[[#This Row],[Shares]]+Table1_1[[#This Row],[Comments]]+Table1_1[[#This Row],[Clicks]]</f>
        <v>5447</v>
      </c>
      <c r="O340" s="36">
        <f>(Table1_1[[#This Row],[Likes]]+Table1_1[[#This Row],[Shares]]+Table1_1[[#This Row],[Comments]])/ Table1_1[[#This Row],[Impressions]]</f>
        <v>8.3539958039290485E-2</v>
      </c>
    </row>
  </sheetData>
  <phoneticPr fontId="5"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E7B6-B5FD-4644-A92B-1AF5EC9A480F}">
  <sheetPr>
    <tabColor theme="9" tint="0.59999389629810485"/>
  </sheetPr>
  <dimension ref="A1:H10"/>
  <sheetViews>
    <sheetView workbookViewId="0">
      <selection activeCell="J17" sqref="J17"/>
    </sheetView>
  </sheetViews>
  <sheetFormatPr defaultRowHeight="14.4" x14ac:dyDescent="0.3"/>
  <cols>
    <col min="1" max="1" width="20.21875" bestFit="1" customWidth="1"/>
    <col min="2" max="2" width="21.33203125" bestFit="1" customWidth="1"/>
  </cols>
  <sheetData>
    <row r="1" spans="1:8" ht="18" x14ac:dyDescent="0.3">
      <c r="A1" s="57" t="s">
        <v>636</v>
      </c>
      <c r="B1" s="57"/>
      <c r="C1" s="57"/>
      <c r="D1" s="57"/>
      <c r="E1" s="57"/>
      <c r="F1" s="57"/>
      <c r="G1" s="57"/>
      <c r="H1" s="57"/>
    </row>
    <row r="3" spans="1:8" x14ac:dyDescent="0.3">
      <c r="A3" s="15" t="s">
        <v>579</v>
      </c>
      <c r="B3" t="s">
        <v>635</v>
      </c>
    </row>
    <row r="4" spans="1:8" x14ac:dyDescent="0.3">
      <c r="A4" s="16" t="s">
        <v>551</v>
      </c>
      <c r="B4">
        <v>15</v>
      </c>
    </row>
    <row r="5" spans="1:8" x14ac:dyDescent="0.3">
      <c r="A5" s="16" t="s">
        <v>553</v>
      </c>
      <c r="B5">
        <v>7</v>
      </c>
    </row>
    <row r="6" spans="1:8" x14ac:dyDescent="0.3">
      <c r="A6" s="16" t="s">
        <v>34</v>
      </c>
      <c r="B6">
        <v>102</v>
      </c>
    </row>
    <row r="7" spans="1:8" x14ac:dyDescent="0.3">
      <c r="A7" s="16" t="s">
        <v>58</v>
      </c>
      <c r="B7">
        <v>103</v>
      </c>
    </row>
    <row r="8" spans="1:8" x14ac:dyDescent="0.3">
      <c r="A8" s="16" t="s">
        <v>552</v>
      </c>
      <c r="B8">
        <v>5</v>
      </c>
    </row>
    <row r="9" spans="1:8" x14ac:dyDescent="0.3">
      <c r="A9" s="16" t="s">
        <v>27</v>
      </c>
      <c r="B9">
        <v>107</v>
      </c>
    </row>
    <row r="10" spans="1:8" x14ac:dyDescent="0.3">
      <c r="A10" s="16" t="s">
        <v>580</v>
      </c>
      <c r="B10">
        <v>339</v>
      </c>
    </row>
  </sheetData>
  <mergeCells count="1">
    <mergeCell ref="A1:H1"/>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0DB8-88CD-415A-A104-37CDF5AD2350}">
  <sheetPr>
    <tabColor theme="9" tint="0.59999389629810485"/>
  </sheetPr>
  <dimension ref="A1:H10"/>
  <sheetViews>
    <sheetView topLeftCell="E1" workbookViewId="0">
      <selection activeCell="O10" sqref="O10"/>
    </sheetView>
  </sheetViews>
  <sheetFormatPr defaultRowHeight="14.4" x14ac:dyDescent="0.3"/>
  <cols>
    <col min="1" max="1" width="20.21875" bestFit="1" customWidth="1"/>
    <col min="2" max="2" width="14.77734375" bestFit="1" customWidth="1"/>
    <col min="3" max="3" width="16.21875" bestFit="1" customWidth="1"/>
    <col min="4" max="4" width="19.88671875" bestFit="1" customWidth="1"/>
    <col min="5" max="5" width="20.77734375" bestFit="1" customWidth="1"/>
    <col min="6" max="6" width="15.77734375" bestFit="1" customWidth="1"/>
    <col min="7" max="7" width="15.33203125" bestFit="1" customWidth="1"/>
    <col min="8" max="8" width="25.21875" bestFit="1" customWidth="1"/>
  </cols>
  <sheetData>
    <row r="1" spans="1:8" ht="18" x14ac:dyDescent="0.3">
      <c r="A1" s="57" t="s">
        <v>637</v>
      </c>
      <c r="B1" s="57"/>
      <c r="C1" s="57"/>
      <c r="D1" s="57"/>
      <c r="E1" s="57"/>
      <c r="F1" s="57"/>
      <c r="G1" s="57"/>
      <c r="H1" s="57"/>
    </row>
    <row r="3" spans="1:8" x14ac:dyDescent="0.3">
      <c r="A3" s="15" t="s">
        <v>579</v>
      </c>
      <c r="B3" t="s">
        <v>643</v>
      </c>
      <c r="C3" t="s">
        <v>642</v>
      </c>
      <c r="D3" t="s">
        <v>641</v>
      </c>
      <c r="E3" t="s">
        <v>640</v>
      </c>
      <c r="F3" t="s">
        <v>639</v>
      </c>
      <c r="G3" t="s">
        <v>584</v>
      </c>
      <c r="H3" t="s">
        <v>638</v>
      </c>
    </row>
    <row r="4" spans="1:8" x14ac:dyDescent="0.3">
      <c r="A4" s="16" t="s">
        <v>551</v>
      </c>
      <c r="B4" s="17">
        <v>2219.6</v>
      </c>
      <c r="C4" s="17">
        <v>423.93333333333334</v>
      </c>
      <c r="D4" s="17">
        <v>257.39999999999998</v>
      </c>
      <c r="E4" s="17">
        <v>27974.133333333335</v>
      </c>
      <c r="F4" s="17">
        <v>27513.666666666668</v>
      </c>
      <c r="G4" s="17">
        <v>161.19999999999999</v>
      </c>
      <c r="H4" s="36">
        <v>0.11636073778371317</v>
      </c>
    </row>
    <row r="5" spans="1:8" x14ac:dyDescent="0.3">
      <c r="A5" s="16" t="s">
        <v>553</v>
      </c>
      <c r="B5" s="17">
        <v>3451.7142857142858</v>
      </c>
      <c r="C5" s="17">
        <v>540.57142857142856</v>
      </c>
      <c r="D5" s="17">
        <v>151</v>
      </c>
      <c r="E5" s="17">
        <v>47972</v>
      </c>
      <c r="F5" s="17">
        <v>47434</v>
      </c>
      <c r="G5" s="17">
        <v>114.85714285714286</v>
      </c>
      <c r="H5" s="36">
        <v>0.12589594685729985</v>
      </c>
    </row>
    <row r="6" spans="1:8" x14ac:dyDescent="0.3">
      <c r="A6" s="16" t="s">
        <v>34</v>
      </c>
      <c r="B6" s="17">
        <v>2838.8039215686276</v>
      </c>
      <c r="C6" s="17">
        <v>464.96078431372547</v>
      </c>
      <c r="D6" s="17">
        <v>230.95098039215685</v>
      </c>
      <c r="E6" s="17">
        <v>34738.823529411762</v>
      </c>
      <c r="F6" s="17">
        <v>34194.852941176468</v>
      </c>
      <c r="G6" s="17">
        <v>151.52941176470588</v>
      </c>
      <c r="H6" s="36">
        <v>0.15386132749296613</v>
      </c>
    </row>
    <row r="7" spans="1:8" x14ac:dyDescent="0.3">
      <c r="A7" s="16" t="s">
        <v>58</v>
      </c>
      <c r="B7" s="17">
        <v>2634.7184466019417</v>
      </c>
      <c r="C7" s="17">
        <v>508.63106796116506</v>
      </c>
      <c r="D7" s="17">
        <v>262.50485436893206</v>
      </c>
      <c r="E7" s="17">
        <v>33348.990291262133</v>
      </c>
      <c r="F7" s="17">
        <v>32823.407766990291</v>
      </c>
      <c r="G7" s="17">
        <v>144.03883495145632</v>
      </c>
      <c r="H7" s="36">
        <v>0.14123247081320281</v>
      </c>
    </row>
    <row r="8" spans="1:8" x14ac:dyDescent="0.3">
      <c r="A8" s="16" t="s">
        <v>552</v>
      </c>
      <c r="B8" s="17">
        <v>3127.8</v>
      </c>
      <c r="C8" s="17">
        <v>356.2</v>
      </c>
      <c r="D8" s="17">
        <v>283.39999999999998</v>
      </c>
      <c r="E8" s="17">
        <v>36447.199999999997</v>
      </c>
      <c r="F8" s="17">
        <v>36122</v>
      </c>
      <c r="G8" s="17">
        <v>111.8</v>
      </c>
      <c r="H8" s="36">
        <v>0.11481753670769271</v>
      </c>
    </row>
    <row r="9" spans="1:8" x14ac:dyDescent="0.3">
      <c r="A9" s="16" t="s">
        <v>27</v>
      </c>
      <c r="B9" s="17">
        <v>2705.1028037383176</v>
      </c>
      <c r="C9" s="17">
        <v>458.01869158878503</v>
      </c>
      <c r="D9" s="17">
        <v>254.18691588785046</v>
      </c>
      <c r="E9" s="17">
        <v>35914</v>
      </c>
      <c r="F9" s="17">
        <v>35360.028037383177</v>
      </c>
      <c r="G9" s="17">
        <v>158.65420560747663</v>
      </c>
      <c r="H9" s="36">
        <v>0.14515321153500599</v>
      </c>
    </row>
    <row r="10" spans="1:8" x14ac:dyDescent="0.3">
      <c r="A10" s="16" t="s">
        <v>580</v>
      </c>
      <c r="B10" s="17">
        <v>2724.1150442477874</v>
      </c>
      <c r="C10" s="17">
        <v>474.17994100294987</v>
      </c>
      <c r="D10" s="17">
        <v>248.16519174041298</v>
      </c>
      <c r="E10" s="17">
        <v>34686.595870206489</v>
      </c>
      <c r="F10" s="17">
        <v>34152.100294985248</v>
      </c>
      <c r="G10" s="17">
        <v>150.58702064896755</v>
      </c>
      <c r="H10" s="36">
        <v>0.14446302038520153</v>
      </c>
    </row>
  </sheetData>
  <mergeCells count="1">
    <mergeCell ref="A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0AE61-FDFF-444A-8CE6-B69658549578}">
  <sheetPr>
    <tabColor theme="9" tint="0.79998168889431442"/>
  </sheetPr>
  <dimension ref="A1:H10"/>
  <sheetViews>
    <sheetView topLeftCell="F6" workbookViewId="0">
      <selection activeCell="S32" sqref="S32"/>
    </sheetView>
  </sheetViews>
  <sheetFormatPr defaultRowHeight="14.4" x14ac:dyDescent="0.3"/>
  <cols>
    <col min="1" max="1" width="12.5546875" bestFit="1" customWidth="1"/>
    <col min="2" max="2" width="14.77734375" bestFit="1" customWidth="1"/>
    <col min="3" max="3" width="16.21875" bestFit="1" customWidth="1"/>
    <col min="4" max="4" width="19.88671875" bestFit="1" customWidth="1"/>
    <col min="5" max="5" width="20.77734375" bestFit="1" customWidth="1"/>
    <col min="6" max="6" width="15.77734375" bestFit="1" customWidth="1"/>
    <col min="7" max="7" width="15.33203125" bestFit="1" customWidth="1"/>
    <col min="8" max="8" width="25.21875" bestFit="1" customWidth="1"/>
  </cols>
  <sheetData>
    <row r="1" spans="1:8" ht="18" x14ac:dyDescent="0.3">
      <c r="A1" s="57" t="s">
        <v>644</v>
      </c>
      <c r="B1" s="57"/>
      <c r="C1" s="57"/>
      <c r="D1" s="57"/>
      <c r="E1" s="57"/>
      <c r="F1" s="57"/>
      <c r="G1" s="57"/>
      <c r="H1" s="57"/>
    </row>
    <row r="3" spans="1:8" x14ac:dyDescent="0.3">
      <c r="A3" s="15" t="s">
        <v>579</v>
      </c>
      <c r="B3" t="s">
        <v>643</v>
      </c>
      <c r="C3" t="s">
        <v>642</v>
      </c>
      <c r="D3" t="s">
        <v>641</v>
      </c>
      <c r="E3" t="s">
        <v>640</v>
      </c>
      <c r="F3" t="s">
        <v>639</v>
      </c>
      <c r="G3" t="s">
        <v>584</v>
      </c>
      <c r="H3" t="s">
        <v>638</v>
      </c>
    </row>
    <row r="4" spans="1:8" x14ac:dyDescent="0.3">
      <c r="A4" s="16" t="s">
        <v>41</v>
      </c>
      <c r="B4" s="17">
        <v>2682.8507462686566</v>
      </c>
      <c r="C4" s="17">
        <v>450.68656716417911</v>
      </c>
      <c r="D4" s="17">
        <v>239.67164179104478</v>
      </c>
      <c r="E4" s="17">
        <v>34865.447761194031</v>
      </c>
      <c r="F4" s="17">
        <v>34354.880597014926</v>
      </c>
      <c r="G4" s="17">
        <v>158.62686567164178</v>
      </c>
      <c r="H4" s="36">
        <v>0.14726325711841348</v>
      </c>
    </row>
    <row r="5" spans="1:8" x14ac:dyDescent="0.3">
      <c r="A5" s="16" t="s">
        <v>48</v>
      </c>
      <c r="B5" s="17">
        <v>2701.7361111111113</v>
      </c>
      <c r="C5" s="17">
        <v>452.36111111111109</v>
      </c>
      <c r="D5" s="17">
        <v>260.75</v>
      </c>
      <c r="E5" s="17">
        <v>35300.986111111109</v>
      </c>
      <c r="F5" s="17">
        <v>34731.347222222219</v>
      </c>
      <c r="G5" s="17">
        <v>159.91666666666666</v>
      </c>
      <c r="H5" s="36">
        <v>0.13320104781588207</v>
      </c>
    </row>
    <row r="6" spans="1:8" x14ac:dyDescent="0.3">
      <c r="A6" s="16" t="s">
        <v>15</v>
      </c>
      <c r="B6" s="17">
        <v>2750.2264150943397</v>
      </c>
      <c r="C6" s="17">
        <v>491.11320754716979</v>
      </c>
      <c r="D6" s="17">
        <v>237.90566037735849</v>
      </c>
      <c r="E6" s="17">
        <v>35168.056603773584</v>
      </c>
      <c r="F6" s="17">
        <v>34638.32075471698</v>
      </c>
      <c r="G6" s="17">
        <v>152.24528301886792</v>
      </c>
      <c r="H6" s="36">
        <v>0.15209713454460921</v>
      </c>
    </row>
    <row r="7" spans="1:8" x14ac:dyDescent="0.3">
      <c r="A7" s="16" t="s">
        <v>32</v>
      </c>
      <c r="B7" s="17">
        <v>2774</v>
      </c>
      <c r="C7" s="17">
        <v>531.1875</v>
      </c>
      <c r="D7" s="17">
        <v>261.35416666666669</v>
      </c>
      <c r="E7" s="17">
        <v>33374</v>
      </c>
      <c r="F7" s="17">
        <v>32837.770833333336</v>
      </c>
      <c r="G7" s="17">
        <v>126.625</v>
      </c>
      <c r="H7" s="36">
        <v>0.18023669224095737</v>
      </c>
    </row>
    <row r="8" spans="1:8" x14ac:dyDescent="0.3">
      <c r="A8" s="16" t="s">
        <v>20</v>
      </c>
      <c r="B8" s="17">
        <v>2756.375</v>
      </c>
      <c r="C8" s="17">
        <v>431.10416666666669</v>
      </c>
      <c r="D8" s="17">
        <v>251.375</v>
      </c>
      <c r="E8" s="17">
        <v>35011.041666666664</v>
      </c>
      <c r="F8" s="17">
        <v>34449.5625</v>
      </c>
      <c r="G8" s="17">
        <v>167.02083333333334</v>
      </c>
      <c r="H8" s="36">
        <v>0.11693453501108982</v>
      </c>
    </row>
    <row r="9" spans="1:8" x14ac:dyDescent="0.3">
      <c r="A9" s="16" t="s">
        <v>70</v>
      </c>
      <c r="B9" s="17">
        <v>2705.4705882352941</v>
      </c>
      <c r="C9" s="17">
        <v>505.13725490196077</v>
      </c>
      <c r="D9" s="17">
        <v>236.78431372549019</v>
      </c>
      <c r="E9" s="17">
        <v>34013.941176470587</v>
      </c>
      <c r="F9" s="17">
        <v>33519.705882352944</v>
      </c>
      <c r="G9" s="17">
        <v>132.21568627450981</v>
      </c>
      <c r="H9" s="36">
        <v>0.14098986670477595</v>
      </c>
    </row>
    <row r="10" spans="1:8" x14ac:dyDescent="0.3">
      <c r="A10" s="16" t="s">
        <v>580</v>
      </c>
      <c r="B10" s="17">
        <v>2724.1150442477874</v>
      </c>
      <c r="C10" s="17">
        <v>474.17994100294987</v>
      </c>
      <c r="D10" s="17">
        <v>248.16519174041298</v>
      </c>
      <c r="E10" s="17">
        <v>34686.595870206489</v>
      </c>
      <c r="F10" s="17">
        <v>34152.100294985248</v>
      </c>
      <c r="G10" s="17">
        <v>150.58702064896755</v>
      </c>
      <c r="H10" s="36">
        <v>0.1444630203852017</v>
      </c>
    </row>
  </sheetData>
  <mergeCells count="1">
    <mergeCell ref="A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27F3-C897-4D68-AA25-63BDC38A2ABA}">
  <sheetPr>
    <tabColor rgb="FF7030A0"/>
  </sheetPr>
  <dimension ref="C4:D9"/>
  <sheetViews>
    <sheetView workbookViewId="0">
      <selection activeCell="C9" sqref="C9"/>
    </sheetView>
  </sheetViews>
  <sheetFormatPr defaultRowHeight="14.4" x14ac:dyDescent="0.3"/>
  <cols>
    <col min="3" max="3" width="98" bestFit="1" customWidth="1"/>
    <col min="4" max="4" width="120" bestFit="1" customWidth="1"/>
  </cols>
  <sheetData>
    <row r="4" spans="3:4" ht="18" x14ac:dyDescent="0.35">
      <c r="C4" s="53" t="s">
        <v>697</v>
      </c>
      <c r="D4" s="53"/>
    </row>
    <row r="5" spans="3:4" ht="18" x14ac:dyDescent="0.35">
      <c r="C5" s="12" t="s">
        <v>560</v>
      </c>
      <c r="D5" s="13" t="s">
        <v>566</v>
      </c>
    </row>
    <row r="6" spans="3:4" ht="36" x14ac:dyDescent="0.35">
      <c r="C6" s="20" t="s">
        <v>698</v>
      </c>
      <c r="D6" s="10" t="s">
        <v>702</v>
      </c>
    </row>
    <row r="7" spans="3:4" ht="37.799999999999997" customHeight="1" x14ac:dyDescent="0.35">
      <c r="C7" s="10" t="s">
        <v>699</v>
      </c>
      <c r="D7" s="10" t="s">
        <v>722</v>
      </c>
    </row>
    <row r="8" spans="3:4" ht="18" x14ac:dyDescent="0.35">
      <c r="C8" s="10" t="s">
        <v>700</v>
      </c>
      <c r="D8" s="10" t="s">
        <v>723</v>
      </c>
    </row>
    <row r="9" spans="3:4" ht="18" x14ac:dyDescent="0.35">
      <c r="C9" s="20" t="s">
        <v>701</v>
      </c>
      <c r="D9" s="43" t="s">
        <v>724</v>
      </c>
    </row>
  </sheetData>
  <mergeCells count="1">
    <mergeCell ref="C4:D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B019-E3A9-4A2E-BD64-9A0857E02F64}">
  <sheetPr>
    <tabColor rgb="FF7030A0"/>
  </sheetPr>
  <dimension ref="A1:H5"/>
  <sheetViews>
    <sheetView workbookViewId="0">
      <selection activeCell="D5" sqref="D5"/>
    </sheetView>
  </sheetViews>
  <sheetFormatPr defaultRowHeight="14.4" x14ac:dyDescent="0.3"/>
  <cols>
    <col min="1" max="1" width="17.77734375" bestFit="1" customWidth="1"/>
    <col min="2" max="2" width="12.109375" bestFit="1" customWidth="1"/>
    <col min="3" max="3" width="11.33203125" bestFit="1" customWidth="1"/>
    <col min="4" max="4" width="19.5546875" bestFit="1" customWidth="1"/>
    <col min="5" max="5" width="14.44140625" bestFit="1" customWidth="1"/>
    <col min="6" max="6" width="17.77734375" bestFit="1" customWidth="1"/>
    <col min="7" max="7" width="10.5546875" bestFit="1" customWidth="1"/>
    <col min="8" max="8" width="30.109375" bestFit="1" customWidth="1"/>
  </cols>
  <sheetData>
    <row r="1" spans="1:8" x14ac:dyDescent="0.3">
      <c r="A1" t="s">
        <v>11</v>
      </c>
      <c r="B1" t="s">
        <v>645</v>
      </c>
      <c r="C1" t="s">
        <v>646</v>
      </c>
      <c r="D1" t="s">
        <v>647</v>
      </c>
      <c r="E1" t="s">
        <v>648</v>
      </c>
      <c r="F1" t="s">
        <v>649</v>
      </c>
      <c r="G1" t="s">
        <v>1</v>
      </c>
      <c r="H1" t="s">
        <v>650</v>
      </c>
    </row>
    <row r="2" spans="1:8" x14ac:dyDescent="0.3">
      <c r="A2" t="s">
        <v>17</v>
      </c>
      <c r="B2" s="49">
        <v>45458</v>
      </c>
      <c r="C2" s="49">
        <v>45488</v>
      </c>
      <c r="D2" t="s">
        <v>651</v>
      </c>
      <c r="E2">
        <v>150000</v>
      </c>
      <c r="F2" t="s">
        <v>30</v>
      </c>
      <c r="G2" t="s">
        <v>39</v>
      </c>
      <c r="H2" t="s">
        <v>632</v>
      </c>
    </row>
    <row r="3" spans="1:8" x14ac:dyDescent="0.3">
      <c r="A3" t="s">
        <v>22</v>
      </c>
      <c r="B3" s="49">
        <v>45566</v>
      </c>
      <c r="C3" s="49">
        <v>45596</v>
      </c>
      <c r="D3" t="s">
        <v>652</v>
      </c>
      <c r="E3">
        <v>200000</v>
      </c>
      <c r="F3" t="s">
        <v>30</v>
      </c>
      <c r="G3" t="s">
        <v>24</v>
      </c>
      <c r="H3" t="s">
        <v>653</v>
      </c>
    </row>
    <row r="4" spans="1:8" x14ac:dyDescent="0.3">
      <c r="A4" t="s">
        <v>28</v>
      </c>
      <c r="B4" s="49">
        <v>45651</v>
      </c>
      <c r="C4" s="49">
        <v>45667</v>
      </c>
      <c r="D4" t="s">
        <v>654</v>
      </c>
      <c r="E4">
        <v>250000</v>
      </c>
      <c r="F4" t="s">
        <v>39</v>
      </c>
      <c r="G4" t="s">
        <v>13</v>
      </c>
      <c r="H4" t="s">
        <v>552</v>
      </c>
    </row>
    <row r="5" spans="1:8" x14ac:dyDescent="0.3">
      <c r="A5" t="s">
        <v>35</v>
      </c>
      <c r="B5" s="49">
        <v>45717</v>
      </c>
      <c r="C5" s="49">
        <v>45747</v>
      </c>
      <c r="D5" t="s">
        <v>655</v>
      </c>
      <c r="E5">
        <v>180000</v>
      </c>
      <c r="F5" t="s">
        <v>30</v>
      </c>
      <c r="G5" t="s">
        <v>13</v>
      </c>
      <c r="H5" t="s">
        <v>656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4EDA7-8450-40C0-851F-5E45A7D98D67}">
  <sheetPr>
    <tabColor rgb="FF7030A0"/>
  </sheetPr>
  <dimension ref="A1:O340"/>
  <sheetViews>
    <sheetView workbookViewId="0">
      <selection activeCell="F7" sqref="F7"/>
    </sheetView>
  </sheetViews>
  <sheetFormatPr defaultRowHeight="14.4" x14ac:dyDescent="0.3"/>
  <cols>
    <col min="1" max="1" width="9.109375" bestFit="1" customWidth="1"/>
    <col min="2" max="2" width="10.5546875" bestFit="1" customWidth="1"/>
    <col min="3" max="3" width="15.44140625" bestFit="1" customWidth="1"/>
    <col min="4" max="4" width="7.33203125" bestFit="1" customWidth="1"/>
    <col min="5" max="5" width="8.77734375" bestFit="1" customWidth="1"/>
    <col min="6" max="6" width="12.33203125" bestFit="1" customWidth="1"/>
    <col min="7" max="7" width="13.21875" bestFit="1" customWidth="1"/>
    <col min="8" max="8" width="8.33203125" bestFit="1" customWidth="1"/>
    <col min="9" max="9" width="7.88671875" bestFit="1" customWidth="1"/>
    <col min="10" max="10" width="20.21875" bestFit="1" customWidth="1"/>
    <col min="11" max="11" width="17.77734375" bestFit="1" customWidth="1"/>
    <col min="12" max="12" width="19" bestFit="1" customWidth="1"/>
    <col min="13" max="13" width="17.6640625" bestFit="1" customWidth="1"/>
    <col min="14" max="14" width="14.5546875" bestFit="1" customWidth="1"/>
    <col min="15" max="15" width="37" bestFit="1" customWidth="1"/>
  </cols>
  <sheetData>
    <row r="1" spans="1:15" x14ac:dyDescent="0.3">
      <c r="A1" t="s">
        <v>0</v>
      </c>
      <c r="B1" t="s">
        <v>1</v>
      </c>
      <c r="C1" t="s">
        <v>2</v>
      </c>
      <c r="D1" t="s">
        <v>5</v>
      </c>
      <c r="E1" t="s">
        <v>6</v>
      </c>
      <c r="F1" t="s">
        <v>7</v>
      </c>
      <c r="G1" t="s">
        <v>8</v>
      </c>
      <c r="H1" t="s">
        <v>9</v>
      </c>
      <c r="I1" t="s">
        <v>10</v>
      </c>
      <c r="J1" t="s">
        <v>631</v>
      </c>
      <c r="K1" t="s">
        <v>11</v>
      </c>
      <c r="L1" t="s">
        <v>633</v>
      </c>
      <c r="M1" t="s">
        <v>634</v>
      </c>
      <c r="N1" t="s">
        <v>3</v>
      </c>
      <c r="O1" t="s">
        <v>4</v>
      </c>
    </row>
    <row r="2" spans="1:15" x14ac:dyDescent="0.3">
      <c r="A2" t="s">
        <v>12</v>
      </c>
      <c r="B2" t="s">
        <v>13</v>
      </c>
      <c r="C2" s="51">
        <v>45649</v>
      </c>
      <c r="D2">
        <v>1461</v>
      </c>
      <c r="E2">
        <v>184</v>
      </c>
      <c r="F2">
        <v>344</v>
      </c>
      <c r="G2">
        <v>21915</v>
      </c>
      <c r="H2">
        <v>21675</v>
      </c>
      <c r="I2">
        <v>15</v>
      </c>
      <c r="J2" t="s">
        <v>58</v>
      </c>
      <c r="K2" t="s">
        <v>17</v>
      </c>
      <c r="L2">
        <v>2004</v>
      </c>
      <c r="M2">
        <v>9.0759753593429152E-2</v>
      </c>
      <c r="N2" t="s">
        <v>15</v>
      </c>
      <c r="O2" t="s">
        <v>16</v>
      </c>
    </row>
    <row r="3" spans="1:15" x14ac:dyDescent="0.3">
      <c r="A3" t="s">
        <v>12</v>
      </c>
      <c r="B3" t="s">
        <v>13</v>
      </c>
      <c r="C3" s="51">
        <v>45649</v>
      </c>
      <c r="D3">
        <v>1461</v>
      </c>
      <c r="E3">
        <v>184</v>
      </c>
      <c r="F3">
        <v>344</v>
      </c>
      <c r="G3">
        <v>21915</v>
      </c>
      <c r="H3">
        <v>21675</v>
      </c>
      <c r="I3">
        <v>15</v>
      </c>
      <c r="J3" t="s">
        <v>551</v>
      </c>
      <c r="K3" t="s">
        <v>17</v>
      </c>
      <c r="L3">
        <v>2004</v>
      </c>
      <c r="M3">
        <v>9.0759753593429152E-2</v>
      </c>
      <c r="N3" t="s">
        <v>15</v>
      </c>
      <c r="O3" t="s">
        <v>16</v>
      </c>
    </row>
    <row r="4" spans="1:15" x14ac:dyDescent="0.3">
      <c r="A4" t="s">
        <v>36</v>
      </c>
      <c r="B4" t="s">
        <v>24</v>
      </c>
      <c r="C4" s="51">
        <v>45469</v>
      </c>
      <c r="D4">
        <v>3557</v>
      </c>
      <c r="E4">
        <v>687</v>
      </c>
      <c r="F4">
        <v>424</v>
      </c>
      <c r="G4">
        <v>71140</v>
      </c>
      <c r="H4">
        <v>70701</v>
      </c>
      <c r="I4">
        <v>224</v>
      </c>
      <c r="J4" t="s">
        <v>34</v>
      </c>
      <c r="K4" t="s">
        <v>17</v>
      </c>
      <c r="L4">
        <v>4892</v>
      </c>
      <c r="M4">
        <v>6.5617093055946027E-2</v>
      </c>
      <c r="N4" t="s">
        <v>15</v>
      </c>
      <c r="O4" t="s">
        <v>26</v>
      </c>
    </row>
    <row r="5" spans="1:15" x14ac:dyDescent="0.3">
      <c r="A5" t="s">
        <v>36</v>
      </c>
      <c r="B5" t="s">
        <v>24</v>
      </c>
      <c r="C5" s="51">
        <v>45469</v>
      </c>
      <c r="D5">
        <v>3557</v>
      </c>
      <c r="E5">
        <v>687</v>
      </c>
      <c r="F5">
        <v>424</v>
      </c>
      <c r="G5">
        <v>71140</v>
      </c>
      <c r="H5">
        <v>70701</v>
      </c>
      <c r="I5">
        <v>224</v>
      </c>
      <c r="J5" t="s">
        <v>27</v>
      </c>
      <c r="K5" t="s">
        <v>17</v>
      </c>
      <c r="L5">
        <v>4892</v>
      </c>
      <c r="M5">
        <v>6.5617093055946027E-2</v>
      </c>
      <c r="N5" t="s">
        <v>15</v>
      </c>
      <c r="O5" t="s">
        <v>26</v>
      </c>
    </row>
    <row r="6" spans="1:15" x14ac:dyDescent="0.3">
      <c r="A6" t="s">
        <v>62</v>
      </c>
      <c r="B6" t="s">
        <v>24</v>
      </c>
      <c r="C6" s="51">
        <v>45614</v>
      </c>
      <c r="D6">
        <v>1171</v>
      </c>
      <c r="E6">
        <v>286</v>
      </c>
      <c r="F6">
        <v>231</v>
      </c>
      <c r="G6">
        <v>22249</v>
      </c>
      <c r="H6">
        <v>21282</v>
      </c>
      <c r="I6">
        <v>114</v>
      </c>
      <c r="J6" t="s">
        <v>34</v>
      </c>
      <c r="K6" t="s">
        <v>17</v>
      </c>
      <c r="L6">
        <v>1802</v>
      </c>
      <c r="M6">
        <v>7.5868578363072495E-2</v>
      </c>
      <c r="N6" t="s">
        <v>41</v>
      </c>
      <c r="O6" t="s">
        <v>64</v>
      </c>
    </row>
    <row r="7" spans="1:15" x14ac:dyDescent="0.3">
      <c r="A7" t="s">
        <v>76</v>
      </c>
      <c r="B7" t="s">
        <v>30</v>
      </c>
      <c r="C7" s="51">
        <v>45523</v>
      </c>
      <c r="D7">
        <v>3000</v>
      </c>
      <c r="E7">
        <v>382</v>
      </c>
      <c r="F7">
        <v>325</v>
      </c>
      <c r="G7">
        <v>36000</v>
      </c>
      <c r="H7">
        <v>35819</v>
      </c>
      <c r="I7">
        <v>19</v>
      </c>
      <c r="J7" t="s">
        <v>58</v>
      </c>
      <c r="K7" t="s">
        <v>17</v>
      </c>
      <c r="L7">
        <v>3726</v>
      </c>
      <c r="M7">
        <v>0.10297222222222223</v>
      </c>
      <c r="N7" t="s">
        <v>15</v>
      </c>
      <c r="O7" t="s">
        <v>78</v>
      </c>
    </row>
    <row r="8" spans="1:15" x14ac:dyDescent="0.3">
      <c r="A8" t="s">
        <v>82</v>
      </c>
      <c r="B8" t="s">
        <v>30</v>
      </c>
      <c r="C8" s="51">
        <v>45544</v>
      </c>
      <c r="D8">
        <v>4054</v>
      </c>
      <c r="E8">
        <v>488</v>
      </c>
      <c r="F8">
        <v>373</v>
      </c>
      <c r="G8">
        <v>77026</v>
      </c>
      <c r="H8">
        <v>76881</v>
      </c>
      <c r="I8">
        <v>25</v>
      </c>
      <c r="J8" t="s">
        <v>27</v>
      </c>
      <c r="K8" t="s">
        <v>17</v>
      </c>
      <c r="L8">
        <v>4940</v>
      </c>
      <c r="M8">
        <v>6.3809622724794221E-2</v>
      </c>
      <c r="N8" t="s">
        <v>41</v>
      </c>
      <c r="O8" t="s">
        <v>84</v>
      </c>
    </row>
    <row r="9" spans="1:15" x14ac:dyDescent="0.3">
      <c r="A9" t="s">
        <v>214</v>
      </c>
      <c r="B9" t="s">
        <v>30</v>
      </c>
      <c r="C9" s="51">
        <v>45766</v>
      </c>
      <c r="D9">
        <v>4177</v>
      </c>
      <c r="E9">
        <v>569</v>
      </c>
      <c r="F9">
        <v>55</v>
      </c>
      <c r="G9">
        <v>25062</v>
      </c>
      <c r="H9">
        <v>24847</v>
      </c>
      <c r="I9">
        <v>230</v>
      </c>
      <c r="J9" t="s">
        <v>58</v>
      </c>
      <c r="K9" t="s">
        <v>17</v>
      </c>
      <c r="L9">
        <v>5031</v>
      </c>
      <c r="M9">
        <v>0.19156491900087783</v>
      </c>
      <c r="N9" t="s">
        <v>48</v>
      </c>
      <c r="O9" t="s">
        <v>208</v>
      </c>
    </row>
    <row r="10" spans="1:15" x14ac:dyDescent="0.3">
      <c r="A10" t="s">
        <v>109</v>
      </c>
      <c r="B10" t="s">
        <v>13</v>
      </c>
      <c r="C10" s="51">
        <v>45504</v>
      </c>
      <c r="D10">
        <v>2278</v>
      </c>
      <c r="E10">
        <v>10</v>
      </c>
      <c r="F10">
        <v>321</v>
      </c>
      <c r="G10">
        <v>13668</v>
      </c>
      <c r="H10">
        <v>12676</v>
      </c>
      <c r="I10">
        <v>275</v>
      </c>
      <c r="J10" t="s">
        <v>34</v>
      </c>
      <c r="K10" t="s">
        <v>17</v>
      </c>
      <c r="L10">
        <v>2884</v>
      </c>
      <c r="M10">
        <v>0.19088381621305239</v>
      </c>
      <c r="N10" t="s">
        <v>41</v>
      </c>
      <c r="O10" t="s">
        <v>45</v>
      </c>
    </row>
    <row r="11" spans="1:15" x14ac:dyDescent="0.3">
      <c r="A11" t="s">
        <v>249</v>
      </c>
      <c r="B11" t="s">
        <v>30</v>
      </c>
      <c r="C11" s="51">
        <v>45457</v>
      </c>
      <c r="D11">
        <v>498</v>
      </c>
      <c r="E11">
        <v>38</v>
      </c>
      <c r="F11">
        <v>42</v>
      </c>
      <c r="G11">
        <v>4482</v>
      </c>
      <c r="H11">
        <v>3647</v>
      </c>
      <c r="I11">
        <v>32</v>
      </c>
      <c r="J11" t="s">
        <v>58</v>
      </c>
      <c r="K11" t="s">
        <v>17</v>
      </c>
      <c r="L11">
        <v>610</v>
      </c>
      <c r="M11">
        <v>0.12896028558679162</v>
      </c>
      <c r="N11" t="s">
        <v>41</v>
      </c>
      <c r="O11" t="s">
        <v>84</v>
      </c>
    </row>
    <row r="12" spans="1:15" x14ac:dyDescent="0.3">
      <c r="A12" t="s">
        <v>281</v>
      </c>
      <c r="B12" t="s">
        <v>30</v>
      </c>
      <c r="C12" s="51">
        <v>45457</v>
      </c>
      <c r="D12">
        <v>4363</v>
      </c>
      <c r="E12">
        <v>649</v>
      </c>
      <c r="F12">
        <v>140</v>
      </c>
      <c r="G12">
        <v>21815</v>
      </c>
      <c r="H12">
        <v>21481</v>
      </c>
      <c r="I12">
        <v>157</v>
      </c>
      <c r="J12" t="s">
        <v>34</v>
      </c>
      <c r="K12" t="s">
        <v>17</v>
      </c>
      <c r="L12">
        <v>5309</v>
      </c>
      <c r="M12">
        <v>0.23616777446710979</v>
      </c>
      <c r="N12" t="s">
        <v>32</v>
      </c>
      <c r="O12" t="s">
        <v>33</v>
      </c>
    </row>
    <row r="13" spans="1:15" x14ac:dyDescent="0.3">
      <c r="A13" t="s">
        <v>161</v>
      </c>
      <c r="B13" t="s">
        <v>13</v>
      </c>
      <c r="C13" s="51">
        <v>45586</v>
      </c>
      <c r="D13">
        <v>2825</v>
      </c>
      <c r="E13">
        <v>535</v>
      </c>
      <c r="F13">
        <v>295</v>
      </c>
      <c r="G13">
        <v>45200</v>
      </c>
      <c r="H13">
        <v>44739</v>
      </c>
      <c r="I13">
        <v>169</v>
      </c>
      <c r="J13" t="s">
        <v>27</v>
      </c>
      <c r="K13" t="s">
        <v>17</v>
      </c>
      <c r="L13">
        <v>3824</v>
      </c>
      <c r="M13">
        <v>8.0862831858407078E-2</v>
      </c>
      <c r="N13" t="s">
        <v>70</v>
      </c>
      <c r="O13" t="s">
        <v>140</v>
      </c>
    </row>
    <row r="14" spans="1:15" x14ac:dyDescent="0.3">
      <c r="A14" t="s">
        <v>169</v>
      </c>
      <c r="B14" t="s">
        <v>13</v>
      </c>
      <c r="C14" s="51">
        <v>45540</v>
      </c>
      <c r="D14">
        <v>4886</v>
      </c>
      <c r="E14">
        <v>983</v>
      </c>
      <c r="F14">
        <v>409</v>
      </c>
      <c r="G14">
        <v>43974</v>
      </c>
      <c r="H14">
        <v>43239</v>
      </c>
      <c r="I14">
        <v>65</v>
      </c>
      <c r="J14" t="s">
        <v>27</v>
      </c>
      <c r="K14" t="s">
        <v>17</v>
      </c>
      <c r="L14">
        <v>6343</v>
      </c>
      <c r="M14">
        <v>0.14276618001546368</v>
      </c>
      <c r="N14" t="s">
        <v>70</v>
      </c>
      <c r="O14" t="s">
        <v>140</v>
      </c>
    </row>
    <row r="15" spans="1:15" x14ac:dyDescent="0.3">
      <c r="A15" t="s">
        <v>178</v>
      </c>
      <c r="B15" t="s">
        <v>13</v>
      </c>
      <c r="C15" s="51">
        <v>45499</v>
      </c>
      <c r="D15">
        <v>432</v>
      </c>
      <c r="E15">
        <v>171</v>
      </c>
      <c r="F15">
        <v>280</v>
      </c>
      <c r="G15">
        <v>3024</v>
      </c>
      <c r="H15">
        <v>2285</v>
      </c>
      <c r="I15">
        <v>184</v>
      </c>
      <c r="J15" t="s">
        <v>34</v>
      </c>
      <c r="K15" t="s">
        <v>17</v>
      </c>
      <c r="L15">
        <v>1067</v>
      </c>
      <c r="M15">
        <v>0.29199735449735448</v>
      </c>
      <c r="N15" t="s">
        <v>41</v>
      </c>
      <c r="O15" t="s">
        <v>45</v>
      </c>
    </row>
    <row r="16" spans="1:15" x14ac:dyDescent="0.3">
      <c r="A16" t="s">
        <v>322</v>
      </c>
      <c r="B16" t="s">
        <v>30</v>
      </c>
      <c r="C16" s="51">
        <v>45499</v>
      </c>
      <c r="D16">
        <v>3559</v>
      </c>
      <c r="E16">
        <v>59</v>
      </c>
      <c r="F16">
        <v>289</v>
      </c>
      <c r="G16">
        <v>35590</v>
      </c>
      <c r="H16">
        <v>35105</v>
      </c>
      <c r="I16">
        <v>122</v>
      </c>
      <c r="J16" t="s">
        <v>34</v>
      </c>
      <c r="K16" t="s">
        <v>17</v>
      </c>
      <c r="L16">
        <v>4029</v>
      </c>
      <c r="M16">
        <v>0.10977802753582468</v>
      </c>
      <c r="N16" t="s">
        <v>48</v>
      </c>
      <c r="O16" t="s">
        <v>208</v>
      </c>
    </row>
    <row r="17" spans="1:15" x14ac:dyDescent="0.3">
      <c r="A17" t="s">
        <v>334</v>
      </c>
      <c r="B17" t="s">
        <v>30</v>
      </c>
      <c r="C17" s="51">
        <v>45515</v>
      </c>
      <c r="D17">
        <v>1762</v>
      </c>
      <c r="E17">
        <v>405</v>
      </c>
      <c r="F17">
        <v>423</v>
      </c>
      <c r="G17">
        <v>22906</v>
      </c>
      <c r="H17">
        <v>21925</v>
      </c>
      <c r="I17">
        <v>25</v>
      </c>
      <c r="J17" t="s">
        <v>27</v>
      </c>
      <c r="K17" t="s">
        <v>17</v>
      </c>
      <c r="L17">
        <v>2615</v>
      </c>
      <c r="M17">
        <v>0.11307081114118571</v>
      </c>
      <c r="N17" t="s">
        <v>32</v>
      </c>
      <c r="O17" t="s">
        <v>33</v>
      </c>
    </row>
    <row r="18" spans="1:15" x14ac:dyDescent="0.3">
      <c r="A18" t="s">
        <v>265</v>
      </c>
      <c r="B18" t="s">
        <v>13</v>
      </c>
      <c r="C18" s="51">
        <v>45567</v>
      </c>
      <c r="D18">
        <v>4419</v>
      </c>
      <c r="E18">
        <v>236</v>
      </c>
      <c r="F18">
        <v>369</v>
      </c>
      <c r="G18">
        <v>44190</v>
      </c>
      <c r="H18">
        <v>43582</v>
      </c>
      <c r="I18">
        <v>10</v>
      </c>
      <c r="J18" t="s">
        <v>34</v>
      </c>
      <c r="K18" t="s">
        <v>17</v>
      </c>
      <c r="L18">
        <v>5034</v>
      </c>
      <c r="M18">
        <v>0.11369088028965829</v>
      </c>
      <c r="N18" t="s">
        <v>41</v>
      </c>
      <c r="O18" t="s">
        <v>45</v>
      </c>
    </row>
    <row r="19" spans="1:15" x14ac:dyDescent="0.3">
      <c r="A19" t="s">
        <v>267</v>
      </c>
      <c r="B19" t="s">
        <v>13</v>
      </c>
      <c r="C19" s="51">
        <v>45610</v>
      </c>
      <c r="D19">
        <v>4000</v>
      </c>
      <c r="E19">
        <v>689</v>
      </c>
      <c r="F19">
        <v>488</v>
      </c>
      <c r="G19">
        <v>40000</v>
      </c>
      <c r="H19">
        <v>39569</v>
      </c>
      <c r="I19">
        <v>44</v>
      </c>
      <c r="J19" t="s">
        <v>58</v>
      </c>
      <c r="K19" t="s">
        <v>17</v>
      </c>
      <c r="L19">
        <v>5221</v>
      </c>
      <c r="M19">
        <v>0.12942500000000001</v>
      </c>
      <c r="N19" t="s">
        <v>32</v>
      </c>
      <c r="O19" t="s">
        <v>144</v>
      </c>
    </row>
    <row r="20" spans="1:15" x14ac:dyDescent="0.3">
      <c r="A20" t="s">
        <v>407</v>
      </c>
      <c r="B20" t="s">
        <v>30</v>
      </c>
      <c r="C20" s="51">
        <v>45617</v>
      </c>
      <c r="D20">
        <v>3773</v>
      </c>
      <c r="E20">
        <v>299</v>
      </c>
      <c r="F20">
        <v>38</v>
      </c>
      <c r="G20">
        <v>71687</v>
      </c>
      <c r="H20">
        <v>71447</v>
      </c>
      <c r="I20">
        <v>286</v>
      </c>
      <c r="J20" t="s">
        <v>58</v>
      </c>
      <c r="K20" t="s">
        <v>17</v>
      </c>
      <c r="L20">
        <v>4396</v>
      </c>
      <c r="M20">
        <v>5.7332570758993957E-2</v>
      </c>
      <c r="N20" t="s">
        <v>41</v>
      </c>
      <c r="O20" t="s">
        <v>84</v>
      </c>
    </row>
    <row r="21" spans="1:15" x14ac:dyDescent="0.3">
      <c r="A21" t="s">
        <v>282</v>
      </c>
      <c r="B21" t="s">
        <v>24</v>
      </c>
      <c r="C21" s="51">
        <v>45753</v>
      </c>
      <c r="D21">
        <v>736</v>
      </c>
      <c r="E21">
        <v>771</v>
      </c>
      <c r="F21">
        <v>225</v>
      </c>
      <c r="G21">
        <v>5152</v>
      </c>
      <c r="H21">
        <v>4706</v>
      </c>
      <c r="I21">
        <v>19</v>
      </c>
      <c r="J21" t="s">
        <v>34</v>
      </c>
      <c r="K21" t="s">
        <v>17</v>
      </c>
      <c r="L21">
        <v>1751</v>
      </c>
      <c r="M21">
        <v>0.33618012422360249</v>
      </c>
      <c r="N21" t="s">
        <v>41</v>
      </c>
      <c r="O21" t="s">
        <v>64</v>
      </c>
    </row>
    <row r="22" spans="1:15" x14ac:dyDescent="0.3">
      <c r="A22" t="s">
        <v>296</v>
      </c>
      <c r="B22" t="s">
        <v>13</v>
      </c>
      <c r="C22" s="51">
        <v>45771</v>
      </c>
      <c r="D22">
        <v>3731</v>
      </c>
      <c r="E22">
        <v>115</v>
      </c>
      <c r="F22">
        <v>135</v>
      </c>
      <c r="G22">
        <v>55965</v>
      </c>
      <c r="H22">
        <v>55436</v>
      </c>
      <c r="I22">
        <v>103</v>
      </c>
      <c r="J22" t="s">
        <v>27</v>
      </c>
      <c r="K22" t="s">
        <v>17</v>
      </c>
      <c r="L22">
        <v>4084</v>
      </c>
      <c r="M22">
        <v>7.1133744304476013E-2</v>
      </c>
      <c r="N22" t="s">
        <v>15</v>
      </c>
      <c r="O22" t="s">
        <v>16</v>
      </c>
    </row>
    <row r="23" spans="1:15" x14ac:dyDescent="0.3">
      <c r="A23" t="s">
        <v>304</v>
      </c>
      <c r="B23" t="s">
        <v>24</v>
      </c>
      <c r="C23" s="51">
        <v>45594</v>
      </c>
      <c r="D23">
        <v>2746</v>
      </c>
      <c r="E23">
        <v>156</v>
      </c>
      <c r="F23">
        <v>203</v>
      </c>
      <c r="G23">
        <v>32952</v>
      </c>
      <c r="H23">
        <v>32147</v>
      </c>
      <c r="I23">
        <v>147</v>
      </c>
      <c r="J23" t="s">
        <v>34</v>
      </c>
      <c r="K23" t="s">
        <v>17</v>
      </c>
      <c r="L23">
        <v>3252</v>
      </c>
      <c r="M23">
        <v>9.422796795338674E-2</v>
      </c>
      <c r="N23" t="s">
        <v>20</v>
      </c>
      <c r="O23" t="s">
        <v>99</v>
      </c>
    </row>
    <row r="24" spans="1:15" x14ac:dyDescent="0.3">
      <c r="A24" t="s">
        <v>318</v>
      </c>
      <c r="B24" t="s">
        <v>13</v>
      </c>
      <c r="C24" s="51">
        <v>45459</v>
      </c>
      <c r="D24">
        <v>1702</v>
      </c>
      <c r="E24">
        <v>750</v>
      </c>
      <c r="F24">
        <v>179</v>
      </c>
      <c r="G24">
        <v>34040</v>
      </c>
      <c r="H24">
        <v>33174</v>
      </c>
      <c r="I24">
        <v>76</v>
      </c>
      <c r="J24" t="s">
        <v>34</v>
      </c>
      <c r="K24" t="s">
        <v>17</v>
      </c>
      <c r="L24">
        <v>2707</v>
      </c>
      <c r="M24">
        <v>7.7291421856639245E-2</v>
      </c>
      <c r="N24" t="s">
        <v>70</v>
      </c>
      <c r="O24" t="s">
        <v>140</v>
      </c>
    </row>
    <row r="25" spans="1:15" x14ac:dyDescent="0.3">
      <c r="A25" t="s">
        <v>442</v>
      </c>
      <c r="B25" t="s">
        <v>30</v>
      </c>
      <c r="C25" s="51">
        <v>45474</v>
      </c>
      <c r="D25">
        <v>4808</v>
      </c>
      <c r="E25">
        <v>772</v>
      </c>
      <c r="F25">
        <v>320</v>
      </c>
      <c r="G25">
        <v>72120</v>
      </c>
      <c r="H25">
        <v>71696</v>
      </c>
      <c r="I25">
        <v>195</v>
      </c>
      <c r="J25" t="s">
        <v>34</v>
      </c>
      <c r="K25" t="s">
        <v>17</v>
      </c>
      <c r="L25">
        <v>6095</v>
      </c>
      <c r="M25">
        <v>8.1808097615085965E-2</v>
      </c>
      <c r="N25" t="s">
        <v>32</v>
      </c>
      <c r="O25" t="s">
        <v>33</v>
      </c>
    </row>
    <row r="26" spans="1:15" x14ac:dyDescent="0.3">
      <c r="A26" t="s">
        <v>446</v>
      </c>
      <c r="B26" t="s">
        <v>30</v>
      </c>
      <c r="C26" s="51">
        <v>45778</v>
      </c>
      <c r="D26">
        <v>1430</v>
      </c>
      <c r="E26">
        <v>376</v>
      </c>
      <c r="F26">
        <v>33</v>
      </c>
      <c r="G26">
        <v>21450</v>
      </c>
      <c r="H26">
        <v>20509</v>
      </c>
      <c r="I26">
        <v>251</v>
      </c>
      <c r="J26" t="s">
        <v>58</v>
      </c>
      <c r="K26" t="s">
        <v>17</v>
      </c>
      <c r="L26">
        <v>2090</v>
      </c>
      <c r="M26">
        <v>8.5734265734265735E-2</v>
      </c>
      <c r="N26" t="s">
        <v>20</v>
      </c>
      <c r="O26" t="s">
        <v>108</v>
      </c>
    </row>
    <row r="27" spans="1:15" x14ac:dyDescent="0.3">
      <c r="A27" t="s">
        <v>347</v>
      </c>
      <c r="B27" t="s">
        <v>13</v>
      </c>
      <c r="C27" s="51">
        <v>45704</v>
      </c>
      <c r="D27">
        <v>1076</v>
      </c>
      <c r="E27">
        <v>313</v>
      </c>
      <c r="F27">
        <v>306</v>
      </c>
      <c r="G27">
        <v>11836</v>
      </c>
      <c r="H27">
        <v>11596</v>
      </c>
      <c r="I27">
        <v>104</v>
      </c>
      <c r="J27" t="s">
        <v>58</v>
      </c>
      <c r="K27" t="s">
        <v>17</v>
      </c>
      <c r="L27">
        <v>1799</v>
      </c>
      <c r="M27">
        <v>0.14320716458262928</v>
      </c>
      <c r="N27" t="s">
        <v>15</v>
      </c>
      <c r="O27" t="s">
        <v>16</v>
      </c>
    </row>
    <row r="28" spans="1:15" x14ac:dyDescent="0.3">
      <c r="A28" t="s">
        <v>454</v>
      </c>
      <c r="B28" t="s">
        <v>30</v>
      </c>
      <c r="C28" s="51">
        <v>45587</v>
      </c>
      <c r="D28">
        <v>3770</v>
      </c>
      <c r="E28">
        <v>917</v>
      </c>
      <c r="F28">
        <v>129</v>
      </c>
      <c r="G28">
        <v>71630</v>
      </c>
      <c r="H28">
        <v>71322</v>
      </c>
      <c r="I28">
        <v>76</v>
      </c>
      <c r="J28" t="s">
        <v>58</v>
      </c>
      <c r="K28" t="s">
        <v>17</v>
      </c>
      <c r="L28">
        <v>4892</v>
      </c>
      <c r="M28">
        <v>6.7234398994834563E-2</v>
      </c>
      <c r="N28" t="s">
        <v>32</v>
      </c>
      <c r="O28" t="s">
        <v>33</v>
      </c>
    </row>
    <row r="29" spans="1:15" x14ac:dyDescent="0.3">
      <c r="A29" t="s">
        <v>351</v>
      </c>
      <c r="B29" t="s">
        <v>24</v>
      </c>
      <c r="C29" s="51">
        <v>45629</v>
      </c>
      <c r="D29">
        <v>3809</v>
      </c>
      <c r="E29">
        <v>273</v>
      </c>
      <c r="F29">
        <v>200</v>
      </c>
      <c r="G29">
        <v>34281</v>
      </c>
      <c r="H29">
        <v>33534</v>
      </c>
      <c r="I29">
        <v>83</v>
      </c>
      <c r="J29" t="s">
        <v>34</v>
      </c>
      <c r="K29" t="s">
        <v>17</v>
      </c>
      <c r="L29">
        <v>4365</v>
      </c>
      <c r="M29">
        <v>0.12490884163239112</v>
      </c>
      <c r="N29" t="s">
        <v>70</v>
      </c>
      <c r="O29" t="s">
        <v>211</v>
      </c>
    </row>
    <row r="30" spans="1:15" x14ac:dyDescent="0.3">
      <c r="A30" t="s">
        <v>490</v>
      </c>
      <c r="B30" t="s">
        <v>30</v>
      </c>
      <c r="C30" s="51">
        <v>45592</v>
      </c>
      <c r="D30">
        <v>4853</v>
      </c>
      <c r="E30">
        <v>837</v>
      </c>
      <c r="F30">
        <v>340</v>
      </c>
      <c r="G30">
        <v>72795</v>
      </c>
      <c r="H30">
        <v>72237</v>
      </c>
      <c r="I30">
        <v>170</v>
      </c>
      <c r="J30" t="s">
        <v>34</v>
      </c>
      <c r="K30" t="s">
        <v>17</v>
      </c>
      <c r="L30">
        <v>6200</v>
      </c>
      <c r="M30">
        <v>8.2835359571399134E-2</v>
      </c>
      <c r="N30" t="s">
        <v>48</v>
      </c>
      <c r="O30" t="s">
        <v>208</v>
      </c>
    </row>
    <row r="31" spans="1:15" x14ac:dyDescent="0.3">
      <c r="A31" t="s">
        <v>370</v>
      </c>
      <c r="B31" t="s">
        <v>24</v>
      </c>
      <c r="C31" s="51">
        <v>45629</v>
      </c>
      <c r="D31">
        <v>3711</v>
      </c>
      <c r="E31">
        <v>352</v>
      </c>
      <c r="F31">
        <v>290</v>
      </c>
      <c r="G31">
        <v>48243</v>
      </c>
      <c r="H31">
        <v>47579</v>
      </c>
      <c r="I31">
        <v>11</v>
      </c>
      <c r="J31" t="s">
        <v>27</v>
      </c>
      <c r="K31" t="s">
        <v>17</v>
      </c>
      <c r="L31">
        <v>4364</v>
      </c>
      <c r="M31">
        <v>9.023070704558174E-2</v>
      </c>
      <c r="N31" t="s">
        <v>20</v>
      </c>
      <c r="O31" t="s">
        <v>99</v>
      </c>
    </row>
    <row r="32" spans="1:15" x14ac:dyDescent="0.3">
      <c r="A32" t="s">
        <v>376</v>
      </c>
      <c r="B32" t="s">
        <v>13</v>
      </c>
      <c r="C32" s="51">
        <v>45501</v>
      </c>
      <c r="D32">
        <v>3215</v>
      </c>
      <c r="E32">
        <v>960</v>
      </c>
      <c r="F32">
        <v>202</v>
      </c>
      <c r="G32">
        <v>32150</v>
      </c>
      <c r="H32">
        <v>31404</v>
      </c>
      <c r="I32">
        <v>251</v>
      </c>
      <c r="J32" t="s">
        <v>34</v>
      </c>
      <c r="K32" t="s">
        <v>17</v>
      </c>
      <c r="L32">
        <v>4628</v>
      </c>
      <c r="M32">
        <v>0.13614307931570763</v>
      </c>
      <c r="N32" t="s">
        <v>48</v>
      </c>
      <c r="O32" t="s">
        <v>127</v>
      </c>
    </row>
    <row r="33" spans="1:15" x14ac:dyDescent="0.3">
      <c r="A33" t="s">
        <v>501</v>
      </c>
      <c r="B33" t="s">
        <v>30</v>
      </c>
      <c r="C33" s="51">
        <v>45760</v>
      </c>
      <c r="D33">
        <v>4579</v>
      </c>
      <c r="E33">
        <v>125</v>
      </c>
      <c r="F33">
        <v>300</v>
      </c>
      <c r="G33">
        <v>59527</v>
      </c>
      <c r="H33">
        <v>59400</v>
      </c>
      <c r="I33">
        <v>269</v>
      </c>
      <c r="J33" t="s">
        <v>34</v>
      </c>
      <c r="K33" t="s">
        <v>17</v>
      </c>
      <c r="L33">
        <v>5273</v>
      </c>
      <c r="M33">
        <v>8.4062694239588759E-2</v>
      </c>
      <c r="N33" t="s">
        <v>15</v>
      </c>
      <c r="O33" t="s">
        <v>78</v>
      </c>
    </row>
    <row r="34" spans="1:15" x14ac:dyDescent="0.3">
      <c r="A34" t="s">
        <v>392</v>
      </c>
      <c r="B34" t="s">
        <v>24</v>
      </c>
      <c r="C34" s="51">
        <v>45567</v>
      </c>
      <c r="D34">
        <v>4350</v>
      </c>
      <c r="E34">
        <v>771</v>
      </c>
      <c r="F34">
        <v>7</v>
      </c>
      <c r="G34">
        <v>60900</v>
      </c>
      <c r="H34">
        <v>60592</v>
      </c>
      <c r="I34">
        <v>195</v>
      </c>
      <c r="J34" t="s">
        <v>34</v>
      </c>
      <c r="K34" t="s">
        <v>17</v>
      </c>
      <c r="L34">
        <v>5323</v>
      </c>
      <c r="M34">
        <v>8.4203612479474554E-2</v>
      </c>
      <c r="N34" t="s">
        <v>32</v>
      </c>
      <c r="O34" t="s">
        <v>149</v>
      </c>
    </row>
    <row r="35" spans="1:15" x14ac:dyDescent="0.3">
      <c r="A35" t="s">
        <v>397</v>
      </c>
      <c r="B35" t="s">
        <v>13</v>
      </c>
      <c r="C35" s="51">
        <v>45587</v>
      </c>
      <c r="D35">
        <v>4782</v>
      </c>
      <c r="E35">
        <v>721</v>
      </c>
      <c r="F35">
        <v>82</v>
      </c>
      <c r="G35">
        <v>86076</v>
      </c>
      <c r="H35">
        <v>85339</v>
      </c>
      <c r="I35">
        <v>19</v>
      </c>
      <c r="J35" t="s">
        <v>34</v>
      </c>
      <c r="K35" t="s">
        <v>17</v>
      </c>
      <c r="L35">
        <v>5604</v>
      </c>
      <c r="M35">
        <v>6.4884520656164318E-2</v>
      </c>
      <c r="N35" t="s">
        <v>15</v>
      </c>
      <c r="O35" t="s">
        <v>16</v>
      </c>
    </row>
    <row r="36" spans="1:15" x14ac:dyDescent="0.3">
      <c r="A36" t="s">
        <v>403</v>
      </c>
      <c r="B36" t="s">
        <v>13</v>
      </c>
      <c r="C36" s="51">
        <v>45672</v>
      </c>
      <c r="D36">
        <v>802</v>
      </c>
      <c r="E36">
        <v>262</v>
      </c>
      <c r="F36">
        <v>244</v>
      </c>
      <c r="G36">
        <v>14436</v>
      </c>
      <c r="H36">
        <v>14280</v>
      </c>
      <c r="I36">
        <v>49</v>
      </c>
      <c r="J36" t="s">
        <v>34</v>
      </c>
      <c r="K36" t="s">
        <v>17</v>
      </c>
      <c r="L36">
        <v>1357</v>
      </c>
      <c r="M36">
        <v>9.0606816292601824E-2</v>
      </c>
      <c r="N36" t="s">
        <v>15</v>
      </c>
      <c r="O36" t="s">
        <v>16</v>
      </c>
    </row>
    <row r="37" spans="1:15" x14ac:dyDescent="0.3">
      <c r="A37" t="s">
        <v>530</v>
      </c>
      <c r="B37" t="s">
        <v>30</v>
      </c>
      <c r="C37" s="51">
        <v>45519</v>
      </c>
      <c r="D37">
        <v>1164</v>
      </c>
      <c r="E37">
        <v>616</v>
      </c>
      <c r="F37">
        <v>324</v>
      </c>
      <c r="G37">
        <v>6984</v>
      </c>
      <c r="H37">
        <v>6636</v>
      </c>
      <c r="I37">
        <v>82</v>
      </c>
      <c r="J37" t="s">
        <v>34</v>
      </c>
      <c r="K37" t="s">
        <v>17</v>
      </c>
      <c r="L37">
        <v>2186</v>
      </c>
      <c r="M37">
        <v>0.30126002290950743</v>
      </c>
      <c r="N37" t="s">
        <v>15</v>
      </c>
      <c r="O37" t="s">
        <v>78</v>
      </c>
    </row>
    <row r="38" spans="1:15" x14ac:dyDescent="0.3">
      <c r="A38" t="s">
        <v>411</v>
      </c>
      <c r="B38" t="s">
        <v>13</v>
      </c>
      <c r="C38" s="51">
        <v>45467</v>
      </c>
      <c r="D38">
        <v>941</v>
      </c>
      <c r="E38">
        <v>121</v>
      </c>
      <c r="F38">
        <v>458</v>
      </c>
      <c r="G38">
        <v>14115</v>
      </c>
      <c r="H38">
        <v>13838</v>
      </c>
      <c r="I38">
        <v>87</v>
      </c>
      <c r="J38" t="s">
        <v>34</v>
      </c>
      <c r="K38" t="s">
        <v>17</v>
      </c>
      <c r="L38">
        <v>1607</v>
      </c>
      <c r="M38">
        <v>0.10768685795253277</v>
      </c>
      <c r="N38" t="s">
        <v>20</v>
      </c>
      <c r="O38" t="s">
        <v>21</v>
      </c>
    </row>
    <row r="39" spans="1:15" x14ac:dyDescent="0.3">
      <c r="A39" t="s">
        <v>417</v>
      </c>
      <c r="B39" t="s">
        <v>24</v>
      </c>
      <c r="C39" s="51">
        <v>45707</v>
      </c>
      <c r="D39">
        <v>257</v>
      </c>
      <c r="E39">
        <v>966</v>
      </c>
      <c r="F39">
        <v>398</v>
      </c>
      <c r="G39">
        <v>3341</v>
      </c>
      <c r="H39">
        <v>2753</v>
      </c>
      <c r="I39">
        <v>287</v>
      </c>
      <c r="J39" t="s">
        <v>58</v>
      </c>
      <c r="K39" t="s">
        <v>17</v>
      </c>
      <c r="L39">
        <v>1908</v>
      </c>
      <c r="M39">
        <v>0.48518407662376534</v>
      </c>
      <c r="N39" t="s">
        <v>48</v>
      </c>
      <c r="O39" t="s">
        <v>49</v>
      </c>
    </row>
    <row r="40" spans="1:15" x14ac:dyDescent="0.3">
      <c r="A40" t="s">
        <v>550</v>
      </c>
      <c r="B40" t="s">
        <v>13</v>
      </c>
      <c r="C40" s="51">
        <v>45535</v>
      </c>
      <c r="D40">
        <v>4494</v>
      </c>
      <c r="E40">
        <v>717</v>
      </c>
      <c r="F40">
        <v>45</v>
      </c>
      <c r="G40">
        <v>62916</v>
      </c>
      <c r="H40">
        <v>62688</v>
      </c>
      <c r="I40">
        <v>191</v>
      </c>
      <c r="J40" t="s">
        <v>27</v>
      </c>
      <c r="K40" t="s">
        <v>17</v>
      </c>
      <c r="L40">
        <v>5447</v>
      </c>
      <c r="M40">
        <v>8.3539958039290485E-2</v>
      </c>
      <c r="N40" t="s">
        <v>41</v>
      </c>
      <c r="O40" t="s">
        <v>45</v>
      </c>
    </row>
    <row r="41" spans="1:15" x14ac:dyDescent="0.3">
      <c r="A41" t="s">
        <v>550</v>
      </c>
      <c r="B41" t="s">
        <v>13</v>
      </c>
      <c r="C41" s="51">
        <v>45535</v>
      </c>
      <c r="D41">
        <v>4494</v>
      </c>
      <c r="E41">
        <v>717</v>
      </c>
      <c r="F41">
        <v>45</v>
      </c>
      <c r="G41">
        <v>62916</v>
      </c>
      <c r="H41">
        <v>62688</v>
      </c>
      <c r="I41">
        <v>191</v>
      </c>
      <c r="J41" t="s">
        <v>34</v>
      </c>
      <c r="K41" t="s">
        <v>17</v>
      </c>
      <c r="L41">
        <v>5447</v>
      </c>
      <c r="M41">
        <v>8.3539958039290485E-2</v>
      </c>
      <c r="N41" t="s">
        <v>41</v>
      </c>
      <c r="O41" t="s">
        <v>45</v>
      </c>
    </row>
    <row r="42" spans="1:15" x14ac:dyDescent="0.3">
      <c r="A42" t="s">
        <v>550</v>
      </c>
      <c r="B42" t="s">
        <v>13</v>
      </c>
      <c r="C42" s="51">
        <v>45535</v>
      </c>
      <c r="D42">
        <v>4494</v>
      </c>
      <c r="E42">
        <v>717</v>
      </c>
      <c r="F42">
        <v>45</v>
      </c>
      <c r="G42">
        <v>62916</v>
      </c>
      <c r="H42">
        <v>62688</v>
      </c>
      <c r="I42">
        <v>191</v>
      </c>
      <c r="J42" t="s">
        <v>553</v>
      </c>
      <c r="K42" t="s">
        <v>17</v>
      </c>
      <c r="L42">
        <v>5447</v>
      </c>
      <c r="M42">
        <v>8.3539958039290485E-2</v>
      </c>
      <c r="N42" t="s">
        <v>41</v>
      </c>
      <c r="O42" t="s">
        <v>45</v>
      </c>
    </row>
    <row r="43" spans="1:15" x14ac:dyDescent="0.3">
      <c r="A43" t="s">
        <v>68</v>
      </c>
      <c r="B43" t="s">
        <v>39</v>
      </c>
      <c r="C43" s="51">
        <v>45589</v>
      </c>
      <c r="D43">
        <v>3888</v>
      </c>
      <c r="E43">
        <v>604</v>
      </c>
      <c r="F43">
        <v>128</v>
      </c>
      <c r="G43">
        <v>77760</v>
      </c>
      <c r="H43">
        <v>77167</v>
      </c>
      <c r="I43">
        <v>20</v>
      </c>
      <c r="J43" t="s">
        <v>58</v>
      </c>
      <c r="K43" t="s">
        <v>17</v>
      </c>
      <c r="L43">
        <v>4640</v>
      </c>
      <c r="M43">
        <v>5.941358024691358E-2</v>
      </c>
      <c r="N43" t="s">
        <v>70</v>
      </c>
      <c r="O43" t="s">
        <v>71</v>
      </c>
    </row>
    <row r="44" spans="1:15" x14ac:dyDescent="0.3">
      <c r="A44" t="s">
        <v>111</v>
      </c>
      <c r="B44" t="s">
        <v>39</v>
      </c>
      <c r="C44" s="51">
        <v>45525</v>
      </c>
      <c r="D44">
        <v>1407</v>
      </c>
      <c r="E44">
        <v>400</v>
      </c>
      <c r="F44">
        <v>351</v>
      </c>
      <c r="G44">
        <v>16884</v>
      </c>
      <c r="H44">
        <v>15954</v>
      </c>
      <c r="I44">
        <v>113</v>
      </c>
      <c r="J44" t="s">
        <v>27</v>
      </c>
      <c r="K44" t="s">
        <v>17</v>
      </c>
      <c r="L44">
        <v>2271</v>
      </c>
      <c r="M44">
        <v>0.12781331438047855</v>
      </c>
      <c r="N44" t="s">
        <v>48</v>
      </c>
      <c r="O44" t="s">
        <v>55</v>
      </c>
    </row>
    <row r="45" spans="1:15" x14ac:dyDescent="0.3">
      <c r="A45" t="s">
        <v>136</v>
      </c>
      <c r="B45" t="s">
        <v>39</v>
      </c>
      <c r="C45" s="51">
        <v>45597</v>
      </c>
      <c r="D45">
        <v>3371</v>
      </c>
      <c r="E45">
        <v>106</v>
      </c>
      <c r="F45">
        <v>327</v>
      </c>
      <c r="G45">
        <v>50565</v>
      </c>
      <c r="H45">
        <v>49816</v>
      </c>
      <c r="I45">
        <v>176</v>
      </c>
      <c r="J45" t="s">
        <v>58</v>
      </c>
      <c r="K45" t="s">
        <v>17</v>
      </c>
      <c r="L45">
        <v>3980</v>
      </c>
      <c r="M45">
        <v>7.5229902106199939E-2</v>
      </c>
      <c r="N45" t="s">
        <v>70</v>
      </c>
      <c r="O45" t="s">
        <v>71</v>
      </c>
    </row>
    <row r="46" spans="1:15" x14ac:dyDescent="0.3">
      <c r="A46" t="s">
        <v>349</v>
      </c>
      <c r="B46" t="s">
        <v>39</v>
      </c>
      <c r="C46" s="51">
        <v>45608</v>
      </c>
      <c r="D46">
        <v>2418</v>
      </c>
      <c r="E46">
        <v>754</v>
      </c>
      <c r="F46">
        <v>54</v>
      </c>
      <c r="G46">
        <v>43524</v>
      </c>
      <c r="H46">
        <v>42743</v>
      </c>
      <c r="I46">
        <v>182</v>
      </c>
      <c r="J46" t="s">
        <v>34</v>
      </c>
      <c r="K46" t="s">
        <v>17</v>
      </c>
      <c r="L46">
        <v>3408</v>
      </c>
      <c r="M46">
        <v>7.412002573292896E-2</v>
      </c>
      <c r="N46" t="s">
        <v>20</v>
      </c>
      <c r="O46" t="s">
        <v>52</v>
      </c>
    </row>
    <row r="47" spans="1:15" x14ac:dyDescent="0.3">
      <c r="A47" t="s">
        <v>364</v>
      </c>
      <c r="B47" t="s">
        <v>39</v>
      </c>
      <c r="C47" s="51">
        <v>45463</v>
      </c>
      <c r="D47">
        <v>3798</v>
      </c>
      <c r="E47">
        <v>31</v>
      </c>
      <c r="F47">
        <v>279</v>
      </c>
      <c r="G47">
        <v>75960</v>
      </c>
      <c r="H47">
        <v>75813</v>
      </c>
      <c r="I47">
        <v>266</v>
      </c>
      <c r="J47" t="s">
        <v>27</v>
      </c>
      <c r="K47" t="s">
        <v>17</v>
      </c>
      <c r="L47">
        <v>4374</v>
      </c>
      <c r="M47">
        <v>5.4081095313322801E-2</v>
      </c>
      <c r="N47" t="s">
        <v>70</v>
      </c>
      <c r="O47" t="s">
        <v>71</v>
      </c>
    </row>
    <row r="48" spans="1:15" x14ac:dyDescent="0.3">
      <c r="A48" t="s">
        <v>384</v>
      </c>
      <c r="B48" t="s">
        <v>39</v>
      </c>
      <c r="C48" s="51">
        <v>45740</v>
      </c>
      <c r="D48">
        <v>3360</v>
      </c>
      <c r="E48">
        <v>525</v>
      </c>
      <c r="F48">
        <v>500</v>
      </c>
      <c r="G48">
        <v>60480</v>
      </c>
      <c r="H48">
        <v>59610</v>
      </c>
      <c r="I48">
        <v>192</v>
      </c>
      <c r="J48" t="s">
        <v>27</v>
      </c>
      <c r="K48" t="s">
        <v>17</v>
      </c>
      <c r="L48">
        <v>4577</v>
      </c>
      <c r="M48">
        <v>7.2503306878306875E-2</v>
      </c>
      <c r="N48" t="s">
        <v>15</v>
      </c>
      <c r="O48" t="s">
        <v>61</v>
      </c>
    </row>
    <row r="49" spans="1:15" x14ac:dyDescent="0.3">
      <c r="A49" t="s">
        <v>432</v>
      </c>
      <c r="B49" t="s">
        <v>39</v>
      </c>
      <c r="C49" s="51">
        <v>45573</v>
      </c>
      <c r="D49">
        <v>1814</v>
      </c>
      <c r="E49">
        <v>653</v>
      </c>
      <c r="F49">
        <v>363</v>
      </c>
      <c r="G49">
        <v>25396</v>
      </c>
      <c r="H49">
        <v>25286</v>
      </c>
      <c r="I49">
        <v>39</v>
      </c>
      <c r="J49" t="s">
        <v>58</v>
      </c>
      <c r="K49" t="s">
        <v>17</v>
      </c>
      <c r="L49">
        <v>2869</v>
      </c>
      <c r="M49">
        <v>0.11143487163332809</v>
      </c>
      <c r="N49" t="s">
        <v>15</v>
      </c>
      <c r="O49" t="s">
        <v>61</v>
      </c>
    </row>
    <row r="50" spans="1:15" x14ac:dyDescent="0.3">
      <c r="A50" t="s">
        <v>432</v>
      </c>
      <c r="B50" t="s">
        <v>39</v>
      </c>
      <c r="C50" s="51">
        <v>45573</v>
      </c>
      <c r="D50">
        <v>1814</v>
      </c>
      <c r="E50">
        <v>653</v>
      </c>
      <c r="F50">
        <v>363</v>
      </c>
      <c r="G50">
        <v>25396</v>
      </c>
      <c r="H50">
        <v>25286</v>
      </c>
      <c r="I50">
        <v>39</v>
      </c>
      <c r="J50" t="s">
        <v>552</v>
      </c>
      <c r="K50" t="s">
        <v>17</v>
      </c>
      <c r="L50">
        <v>2869</v>
      </c>
      <c r="M50">
        <v>0.11143487163332809</v>
      </c>
      <c r="N50" t="s">
        <v>15</v>
      </c>
      <c r="O50" t="s">
        <v>61</v>
      </c>
    </row>
    <row r="51" spans="1:15" x14ac:dyDescent="0.3">
      <c r="A51" t="s">
        <v>466</v>
      </c>
      <c r="B51" t="s">
        <v>39</v>
      </c>
      <c r="C51" s="51">
        <v>45669</v>
      </c>
      <c r="D51">
        <v>4134</v>
      </c>
      <c r="E51">
        <v>824</v>
      </c>
      <c r="F51">
        <v>99</v>
      </c>
      <c r="G51">
        <v>41340</v>
      </c>
      <c r="H51">
        <v>41050</v>
      </c>
      <c r="I51">
        <v>177</v>
      </c>
      <c r="J51" t="s">
        <v>34</v>
      </c>
      <c r="K51" t="s">
        <v>17</v>
      </c>
      <c r="L51">
        <v>5234</v>
      </c>
      <c r="M51">
        <v>0.12232704402515723</v>
      </c>
      <c r="N51" t="s">
        <v>15</v>
      </c>
      <c r="O51" t="s">
        <v>61</v>
      </c>
    </row>
    <row r="52" spans="1:15" x14ac:dyDescent="0.3">
      <c r="A52" t="s">
        <v>487</v>
      </c>
      <c r="B52" t="s">
        <v>39</v>
      </c>
      <c r="C52" s="51">
        <v>45698</v>
      </c>
      <c r="D52">
        <v>562</v>
      </c>
      <c r="E52">
        <v>158</v>
      </c>
      <c r="F52">
        <v>149</v>
      </c>
      <c r="G52">
        <v>3372</v>
      </c>
      <c r="H52">
        <v>2940</v>
      </c>
      <c r="I52">
        <v>93</v>
      </c>
      <c r="J52" t="s">
        <v>27</v>
      </c>
      <c r="K52" t="s">
        <v>17</v>
      </c>
      <c r="L52">
        <v>962</v>
      </c>
      <c r="M52">
        <v>0.25771055753262156</v>
      </c>
      <c r="N52" t="s">
        <v>20</v>
      </c>
      <c r="O52" t="s">
        <v>52</v>
      </c>
    </row>
    <row r="53" spans="1:15" x14ac:dyDescent="0.3">
      <c r="A53" t="s">
        <v>515</v>
      </c>
      <c r="B53" t="s">
        <v>39</v>
      </c>
      <c r="C53" s="51">
        <v>45753</v>
      </c>
      <c r="D53">
        <v>4236</v>
      </c>
      <c r="E53">
        <v>711</v>
      </c>
      <c r="F53">
        <v>298</v>
      </c>
      <c r="G53">
        <v>21180</v>
      </c>
      <c r="H53">
        <v>20516</v>
      </c>
      <c r="I53">
        <v>238</v>
      </c>
      <c r="J53" t="s">
        <v>58</v>
      </c>
      <c r="K53" t="s">
        <v>17</v>
      </c>
      <c r="L53">
        <v>5483</v>
      </c>
      <c r="M53">
        <v>0.24763928234183191</v>
      </c>
      <c r="N53" t="s">
        <v>48</v>
      </c>
      <c r="O53" t="s">
        <v>55</v>
      </c>
    </row>
    <row r="54" spans="1:15" x14ac:dyDescent="0.3">
      <c r="A54" t="s">
        <v>539</v>
      </c>
      <c r="B54" t="s">
        <v>39</v>
      </c>
      <c r="C54" s="51">
        <v>45791</v>
      </c>
      <c r="D54">
        <v>2634</v>
      </c>
      <c r="E54">
        <v>726</v>
      </c>
      <c r="F54">
        <v>241</v>
      </c>
      <c r="G54">
        <v>28974</v>
      </c>
      <c r="H54">
        <v>28102</v>
      </c>
      <c r="I54">
        <v>277</v>
      </c>
      <c r="J54" t="s">
        <v>34</v>
      </c>
      <c r="K54" t="s">
        <v>17</v>
      </c>
      <c r="L54">
        <v>3878</v>
      </c>
      <c r="M54">
        <v>0.12428384068475185</v>
      </c>
      <c r="N54" t="s">
        <v>20</v>
      </c>
      <c r="O54" t="s">
        <v>52</v>
      </c>
    </row>
    <row r="55" spans="1:15" x14ac:dyDescent="0.3">
      <c r="A55" t="s">
        <v>102</v>
      </c>
      <c r="B55" t="s">
        <v>30</v>
      </c>
      <c r="C55" s="51">
        <v>45688</v>
      </c>
      <c r="D55">
        <v>2566</v>
      </c>
      <c r="E55">
        <v>118</v>
      </c>
      <c r="F55">
        <v>37</v>
      </c>
      <c r="G55">
        <v>12830</v>
      </c>
      <c r="H55">
        <v>12264</v>
      </c>
      <c r="I55">
        <v>221</v>
      </c>
      <c r="J55" t="s">
        <v>58</v>
      </c>
      <c r="K55" t="s">
        <v>28</v>
      </c>
      <c r="L55">
        <v>2942</v>
      </c>
      <c r="M55">
        <v>0.21208106001558846</v>
      </c>
      <c r="N55" t="s">
        <v>41</v>
      </c>
      <c r="O55" t="s">
        <v>84</v>
      </c>
    </row>
    <row r="56" spans="1:15" x14ac:dyDescent="0.3">
      <c r="A56" t="s">
        <v>132</v>
      </c>
      <c r="B56" t="s">
        <v>30</v>
      </c>
      <c r="C56" s="51">
        <v>45640</v>
      </c>
      <c r="D56">
        <v>2174</v>
      </c>
      <c r="E56">
        <v>658</v>
      </c>
      <c r="F56">
        <v>15</v>
      </c>
      <c r="G56">
        <v>13044</v>
      </c>
      <c r="H56">
        <v>12206</v>
      </c>
      <c r="I56">
        <v>137</v>
      </c>
      <c r="J56" t="s">
        <v>27</v>
      </c>
      <c r="K56" t="s">
        <v>28</v>
      </c>
      <c r="L56">
        <v>2984</v>
      </c>
      <c r="M56">
        <v>0.21826126954921804</v>
      </c>
      <c r="N56" t="s">
        <v>41</v>
      </c>
      <c r="O56" t="s">
        <v>84</v>
      </c>
    </row>
    <row r="57" spans="1:15" x14ac:dyDescent="0.3">
      <c r="A57" t="s">
        <v>167</v>
      </c>
      <c r="B57" t="s">
        <v>30</v>
      </c>
      <c r="C57" s="51">
        <v>45685</v>
      </c>
      <c r="D57">
        <v>904</v>
      </c>
      <c r="E57">
        <v>973</v>
      </c>
      <c r="F57">
        <v>63</v>
      </c>
      <c r="G57">
        <v>11752</v>
      </c>
      <c r="H57">
        <v>11580</v>
      </c>
      <c r="I57">
        <v>84</v>
      </c>
      <c r="J57" t="s">
        <v>34</v>
      </c>
      <c r="K57" t="s">
        <v>28</v>
      </c>
      <c r="L57">
        <v>2024</v>
      </c>
      <c r="M57">
        <v>0.1650782845473111</v>
      </c>
      <c r="N57" t="s">
        <v>70</v>
      </c>
      <c r="O57" t="s">
        <v>81</v>
      </c>
    </row>
    <row r="58" spans="1:15" x14ac:dyDescent="0.3">
      <c r="A58" t="s">
        <v>167</v>
      </c>
      <c r="B58" t="s">
        <v>30</v>
      </c>
      <c r="C58" s="51">
        <v>45685</v>
      </c>
      <c r="D58">
        <v>904</v>
      </c>
      <c r="E58">
        <v>973</v>
      </c>
      <c r="F58">
        <v>63</v>
      </c>
      <c r="G58">
        <v>11752</v>
      </c>
      <c r="H58">
        <v>11580</v>
      </c>
      <c r="I58">
        <v>84</v>
      </c>
      <c r="J58" t="s">
        <v>27</v>
      </c>
      <c r="K58" t="s">
        <v>28</v>
      </c>
      <c r="L58">
        <v>2024</v>
      </c>
      <c r="M58">
        <v>0.1650782845473111</v>
      </c>
      <c r="N58" t="s">
        <v>70</v>
      </c>
      <c r="O58" t="s">
        <v>81</v>
      </c>
    </row>
    <row r="59" spans="1:15" x14ac:dyDescent="0.3">
      <c r="A59" t="s">
        <v>167</v>
      </c>
      <c r="B59" t="s">
        <v>30</v>
      </c>
      <c r="C59" s="51">
        <v>45685</v>
      </c>
      <c r="D59">
        <v>904</v>
      </c>
      <c r="E59">
        <v>973</v>
      </c>
      <c r="F59">
        <v>63</v>
      </c>
      <c r="G59">
        <v>11752</v>
      </c>
      <c r="H59">
        <v>11580</v>
      </c>
      <c r="I59">
        <v>84</v>
      </c>
      <c r="J59" t="s">
        <v>551</v>
      </c>
      <c r="K59" t="s">
        <v>28</v>
      </c>
      <c r="L59">
        <v>2024</v>
      </c>
      <c r="M59">
        <v>0.1650782845473111</v>
      </c>
      <c r="N59" t="s">
        <v>70</v>
      </c>
      <c r="O59" t="s">
        <v>81</v>
      </c>
    </row>
    <row r="60" spans="1:15" x14ac:dyDescent="0.3">
      <c r="A60" t="s">
        <v>204</v>
      </c>
      <c r="B60" t="s">
        <v>30</v>
      </c>
      <c r="C60" s="51">
        <v>45584</v>
      </c>
      <c r="D60">
        <v>1816</v>
      </c>
      <c r="E60">
        <v>29</v>
      </c>
      <c r="F60">
        <v>41</v>
      </c>
      <c r="G60">
        <v>19976</v>
      </c>
      <c r="H60">
        <v>19262</v>
      </c>
      <c r="I60">
        <v>283</v>
      </c>
      <c r="J60" t="s">
        <v>27</v>
      </c>
      <c r="K60" t="s">
        <v>28</v>
      </c>
      <c r="L60">
        <v>2169</v>
      </c>
      <c r="M60">
        <v>9.4413295955146179E-2</v>
      </c>
      <c r="N60" t="s">
        <v>32</v>
      </c>
      <c r="O60" t="s">
        <v>33</v>
      </c>
    </row>
    <row r="61" spans="1:15" x14ac:dyDescent="0.3">
      <c r="A61" t="s">
        <v>206</v>
      </c>
      <c r="B61" t="s">
        <v>30</v>
      </c>
      <c r="C61" s="51">
        <v>45497</v>
      </c>
      <c r="D61">
        <v>725</v>
      </c>
      <c r="E61">
        <v>88</v>
      </c>
      <c r="F61">
        <v>428</v>
      </c>
      <c r="G61">
        <v>14500</v>
      </c>
      <c r="H61">
        <v>13637</v>
      </c>
      <c r="I61">
        <v>200</v>
      </c>
      <c r="J61" t="s">
        <v>58</v>
      </c>
      <c r="K61" t="s">
        <v>28</v>
      </c>
      <c r="L61">
        <v>1441</v>
      </c>
      <c r="M61">
        <v>8.558620689655172E-2</v>
      </c>
      <c r="N61" t="s">
        <v>48</v>
      </c>
      <c r="O61" t="s">
        <v>208</v>
      </c>
    </row>
    <row r="62" spans="1:15" x14ac:dyDescent="0.3">
      <c r="A62" t="s">
        <v>206</v>
      </c>
      <c r="B62" t="s">
        <v>30</v>
      </c>
      <c r="C62" s="51">
        <v>45497</v>
      </c>
      <c r="D62">
        <v>725</v>
      </c>
      <c r="E62">
        <v>88</v>
      </c>
      <c r="F62">
        <v>428</v>
      </c>
      <c r="G62">
        <v>14500</v>
      </c>
      <c r="H62">
        <v>13637</v>
      </c>
      <c r="I62">
        <v>200</v>
      </c>
      <c r="J62" t="s">
        <v>27</v>
      </c>
      <c r="K62" t="s">
        <v>28</v>
      </c>
      <c r="L62">
        <v>1441</v>
      </c>
      <c r="M62">
        <v>8.558620689655172E-2</v>
      </c>
      <c r="N62" t="s">
        <v>48</v>
      </c>
      <c r="O62" t="s">
        <v>208</v>
      </c>
    </row>
    <row r="63" spans="1:15" x14ac:dyDescent="0.3">
      <c r="A63" t="s">
        <v>206</v>
      </c>
      <c r="B63" t="s">
        <v>30</v>
      </c>
      <c r="C63" s="51">
        <v>45497</v>
      </c>
      <c r="D63">
        <v>725</v>
      </c>
      <c r="E63">
        <v>88</v>
      </c>
      <c r="F63">
        <v>428</v>
      </c>
      <c r="G63">
        <v>14500</v>
      </c>
      <c r="H63">
        <v>13637</v>
      </c>
      <c r="I63">
        <v>200</v>
      </c>
      <c r="J63" t="s">
        <v>551</v>
      </c>
      <c r="K63" t="s">
        <v>28</v>
      </c>
      <c r="L63">
        <v>1441</v>
      </c>
      <c r="M63">
        <v>8.558620689655172E-2</v>
      </c>
      <c r="N63" t="s">
        <v>48</v>
      </c>
      <c r="O63" t="s">
        <v>208</v>
      </c>
    </row>
    <row r="64" spans="1:15" x14ac:dyDescent="0.3">
      <c r="A64" t="s">
        <v>228</v>
      </c>
      <c r="B64" t="s">
        <v>30</v>
      </c>
      <c r="C64" s="51">
        <v>45637</v>
      </c>
      <c r="D64">
        <v>1431</v>
      </c>
      <c r="E64">
        <v>951</v>
      </c>
      <c r="F64">
        <v>26</v>
      </c>
      <c r="G64">
        <v>8586</v>
      </c>
      <c r="H64">
        <v>8396</v>
      </c>
      <c r="I64">
        <v>150</v>
      </c>
      <c r="J64" t="s">
        <v>34</v>
      </c>
      <c r="K64" t="s">
        <v>28</v>
      </c>
      <c r="L64">
        <v>2558</v>
      </c>
      <c r="M64">
        <v>0.28045655718611695</v>
      </c>
      <c r="N64" t="s">
        <v>70</v>
      </c>
      <c r="O64" t="s">
        <v>81</v>
      </c>
    </row>
    <row r="65" spans="1:15" x14ac:dyDescent="0.3">
      <c r="A65" t="s">
        <v>230</v>
      </c>
      <c r="B65" t="s">
        <v>30</v>
      </c>
      <c r="C65" s="51">
        <v>45603</v>
      </c>
      <c r="D65">
        <v>2647</v>
      </c>
      <c r="E65">
        <v>304</v>
      </c>
      <c r="F65">
        <v>170</v>
      </c>
      <c r="G65">
        <v>18529</v>
      </c>
      <c r="H65">
        <v>17841</v>
      </c>
      <c r="I65">
        <v>46</v>
      </c>
      <c r="J65" t="s">
        <v>58</v>
      </c>
      <c r="K65" t="s">
        <v>28</v>
      </c>
      <c r="L65">
        <v>3167</v>
      </c>
      <c r="M65">
        <v>0.16843866371633656</v>
      </c>
      <c r="N65" t="s">
        <v>48</v>
      </c>
      <c r="O65" t="s">
        <v>208</v>
      </c>
    </row>
    <row r="66" spans="1:15" x14ac:dyDescent="0.3">
      <c r="A66" t="s">
        <v>292</v>
      </c>
      <c r="B66" t="s">
        <v>30</v>
      </c>
      <c r="C66" s="51">
        <v>45586</v>
      </c>
      <c r="D66">
        <v>4840</v>
      </c>
      <c r="E66">
        <v>658</v>
      </c>
      <c r="F66">
        <v>211</v>
      </c>
      <c r="G66">
        <v>43560</v>
      </c>
      <c r="H66">
        <v>43225</v>
      </c>
      <c r="I66">
        <v>57</v>
      </c>
      <c r="J66" t="s">
        <v>58</v>
      </c>
      <c r="K66" t="s">
        <v>28</v>
      </c>
      <c r="L66">
        <v>5766</v>
      </c>
      <c r="M66">
        <v>0.13106060606060607</v>
      </c>
      <c r="N66" t="s">
        <v>15</v>
      </c>
      <c r="O66" t="s">
        <v>78</v>
      </c>
    </row>
    <row r="67" spans="1:15" x14ac:dyDescent="0.3">
      <c r="A67" t="s">
        <v>23</v>
      </c>
      <c r="B67" t="s">
        <v>24</v>
      </c>
      <c r="C67" s="51">
        <v>45789</v>
      </c>
      <c r="D67">
        <v>2795</v>
      </c>
      <c r="E67">
        <v>105</v>
      </c>
      <c r="F67">
        <v>49</v>
      </c>
      <c r="G67">
        <v>53105</v>
      </c>
      <c r="H67">
        <v>52307</v>
      </c>
      <c r="I67">
        <v>204</v>
      </c>
      <c r="J67" t="s">
        <v>27</v>
      </c>
      <c r="K67" t="s">
        <v>28</v>
      </c>
      <c r="L67">
        <v>3153</v>
      </c>
      <c r="M67">
        <v>5.5531494209584788E-2</v>
      </c>
      <c r="N67" t="s">
        <v>15</v>
      </c>
      <c r="O67" t="s">
        <v>26</v>
      </c>
    </row>
    <row r="68" spans="1:15" x14ac:dyDescent="0.3">
      <c r="A68" t="s">
        <v>366</v>
      </c>
      <c r="B68" t="s">
        <v>30</v>
      </c>
      <c r="C68" s="51">
        <v>45483</v>
      </c>
      <c r="D68">
        <v>3099</v>
      </c>
      <c r="E68">
        <v>694</v>
      </c>
      <c r="F68">
        <v>171</v>
      </c>
      <c r="G68">
        <v>43386</v>
      </c>
      <c r="H68">
        <v>42921</v>
      </c>
      <c r="I68">
        <v>52</v>
      </c>
      <c r="J68" t="s">
        <v>27</v>
      </c>
      <c r="K68" t="s">
        <v>28</v>
      </c>
      <c r="L68">
        <v>4016</v>
      </c>
      <c r="M68">
        <v>9.1365878393951966E-2</v>
      </c>
      <c r="N68" t="s">
        <v>41</v>
      </c>
      <c r="O68" t="s">
        <v>84</v>
      </c>
    </row>
    <row r="69" spans="1:15" x14ac:dyDescent="0.3">
      <c r="A69" t="s">
        <v>395</v>
      </c>
      <c r="B69" t="s">
        <v>30</v>
      </c>
      <c r="C69" s="51">
        <v>45645</v>
      </c>
      <c r="D69">
        <v>1813</v>
      </c>
      <c r="E69">
        <v>623</v>
      </c>
      <c r="F69">
        <v>72</v>
      </c>
      <c r="G69">
        <v>19943</v>
      </c>
      <c r="H69">
        <v>18959</v>
      </c>
      <c r="I69">
        <v>85</v>
      </c>
      <c r="J69" t="s">
        <v>34</v>
      </c>
      <c r="K69" t="s">
        <v>28</v>
      </c>
      <c r="L69">
        <v>2593</v>
      </c>
      <c r="M69">
        <v>0.12575841147269717</v>
      </c>
      <c r="N69" t="s">
        <v>20</v>
      </c>
      <c r="O69" t="s">
        <v>108</v>
      </c>
    </row>
    <row r="70" spans="1:15" x14ac:dyDescent="0.3">
      <c r="A70" t="s">
        <v>409</v>
      </c>
      <c r="B70" t="s">
        <v>30</v>
      </c>
      <c r="C70" s="51">
        <v>45658</v>
      </c>
      <c r="D70">
        <v>2234</v>
      </c>
      <c r="E70">
        <v>653</v>
      </c>
      <c r="F70">
        <v>432</v>
      </c>
      <c r="G70">
        <v>11170</v>
      </c>
      <c r="H70">
        <v>10569</v>
      </c>
      <c r="I70">
        <v>198</v>
      </c>
      <c r="J70" t="s">
        <v>58</v>
      </c>
      <c r="K70" t="s">
        <v>28</v>
      </c>
      <c r="L70">
        <v>3517</v>
      </c>
      <c r="M70">
        <v>0.29713518352730528</v>
      </c>
      <c r="N70" t="s">
        <v>41</v>
      </c>
      <c r="O70" t="s">
        <v>84</v>
      </c>
    </row>
    <row r="71" spans="1:15" x14ac:dyDescent="0.3">
      <c r="A71" t="s">
        <v>440</v>
      </c>
      <c r="B71" t="s">
        <v>30</v>
      </c>
      <c r="C71" s="51">
        <v>45455</v>
      </c>
      <c r="D71">
        <v>246</v>
      </c>
      <c r="E71">
        <v>149</v>
      </c>
      <c r="F71">
        <v>130</v>
      </c>
      <c r="G71">
        <v>4674</v>
      </c>
      <c r="H71">
        <v>4390</v>
      </c>
      <c r="I71">
        <v>217</v>
      </c>
      <c r="J71" t="s">
        <v>58</v>
      </c>
      <c r="K71" t="s">
        <v>28</v>
      </c>
      <c r="L71">
        <v>742</v>
      </c>
      <c r="M71">
        <v>0.11232349165596919</v>
      </c>
      <c r="N71" t="s">
        <v>20</v>
      </c>
      <c r="O71" t="s">
        <v>108</v>
      </c>
    </row>
    <row r="72" spans="1:15" x14ac:dyDescent="0.3">
      <c r="A72" t="s">
        <v>488</v>
      </c>
      <c r="B72" t="s">
        <v>30</v>
      </c>
      <c r="C72" s="51">
        <v>45700</v>
      </c>
      <c r="D72">
        <v>4332</v>
      </c>
      <c r="E72">
        <v>771</v>
      </c>
      <c r="F72">
        <v>219</v>
      </c>
      <c r="G72">
        <v>60648</v>
      </c>
      <c r="H72">
        <v>60397</v>
      </c>
      <c r="I72">
        <v>10</v>
      </c>
      <c r="J72" t="s">
        <v>27</v>
      </c>
      <c r="K72" t="s">
        <v>28</v>
      </c>
      <c r="L72">
        <v>5332</v>
      </c>
      <c r="M72">
        <v>8.7752275425405618E-2</v>
      </c>
      <c r="N72" t="s">
        <v>32</v>
      </c>
      <c r="O72" t="s">
        <v>33</v>
      </c>
    </row>
    <row r="73" spans="1:15" x14ac:dyDescent="0.3">
      <c r="A73" t="s">
        <v>488</v>
      </c>
      <c r="B73" t="s">
        <v>30</v>
      </c>
      <c r="C73" s="51">
        <v>45700</v>
      </c>
      <c r="D73">
        <v>4332</v>
      </c>
      <c r="E73">
        <v>771</v>
      </c>
      <c r="F73">
        <v>219</v>
      </c>
      <c r="G73">
        <v>60648</v>
      </c>
      <c r="H73">
        <v>60397</v>
      </c>
      <c r="I73">
        <v>10</v>
      </c>
      <c r="J73" t="s">
        <v>34</v>
      </c>
      <c r="K73" t="s">
        <v>28</v>
      </c>
      <c r="L73">
        <v>5332</v>
      </c>
      <c r="M73">
        <v>8.7752275425405618E-2</v>
      </c>
      <c r="N73" t="s">
        <v>32</v>
      </c>
      <c r="O73" t="s">
        <v>33</v>
      </c>
    </row>
    <row r="74" spans="1:15" x14ac:dyDescent="0.3">
      <c r="A74" t="s">
        <v>147</v>
      </c>
      <c r="B74" t="s">
        <v>24</v>
      </c>
      <c r="C74" s="51">
        <v>45476</v>
      </c>
      <c r="D74">
        <v>2754</v>
      </c>
      <c r="E74">
        <v>130</v>
      </c>
      <c r="F74">
        <v>90</v>
      </c>
      <c r="G74">
        <v>22032</v>
      </c>
      <c r="H74">
        <v>21288</v>
      </c>
      <c r="I74">
        <v>112</v>
      </c>
      <c r="J74" t="s">
        <v>27</v>
      </c>
      <c r="K74" t="s">
        <v>28</v>
      </c>
      <c r="L74">
        <v>3086</v>
      </c>
      <c r="M74">
        <v>0.13498547567175018</v>
      </c>
      <c r="N74" t="s">
        <v>32</v>
      </c>
      <c r="O74" t="s">
        <v>149</v>
      </c>
    </row>
    <row r="75" spans="1:15" x14ac:dyDescent="0.3">
      <c r="A75" t="s">
        <v>488</v>
      </c>
      <c r="B75" t="s">
        <v>30</v>
      </c>
      <c r="C75" s="51">
        <v>45700</v>
      </c>
      <c r="D75">
        <v>4332</v>
      </c>
      <c r="E75">
        <v>771</v>
      </c>
      <c r="F75">
        <v>219</v>
      </c>
      <c r="G75">
        <v>60648</v>
      </c>
      <c r="H75">
        <v>60397</v>
      </c>
      <c r="I75">
        <v>10</v>
      </c>
      <c r="J75" t="s">
        <v>553</v>
      </c>
      <c r="K75" t="s">
        <v>28</v>
      </c>
      <c r="L75">
        <v>5332</v>
      </c>
      <c r="M75">
        <v>8.7752275425405618E-2</v>
      </c>
      <c r="N75" t="s">
        <v>32</v>
      </c>
      <c r="O75" t="s">
        <v>33</v>
      </c>
    </row>
    <row r="76" spans="1:15" x14ac:dyDescent="0.3">
      <c r="A76" t="s">
        <v>508</v>
      </c>
      <c r="B76" t="s">
        <v>30</v>
      </c>
      <c r="C76" s="51">
        <v>45743</v>
      </c>
      <c r="D76">
        <v>4941</v>
      </c>
      <c r="E76">
        <v>414</v>
      </c>
      <c r="F76">
        <v>266</v>
      </c>
      <c r="G76">
        <v>39528</v>
      </c>
      <c r="H76">
        <v>39154</v>
      </c>
      <c r="I76">
        <v>217</v>
      </c>
      <c r="J76" t="s">
        <v>27</v>
      </c>
      <c r="K76" t="s">
        <v>28</v>
      </c>
      <c r="L76">
        <v>5838</v>
      </c>
      <c r="M76">
        <v>0.14220299534507186</v>
      </c>
      <c r="N76" t="s">
        <v>20</v>
      </c>
      <c r="O76" t="s">
        <v>108</v>
      </c>
    </row>
    <row r="77" spans="1:15" x14ac:dyDescent="0.3">
      <c r="A77" t="s">
        <v>522</v>
      </c>
      <c r="B77" t="s">
        <v>30</v>
      </c>
      <c r="C77" s="51">
        <v>45568</v>
      </c>
      <c r="D77">
        <v>1488</v>
      </c>
      <c r="E77">
        <v>417</v>
      </c>
      <c r="F77">
        <v>168</v>
      </c>
      <c r="G77">
        <v>19344</v>
      </c>
      <c r="H77">
        <v>18395</v>
      </c>
      <c r="I77">
        <v>30</v>
      </c>
      <c r="J77" t="s">
        <v>58</v>
      </c>
      <c r="K77" t="s">
        <v>28</v>
      </c>
      <c r="L77">
        <v>2103</v>
      </c>
      <c r="M77">
        <v>0.1071650124069479</v>
      </c>
      <c r="N77" t="s">
        <v>70</v>
      </c>
      <c r="O77" t="s">
        <v>81</v>
      </c>
    </row>
    <row r="78" spans="1:15" x14ac:dyDescent="0.3">
      <c r="A78" t="s">
        <v>171</v>
      </c>
      <c r="B78" t="s">
        <v>13</v>
      </c>
      <c r="C78" s="51">
        <v>45618</v>
      </c>
      <c r="D78">
        <v>53</v>
      </c>
      <c r="E78">
        <v>81</v>
      </c>
      <c r="F78">
        <v>379</v>
      </c>
      <c r="G78">
        <v>954</v>
      </c>
      <c r="H78">
        <v>7</v>
      </c>
      <c r="I78">
        <v>148</v>
      </c>
      <c r="J78" t="s">
        <v>27</v>
      </c>
      <c r="K78" t="s">
        <v>28</v>
      </c>
      <c r="L78">
        <v>661</v>
      </c>
      <c r="M78">
        <v>0.53773584905660377</v>
      </c>
      <c r="N78" t="s">
        <v>41</v>
      </c>
      <c r="O78" t="s">
        <v>45</v>
      </c>
    </row>
    <row r="79" spans="1:15" x14ac:dyDescent="0.3">
      <c r="A79" t="s">
        <v>173</v>
      </c>
      <c r="B79" t="s">
        <v>13</v>
      </c>
      <c r="C79" s="51">
        <v>45504</v>
      </c>
      <c r="D79">
        <v>4507</v>
      </c>
      <c r="E79">
        <v>217</v>
      </c>
      <c r="F79">
        <v>13</v>
      </c>
      <c r="G79">
        <v>90140</v>
      </c>
      <c r="H79">
        <v>89591</v>
      </c>
      <c r="I79">
        <v>125</v>
      </c>
      <c r="J79" t="s">
        <v>58</v>
      </c>
      <c r="K79" t="s">
        <v>28</v>
      </c>
      <c r="L79">
        <v>4862</v>
      </c>
      <c r="M79">
        <v>5.2551586421122697E-2</v>
      </c>
      <c r="N79" t="s">
        <v>41</v>
      </c>
      <c r="O79" t="s">
        <v>45</v>
      </c>
    </row>
    <row r="80" spans="1:15" x14ac:dyDescent="0.3">
      <c r="A80" t="s">
        <v>184</v>
      </c>
      <c r="B80" t="s">
        <v>13</v>
      </c>
      <c r="C80" s="51">
        <v>45724</v>
      </c>
      <c r="D80">
        <v>1292</v>
      </c>
      <c r="E80">
        <v>626</v>
      </c>
      <c r="F80">
        <v>496</v>
      </c>
      <c r="G80">
        <v>25840</v>
      </c>
      <c r="H80">
        <v>24916</v>
      </c>
      <c r="I80">
        <v>149</v>
      </c>
      <c r="J80" t="s">
        <v>58</v>
      </c>
      <c r="K80" t="s">
        <v>28</v>
      </c>
      <c r="L80">
        <v>2563</v>
      </c>
      <c r="M80">
        <v>9.3421052631578946E-2</v>
      </c>
      <c r="N80" t="s">
        <v>20</v>
      </c>
      <c r="O80" t="s">
        <v>21</v>
      </c>
    </row>
    <row r="81" spans="1:15" x14ac:dyDescent="0.3">
      <c r="A81" t="s">
        <v>193</v>
      </c>
      <c r="B81" t="s">
        <v>24</v>
      </c>
      <c r="C81" s="51">
        <v>45593</v>
      </c>
      <c r="D81">
        <v>1855</v>
      </c>
      <c r="E81">
        <v>200</v>
      </c>
      <c r="F81">
        <v>174</v>
      </c>
      <c r="G81">
        <v>16695</v>
      </c>
      <c r="H81">
        <v>16330</v>
      </c>
      <c r="I81">
        <v>123</v>
      </c>
      <c r="J81" t="s">
        <v>27</v>
      </c>
      <c r="K81" t="s">
        <v>28</v>
      </c>
      <c r="L81">
        <v>2352</v>
      </c>
      <c r="M81">
        <v>0.13351302785265048</v>
      </c>
      <c r="N81" t="s">
        <v>15</v>
      </c>
      <c r="O81" t="s">
        <v>26</v>
      </c>
    </row>
    <row r="82" spans="1:15" x14ac:dyDescent="0.3">
      <c r="A82" t="s">
        <v>217</v>
      </c>
      <c r="B82" t="s">
        <v>13</v>
      </c>
      <c r="C82" s="51">
        <v>45449</v>
      </c>
      <c r="D82">
        <v>1436</v>
      </c>
      <c r="E82">
        <v>765</v>
      </c>
      <c r="F82">
        <v>496</v>
      </c>
      <c r="G82">
        <v>12924</v>
      </c>
      <c r="H82">
        <v>12701</v>
      </c>
      <c r="I82">
        <v>197</v>
      </c>
      <c r="J82" t="s">
        <v>58</v>
      </c>
      <c r="K82" t="s">
        <v>28</v>
      </c>
      <c r="L82">
        <v>2894</v>
      </c>
      <c r="M82">
        <v>0.20868152274837512</v>
      </c>
      <c r="N82" t="s">
        <v>70</v>
      </c>
      <c r="O82" t="s">
        <v>140</v>
      </c>
    </row>
    <row r="83" spans="1:15" x14ac:dyDescent="0.3">
      <c r="A83" t="s">
        <v>227</v>
      </c>
      <c r="B83" t="s">
        <v>13</v>
      </c>
      <c r="C83" s="51">
        <v>45586</v>
      </c>
      <c r="D83">
        <v>3801</v>
      </c>
      <c r="E83">
        <v>967</v>
      </c>
      <c r="F83">
        <v>401</v>
      </c>
      <c r="G83">
        <v>38010</v>
      </c>
      <c r="H83">
        <v>37625</v>
      </c>
      <c r="I83">
        <v>236</v>
      </c>
      <c r="J83" t="s">
        <v>58</v>
      </c>
      <c r="K83" t="s">
        <v>28</v>
      </c>
      <c r="L83">
        <v>5405</v>
      </c>
      <c r="M83">
        <v>0.13599052880820836</v>
      </c>
      <c r="N83" t="s">
        <v>32</v>
      </c>
      <c r="O83" t="s">
        <v>144</v>
      </c>
    </row>
    <row r="84" spans="1:15" x14ac:dyDescent="0.3">
      <c r="A84" t="s">
        <v>238</v>
      </c>
      <c r="B84" t="s">
        <v>24</v>
      </c>
      <c r="C84" s="51">
        <v>45475</v>
      </c>
      <c r="D84">
        <v>4171</v>
      </c>
      <c r="E84">
        <v>548</v>
      </c>
      <c r="F84">
        <v>86</v>
      </c>
      <c r="G84">
        <v>66736</v>
      </c>
      <c r="H84">
        <v>66634</v>
      </c>
      <c r="I84">
        <v>173</v>
      </c>
      <c r="J84" t="s">
        <v>58</v>
      </c>
      <c r="K84" t="s">
        <v>28</v>
      </c>
      <c r="L84">
        <v>4978</v>
      </c>
      <c r="M84">
        <v>7.2000119875329657E-2</v>
      </c>
      <c r="N84" t="s">
        <v>41</v>
      </c>
      <c r="O84" t="s">
        <v>64</v>
      </c>
    </row>
    <row r="85" spans="1:15" x14ac:dyDescent="0.3">
      <c r="A85" t="s">
        <v>242</v>
      </c>
      <c r="B85" t="s">
        <v>24</v>
      </c>
      <c r="C85" s="51">
        <v>45583</v>
      </c>
      <c r="D85">
        <v>4450</v>
      </c>
      <c r="E85">
        <v>983</v>
      </c>
      <c r="F85">
        <v>143</v>
      </c>
      <c r="G85">
        <v>75650</v>
      </c>
      <c r="H85">
        <v>75008</v>
      </c>
      <c r="I85">
        <v>12</v>
      </c>
      <c r="J85" t="s">
        <v>58</v>
      </c>
      <c r="K85" t="s">
        <v>28</v>
      </c>
      <c r="L85">
        <v>5588</v>
      </c>
      <c r="M85">
        <v>7.3707865168539333E-2</v>
      </c>
      <c r="N85" t="s">
        <v>70</v>
      </c>
      <c r="O85" t="s">
        <v>211</v>
      </c>
    </row>
    <row r="86" spans="1:15" x14ac:dyDescent="0.3">
      <c r="A86" t="s">
        <v>247</v>
      </c>
      <c r="B86" t="s">
        <v>24</v>
      </c>
      <c r="C86" s="51">
        <v>45739</v>
      </c>
      <c r="D86">
        <v>3655</v>
      </c>
      <c r="E86">
        <v>568</v>
      </c>
      <c r="F86">
        <v>286</v>
      </c>
      <c r="G86">
        <v>32895</v>
      </c>
      <c r="H86">
        <v>32015</v>
      </c>
      <c r="I86">
        <v>199</v>
      </c>
      <c r="J86" t="s">
        <v>27</v>
      </c>
      <c r="K86" t="s">
        <v>28</v>
      </c>
      <c r="L86">
        <v>4708</v>
      </c>
      <c r="M86">
        <v>0.13707250341997265</v>
      </c>
      <c r="N86" t="s">
        <v>32</v>
      </c>
      <c r="O86" t="s">
        <v>149</v>
      </c>
    </row>
    <row r="87" spans="1:15" x14ac:dyDescent="0.3">
      <c r="A87" t="s">
        <v>257</v>
      </c>
      <c r="B87" t="s">
        <v>13</v>
      </c>
      <c r="C87" s="51">
        <v>45512</v>
      </c>
      <c r="D87">
        <v>3649</v>
      </c>
      <c r="E87">
        <v>215</v>
      </c>
      <c r="F87">
        <v>413</v>
      </c>
      <c r="G87">
        <v>25543</v>
      </c>
      <c r="H87">
        <v>24963</v>
      </c>
      <c r="I87">
        <v>167</v>
      </c>
      <c r="J87" t="s">
        <v>58</v>
      </c>
      <c r="K87" t="s">
        <v>28</v>
      </c>
      <c r="L87">
        <v>4444</v>
      </c>
      <c r="M87">
        <v>0.16744313510550835</v>
      </c>
      <c r="N87" t="s">
        <v>32</v>
      </c>
      <c r="O87" t="s">
        <v>144</v>
      </c>
    </row>
    <row r="88" spans="1:15" x14ac:dyDescent="0.3">
      <c r="A88" t="s">
        <v>263</v>
      </c>
      <c r="B88" t="s">
        <v>13</v>
      </c>
      <c r="C88" s="51">
        <v>45570</v>
      </c>
      <c r="D88">
        <v>1957</v>
      </c>
      <c r="E88">
        <v>877</v>
      </c>
      <c r="F88">
        <v>238</v>
      </c>
      <c r="G88">
        <v>17613</v>
      </c>
      <c r="H88">
        <v>16865</v>
      </c>
      <c r="I88">
        <v>297</v>
      </c>
      <c r="J88" t="s">
        <v>58</v>
      </c>
      <c r="K88" t="s">
        <v>28</v>
      </c>
      <c r="L88">
        <v>3369</v>
      </c>
      <c r="M88">
        <v>0.17441662408448305</v>
      </c>
      <c r="N88" t="s">
        <v>32</v>
      </c>
      <c r="O88" t="s">
        <v>144</v>
      </c>
    </row>
    <row r="89" spans="1:15" x14ac:dyDescent="0.3">
      <c r="A89" t="s">
        <v>303</v>
      </c>
      <c r="B89" t="s">
        <v>13</v>
      </c>
      <c r="C89" s="51">
        <v>45745</v>
      </c>
      <c r="D89">
        <v>305</v>
      </c>
      <c r="E89">
        <v>187</v>
      </c>
      <c r="F89">
        <v>243</v>
      </c>
      <c r="G89">
        <v>4575</v>
      </c>
      <c r="H89">
        <v>3704</v>
      </c>
      <c r="I89">
        <v>234</v>
      </c>
      <c r="J89" t="s">
        <v>58</v>
      </c>
      <c r="K89" t="s">
        <v>28</v>
      </c>
      <c r="L89">
        <v>969</v>
      </c>
      <c r="M89">
        <v>0.16065573770491803</v>
      </c>
      <c r="N89" t="s">
        <v>48</v>
      </c>
      <c r="O89" t="s">
        <v>127</v>
      </c>
    </row>
    <row r="90" spans="1:15" x14ac:dyDescent="0.3">
      <c r="A90" t="s">
        <v>311</v>
      </c>
      <c r="B90" t="s">
        <v>24</v>
      </c>
      <c r="C90" s="51">
        <v>45567</v>
      </c>
      <c r="D90">
        <v>80</v>
      </c>
      <c r="E90">
        <v>362</v>
      </c>
      <c r="F90">
        <v>80</v>
      </c>
      <c r="G90">
        <v>1040</v>
      </c>
      <c r="H90">
        <v>349</v>
      </c>
      <c r="I90">
        <v>117</v>
      </c>
      <c r="J90" t="s">
        <v>27</v>
      </c>
      <c r="K90" t="s">
        <v>28</v>
      </c>
      <c r="L90">
        <v>639</v>
      </c>
      <c r="M90">
        <v>0.50192307692307692</v>
      </c>
      <c r="N90" t="s">
        <v>41</v>
      </c>
      <c r="O90" t="s">
        <v>64</v>
      </c>
    </row>
    <row r="91" spans="1:15" x14ac:dyDescent="0.3">
      <c r="A91" t="s">
        <v>325</v>
      </c>
      <c r="B91" t="s">
        <v>13</v>
      </c>
      <c r="C91" s="51">
        <v>45658</v>
      </c>
      <c r="D91">
        <v>754</v>
      </c>
      <c r="E91">
        <v>197</v>
      </c>
      <c r="F91">
        <v>257</v>
      </c>
      <c r="G91">
        <v>6786</v>
      </c>
      <c r="H91">
        <v>6221</v>
      </c>
      <c r="I91">
        <v>212</v>
      </c>
      <c r="J91" t="s">
        <v>27</v>
      </c>
      <c r="K91" t="s">
        <v>28</v>
      </c>
      <c r="L91">
        <v>1420</v>
      </c>
      <c r="M91">
        <v>0.17801355732390214</v>
      </c>
      <c r="N91" t="s">
        <v>70</v>
      </c>
      <c r="O91" t="s">
        <v>140</v>
      </c>
    </row>
    <row r="92" spans="1:15" x14ac:dyDescent="0.3">
      <c r="A92" t="s">
        <v>353</v>
      </c>
      <c r="B92" t="s">
        <v>13</v>
      </c>
      <c r="C92" s="51">
        <v>45775</v>
      </c>
      <c r="D92">
        <v>3577</v>
      </c>
      <c r="E92">
        <v>596</v>
      </c>
      <c r="F92">
        <v>493</v>
      </c>
      <c r="G92">
        <v>67963</v>
      </c>
      <c r="H92">
        <v>67839</v>
      </c>
      <c r="I92">
        <v>53</v>
      </c>
      <c r="J92" t="s">
        <v>27</v>
      </c>
      <c r="K92" t="s">
        <v>28</v>
      </c>
      <c r="L92">
        <v>4719</v>
      </c>
      <c r="M92">
        <v>6.8655003457763777E-2</v>
      </c>
      <c r="N92" t="s">
        <v>20</v>
      </c>
      <c r="O92" t="s">
        <v>21</v>
      </c>
    </row>
    <row r="93" spans="1:15" x14ac:dyDescent="0.3">
      <c r="A93" t="s">
        <v>359</v>
      </c>
      <c r="B93" t="s">
        <v>13</v>
      </c>
      <c r="C93" s="51">
        <v>45631</v>
      </c>
      <c r="D93">
        <v>1330</v>
      </c>
      <c r="E93">
        <v>925</v>
      </c>
      <c r="F93">
        <v>35</v>
      </c>
      <c r="G93">
        <v>15960</v>
      </c>
      <c r="H93">
        <v>15379</v>
      </c>
      <c r="I93">
        <v>229</v>
      </c>
      <c r="J93" t="s">
        <v>58</v>
      </c>
      <c r="K93" t="s">
        <v>28</v>
      </c>
      <c r="L93">
        <v>2519</v>
      </c>
      <c r="M93">
        <v>0.14348370927318296</v>
      </c>
      <c r="N93" t="s">
        <v>70</v>
      </c>
      <c r="O93" t="s">
        <v>140</v>
      </c>
    </row>
    <row r="94" spans="1:15" x14ac:dyDescent="0.3">
      <c r="A94" t="s">
        <v>371</v>
      </c>
      <c r="B94" t="s">
        <v>24</v>
      </c>
      <c r="C94" s="51">
        <v>45737</v>
      </c>
      <c r="D94">
        <v>606</v>
      </c>
      <c r="E94">
        <v>789</v>
      </c>
      <c r="F94">
        <v>470</v>
      </c>
      <c r="G94">
        <v>7878</v>
      </c>
      <c r="H94">
        <v>7389</v>
      </c>
      <c r="I94">
        <v>239</v>
      </c>
      <c r="J94" t="s">
        <v>34</v>
      </c>
      <c r="K94" t="s">
        <v>28</v>
      </c>
      <c r="L94">
        <v>2104</v>
      </c>
      <c r="M94">
        <v>0.23673521198273673</v>
      </c>
      <c r="N94" t="s">
        <v>48</v>
      </c>
      <c r="O94" t="s">
        <v>49</v>
      </c>
    </row>
    <row r="95" spans="1:15" x14ac:dyDescent="0.3">
      <c r="A95" t="s">
        <v>381</v>
      </c>
      <c r="B95" t="s">
        <v>13</v>
      </c>
      <c r="C95" s="51">
        <v>45648</v>
      </c>
      <c r="D95">
        <v>1644</v>
      </c>
      <c r="E95">
        <v>546</v>
      </c>
      <c r="F95">
        <v>150</v>
      </c>
      <c r="G95">
        <v>27948</v>
      </c>
      <c r="H95">
        <v>27184</v>
      </c>
      <c r="I95">
        <v>300</v>
      </c>
      <c r="J95" t="s">
        <v>34</v>
      </c>
      <c r="K95" t="s">
        <v>28</v>
      </c>
      <c r="L95">
        <v>2640</v>
      </c>
      <c r="M95">
        <v>8.3726921425504502E-2</v>
      </c>
      <c r="N95" t="s">
        <v>15</v>
      </c>
      <c r="O95" t="s">
        <v>16</v>
      </c>
    </row>
    <row r="96" spans="1:15" x14ac:dyDescent="0.3">
      <c r="A96" t="s">
        <v>387</v>
      </c>
      <c r="B96" t="s">
        <v>24</v>
      </c>
      <c r="C96" s="51">
        <v>45629</v>
      </c>
      <c r="D96">
        <v>4285</v>
      </c>
      <c r="E96">
        <v>886</v>
      </c>
      <c r="F96">
        <v>376</v>
      </c>
      <c r="G96">
        <v>55705</v>
      </c>
      <c r="H96">
        <v>55556</v>
      </c>
      <c r="I96">
        <v>51</v>
      </c>
      <c r="J96" t="s">
        <v>58</v>
      </c>
      <c r="K96" t="s">
        <v>28</v>
      </c>
      <c r="L96">
        <v>5598</v>
      </c>
      <c r="M96">
        <v>9.9578134817341346E-2</v>
      </c>
      <c r="N96" t="s">
        <v>32</v>
      </c>
      <c r="O96" t="s">
        <v>149</v>
      </c>
    </row>
    <row r="97" spans="1:15" x14ac:dyDescent="0.3">
      <c r="A97" t="s">
        <v>390</v>
      </c>
      <c r="B97" t="s">
        <v>13</v>
      </c>
      <c r="C97" s="51">
        <v>45546</v>
      </c>
      <c r="D97">
        <v>4858</v>
      </c>
      <c r="E97">
        <v>317</v>
      </c>
      <c r="F97">
        <v>129</v>
      </c>
      <c r="G97">
        <v>53438</v>
      </c>
      <c r="H97">
        <v>52687</v>
      </c>
      <c r="I97">
        <v>223</v>
      </c>
      <c r="J97" t="s">
        <v>34</v>
      </c>
      <c r="K97" t="s">
        <v>28</v>
      </c>
      <c r="L97">
        <v>5527</v>
      </c>
      <c r="M97">
        <v>9.9255211647142488E-2</v>
      </c>
      <c r="N97" t="s">
        <v>48</v>
      </c>
      <c r="O97" t="s">
        <v>127</v>
      </c>
    </row>
    <row r="98" spans="1:15" x14ac:dyDescent="0.3">
      <c r="A98" t="s">
        <v>398</v>
      </c>
      <c r="B98" t="s">
        <v>13</v>
      </c>
      <c r="C98" s="51">
        <v>45549</v>
      </c>
      <c r="D98">
        <v>1048</v>
      </c>
      <c r="E98">
        <v>374</v>
      </c>
      <c r="F98">
        <v>450</v>
      </c>
      <c r="G98">
        <v>9432</v>
      </c>
      <c r="H98">
        <v>8882</v>
      </c>
      <c r="I98">
        <v>158</v>
      </c>
      <c r="J98" t="s">
        <v>27</v>
      </c>
      <c r="K98" t="s">
        <v>28</v>
      </c>
      <c r="L98">
        <v>2030</v>
      </c>
      <c r="M98">
        <v>0.19847328244274809</v>
      </c>
      <c r="N98" t="s">
        <v>48</v>
      </c>
      <c r="O98" t="s">
        <v>127</v>
      </c>
    </row>
    <row r="99" spans="1:15" x14ac:dyDescent="0.3">
      <c r="A99" t="s">
        <v>412</v>
      </c>
      <c r="B99" t="s">
        <v>13</v>
      </c>
      <c r="C99" s="51">
        <v>45655</v>
      </c>
      <c r="D99">
        <v>4274</v>
      </c>
      <c r="E99">
        <v>340</v>
      </c>
      <c r="F99">
        <v>281</v>
      </c>
      <c r="G99">
        <v>34192</v>
      </c>
      <c r="H99">
        <v>33446</v>
      </c>
      <c r="I99">
        <v>129</v>
      </c>
      <c r="J99" t="s">
        <v>27</v>
      </c>
      <c r="K99" t="s">
        <v>28</v>
      </c>
      <c r="L99">
        <v>5024</v>
      </c>
      <c r="M99">
        <v>0.14316214319138981</v>
      </c>
      <c r="N99" t="s">
        <v>41</v>
      </c>
      <c r="O99" t="s">
        <v>45</v>
      </c>
    </row>
    <row r="100" spans="1:15" x14ac:dyDescent="0.3">
      <c r="A100" t="s">
        <v>412</v>
      </c>
      <c r="B100" t="s">
        <v>13</v>
      </c>
      <c r="C100" s="51">
        <v>45655</v>
      </c>
      <c r="D100">
        <v>4274</v>
      </c>
      <c r="E100">
        <v>340</v>
      </c>
      <c r="F100">
        <v>281</v>
      </c>
      <c r="G100">
        <v>34192</v>
      </c>
      <c r="H100">
        <v>33446</v>
      </c>
      <c r="I100">
        <v>129</v>
      </c>
      <c r="J100" t="s">
        <v>552</v>
      </c>
      <c r="K100" t="s">
        <v>28</v>
      </c>
      <c r="L100">
        <v>5024</v>
      </c>
      <c r="M100">
        <v>0.14316214319138981</v>
      </c>
      <c r="N100" t="s">
        <v>41</v>
      </c>
      <c r="O100" t="s">
        <v>45</v>
      </c>
    </row>
    <row r="101" spans="1:15" x14ac:dyDescent="0.3">
      <c r="A101" t="s">
        <v>458</v>
      </c>
      <c r="B101" t="s">
        <v>13</v>
      </c>
      <c r="C101" s="51">
        <v>45530</v>
      </c>
      <c r="D101">
        <v>929</v>
      </c>
      <c r="E101">
        <v>192</v>
      </c>
      <c r="F101">
        <v>322</v>
      </c>
      <c r="G101">
        <v>16722</v>
      </c>
      <c r="H101">
        <v>15996</v>
      </c>
      <c r="I101">
        <v>145</v>
      </c>
      <c r="J101" t="s">
        <v>34</v>
      </c>
      <c r="K101" t="s">
        <v>28</v>
      </c>
      <c r="L101">
        <v>1588</v>
      </c>
      <c r="M101">
        <v>8.6293505561535699E-2</v>
      </c>
      <c r="N101" t="s">
        <v>41</v>
      </c>
      <c r="O101" t="s">
        <v>45</v>
      </c>
    </row>
    <row r="102" spans="1:15" x14ac:dyDescent="0.3">
      <c r="A102" t="s">
        <v>458</v>
      </c>
      <c r="B102" t="s">
        <v>13</v>
      </c>
      <c r="C102" s="51">
        <v>45530</v>
      </c>
      <c r="D102">
        <v>929</v>
      </c>
      <c r="E102">
        <v>192</v>
      </c>
      <c r="F102">
        <v>322</v>
      </c>
      <c r="G102">
        <v>16722</v>
      </c>
      <c r="H102">
        <v>15996</v>
      </c>
      <c r="I102">
        <v>145</v>
      </c>
      <c r="J102" t="s">
        <v>27</v>
      </c>
      <c r="K102" t="s">
        <v>28</v>
      </c>
      <c r="L102">
        <v>1588</v>
      </c>
      <c r="M102">
        <v>8.6293505561535699E-2</v>
      </c>
      <c r="N102" t="s">
        <v>41</v>
      </c>
      <c r="O102" t="s">
        <v>45</v>
      </c>
    </row>
    <row r="103" spans="1:15" x14ac:dyDescent="0.3">
      <c r="A103" t="s">
        <v>458</v>
      </c>
      <c r="B103" t="s">
        <v>13</v>
      </c>
      <c r="C103" s="51">
        <v>45530</v>
      </c>
      <c r="D103">
        <v>929</v>
      </c>
      <c r="E103">
        <v>192</v>
      </c>
      <c r="F103">
        <v>322</v>
      </c>
      <c r="G103">
        <v>16722</v>
      </c>
      <c r="H103">
        <v>15996</v>
      </c>
      <c r="I103">
        <v>145</v>
      </c>
      <c r="J103" t="s">
        <v>551</v>
      </c>
      <c r="K103" t="s">
        <v>28</v>
      </c>
      <c r="L103">
        <v>1588</v>
      </c>
      <c r="M103">
        <v>8.6293505561535699E-2</v>
      </c>
      <c r="N103" t="s">
        <v>41</v>
      </c>
      <c r="O103" t="s">
        <v>45</v>
      </c>
    </row>
    <row r="104" spans="1:15" x14ac:dyDescent="0.3">
      <c r="A104" t="s">
        <v>464</v>
      </c>
      <c r="B104" t="s">
        <v>24</v>
      </c>
      <c r="C104" s="51">
        <v>45590</v>
      </c>
      <c r="D104">
        <v>4661</v>
      </c>
      <c r="E104">
        <v>935</v>
      </c>
      <c r="F104">
        <v>433</v>
      </c>
      <c r="G104">
        <v>23305</v>
      </c>
      <c r="H104">
        <v>22583</v>
      </c>
      <c r="I104">
        <v>63</v>
      </c>
      <c r="J104" t="s">
        <v>58</v>
      </c>
      <c r="K104" t="s">
        <v>28</v>
      </c>
      <c r="L104">
        <v>6092</v>
      </c>
      <c r="M104">
        <v>0.25869984981763572</v>
      </c>
      <c r="N104" t="s">
        <v>70</v>
      </c>
      <c r="O104" t="s">
        <v>211</v>
      </c>
    </row>
    <row r="105" spans="1:15" x14ac:dyDescent="0.3">
      <c r="A105" t="s">
        <v>505</v>
      </c>
      <c r="B105" t="s">
        <v>24</v>
      </c>
      <c r="C105" s="51">
        <v>45672</v>
      </c>
      <c r="D105">
        <v>3774</v>
      </c>
      <c r="E105">
        <v>239</v>
      </c>
      <c r="F105">
        <v>39</v>
      </c>
      <c r="G105">
        <v>60384</v>
      </c>
      <c r="H105">
        <v>59490</v>
      </c>
      <c r="I105">
        <v>241</v>
      </c>
      <c r="J105" t="s">
        <v>27</v>
      </c>
      <c r="K105" t="s">
        <v>28</v>
      </c>
      <c r="L105">
        <v>4293</v>
      </c>
      <c r="M105">
        <v>6.7103868574456813E-2</v>
      </c>
      <c r="N105" t="s">
        <v>15</v>
      </c>
      <c r="O105" t="s">
        <v>26</v>
      </c>
    </row>
    <row r="106" spans="1:15" x14ac:dyDescent="0.3">
      <c r="A106" t="s">
        <v>528</v>
      </c>
      <c r="B106" t="s">
        <v>24</v>
      </c>
      <c r="C106" s="51">
        <v>45560</v>
      </c>
      <c r="D106">
        <v>3389</v>
      </c>
      <c r="E106">
        <v>344</v>
      </c>
      <c r="F106">
        <v>229</v>
      </c>
      <c r="G106">
        <v>20334</v>
      </c>
      <c r="H106">
        <v>19443</v>
      </c>
      <c r="I106">
        <v>228</v>
      </c>
      <c r="J106" t="s">
        <v>58</v>
      </c>
      <c r="K106" t="s">
        <v>28</v>
      </c>
      <c r="L106">
        <v>4190</v>
      </c>
      <c r="M106">
        <v>0.19484607062063539</v>
      </c>
      <c r="N106" t="s">
        <v>70</v>
      </c>
      <c r="O106" t="s">
        <v>211</v>
      </c>
    </row>
    <row r="107" spans="1:15" x14ac:dyDescent="0.3">
      <c r="A107" t="s">
        <v>531</v>
      </c>
      <c r="B107" t="s">
        <v>24</v>
      </c>
      <c r="C107" s="51">
        <v>45764</v>
      </c>
      <c r="D107">
        <v>4780</v>
      </c>
      <c r="E107">
        <v>691</v>
      </c>
      <c r="F107">
        <v>380</v>
      </c>
      <c r="G107">
        <v>86040</v>
      </c>
      <c r="H107">
        <v>85743</v>
      </c>
      <c r="I107">
        <v>262</v>
      </c>
      <c r="J107" t="s">
        <v>58</v>
      </c>
      <c r="K107" t="s">
        <v>28</v>
      </c>
      <c r="L107">
        <v>6113</v>
      </c>
      <c r="M107">
        <v>6.800325430032543E-2</v>
      </c>
      <c r="N107" t="s">
        <v>41</v>
      </c>
      <c r="O107" t="s">
        <v>64</v>
      </c>
    </row>
    <row r="108" spans="1:15" x14ac:dyDescent="0.3">
      <c r="A108" t="s">
        <v>59</v>
      </c>
      <c r="B108" t="s">
        <v>39</v>
      </c>
      <c r="C108" s="51">
        <v>45494</v>
      </c>
      <c r="D108">
        <v>1946</v>
      </c>
      <c r="E108">
        <v>686</v>
      </c>
      <c r="F108">
        <v>377</v>
      </c>
      <c r="G108">
        <v>23352</v>
      </c>
      <c r="H108">
        <v>22982</v>
      </c>
      <c r="I108">
        <v>213</v>
      </c>
      <c r="J108" t="s">
        <v>58</v>
      </c>
      <c r="K108" t="s">
        <v>28</v>
      </c>
      <c r="L108">
        <v>3222</v>
      </c>
      <c r="M108">
        <v>0.12885405960945528</v>
      </c>
      <c r="N108" t="s">
        <v>15</v>
      </c>
      <c r="O108" t="s">
        <v>61</v>
      </c>
    </row>
    <row r="109" spans="1:15" x14ac:dyDescent="0.3">
      <c r="A109" t="s">
        <v>72</v>
      </c>
      <c r="B109" t="s">
        <v>39</v>
      </c>
      <c r="C109" s="51">
        <v>45530</v>
      </c>
      <c r="D109">
        <v>3452</v>
      </c>
      <c r="E109">
        <v>377</v>
      </c>
      <c r="F109">
        <v>360</v>
      </c>
      <c r="G109">
        <v>55232</v>
      </c>
      <c r="H109">
        <v>55075</v>
      </c>
      <c r="I109">
        <v>87</v>
      </c>
      <c r="J109" t="s">
        <v>58</v>
      </c>
      <c r="K109" t="s">
        <v>28</v>
      </c>
      <c r="L109">
        <v>4276</v>
      </c>
      <c r="M109">
        <v>7.5843713789107758E-2</v>
      </c>
      <c r="N109" t="s">
        <v>20</v>
      </c>
      <c r="O109" t="s">
        <v>52</v>
      </c>
    </row>
    <row r="110" spans="1:15" x14ac:dyDescent="0.3">
      <c r="A110" t="s">
        <v>91</v>
      </c>
      <c r="B110" t="s">
        <v>39</v>
      </c>
      <c r="C110" s="51">
        <v>45680</v>
      </c>
      <c r="D110">
        <v>3961</v>
      </c>
      <c r="E110">
        <v>761</v>
      </c>
      <c r="F110">
        <v>131</v>
      </c>
      <c r="G110">
        <v>67337</v>
      </c>
      <c r="H110">
        <v>66615</v>
      </c>
      <c r="I110">
        <v>161</v>
      </c>
      <c r="J110" t="s">
        <v>58</v>
      </c>
      <c r="K110" t="s">
        <v>28</v>
      </c>
      <c r="L110">
        <v>5014</v>
      </c>
      <c r="M110">
        <v>7.2070332803659209E-2</v>
      </c>
      <c r="N110" t="s">
        <v>70</v>
      </c>
      <c r="O110" t="s">
        <v>71</v>
      </c>
    </row>
    <row r="111" spans="1:15" x14ac:dyDescent="0.3">
      <c r="A111" t="s">
        <v>113</v>
      </c>
      <c r="B111" t="s">
        <v>39</v>
      </c>
      <c r="C111" s="51">
        <v>45742</v>
      </c>
      <c r="D111">
        <v>1652</v>
      </c>
      <c r="E111">
        <v>89</v>
      </c>
      <c r="F111">
        <v>357</v>
      </c>
      <c r="G111">
        <v>29736</v>
      </c>
      <c r="H111">
        <v>28771</v>
      </c>
      <c r="I111">
        <v>215</v>
      </c>
      <c r="J111" t="s">
        <v>27</v>
      </c>
      <c r="K111" t="s">
        <v>28</v>
      </c>
      <c r="L111">
        <v>2313</v>
      </c>
      <c r="M111">
        <v>7.055421038471886E-2</v>
      </c>
      <c r="N111" t="s">
        <v>20</v>
      </c>
      <c r="O111" t="s">
        <v>52</v>
      </c>
    </row>
    <row r="112" spans="1:15" x14ac:dyDescent="0.3">
      <c r="A112" t="s">
        <v>159</v>
      </c>
      <c r="B112" t="s">
        <v>39</v>
      </c>
      <c r="C112" s="51">
        <v>45644</v>
      </c>
      <c r="D112">
        <v>2946</v>
      </c>
      <c r="E112">
        <v>498</v>
      </c>
      <c r="F112">
        <v>367</v>
      </c>
      <c r="G112">
        <v>29460</v>
      </c>
      <c r="H112">
        <v>28527</v>
      </c>
      <c r="I112">
        <v>60</v>
      </c>
      <c r="J112" t="s">
        <v>58</v>
      </c>
      <c r="K112" t="s">
        <v>28</v>
      </c>
      <c r="L112">
        <v>3871</v>
      </c>
      <c r="M112">
        <v>0.12936184657162253</v>
      </c>
      <c r="N112" t="s">
        <v>41</v>
      </c>
      <c r="O112" t="s">
        <v>42</v>
      </c>
    </row>
    <row r="113" spans="1:15" x14ac:dyDescent="0.3">
      <c r="A113" t="s">
        <v>174</v>
      </c>
      <c r="B113" t="s">
        <v>39</v>
      </c>
      <c r="C113" s="51">
        <v>45521</v>
      </c>
      <c r="D113">
        <v>2878</v>
      </c>
      <c r="E113">
        <v>248</v>
      </c>
      <c r="F113">
        <v>416</v>
      </c>
      <c r="G113">
        <v>43170</v>
      </c>
      <c r="H113">
        <v>42667</v>
      </c>
      <c r="I113">
        <v>75</v>
      </c>
      <c r="J113" t="s">
        <v>58</v>
      </c>
      <c r="K113" t="s">
        <v>28</v>
      </c>
      <c r="L113">
        <v>3617</v>
      </c>
      <c r="M113">
        <v>8.2047718322909427E-2</v>
      </c>
      <c r="N113" t="s">
        <v>48</v>
      </c>
      <c r="O113" t="s">
        <v>55</v>
      </c>
    </row>
    <row r="114" spans="1:15" x14ac:dyDescent="0.3">
      <c r="A114" t="s">
        <v>180</v>
      </c>
      <c r="B114" t="s">
        <v>39</v>
      </c>
      <c r="C114" s="51">
        <v>45745</v>
      </c>
      <c r="D114">
        <v>4712</v>
      </c>
      <c r="E114">
        <v>568</v>
      </c>
      <c r="F114">
        <v>127</v>
      </c>
      <c r="G114">
        <v>84816</v>
      </c>
      <c r="H114">
        <v>84691</v>
      </c>
      <c r="I114">
        <v>100</v>
      </c>
      <c r="J114" t="s">
        <v>34</v>
      </c>
      <c r="K114" t="s">
        <v>28</v>
      </c>
      <c r="L114">
        <v>5507</v>
      </c>
      <c r="M114">
        <v>6.3749764195434822E-2</v>
      </c>
      <c r="N114" t="s">
        <v>41</v>
      </c>
      <c r="O114" t="s">
        <v>42</v>
      </c>
    </row>
    <row r="115" spans="1:15" x14ac:dyDescent="0.3">
      <c r="A115" t="s">
        <v>275</v>
      </c>
      <c r="B115" t="s">
        <v>39</v>
      </c>
      <c r="C115" s="51">
        <v>45600</v>
      </c>
      <c r="D115">
        <v>4551</v>
      </c>
      <c r="E115">
        <v>714</v>
      </c>
      <c r="F115">
        <v>207</v>
      </c>
      <c r="G115">
        <v>68265</v>
      </c>
      <c r="H115">
        <v>67754</v>
      </c>
      <c r="I115">
        <v>57</v>
      </c>
      <c r="J115" t="s">
        <v>58</v>
      </c>
      <c r="K115" t="s">
        <v>28</v>
      </c>
      <c r="L115">
        <v>5529</v>
      </c>
      <c r="M115">
        <v>8.0158206987475278E-2</v>
      </c>
      <c r="N115" t="s">
        <v>48</v>
      </c>
      <c r="O115" t="s">
        <v>55</v>
      </c>
    </row>
    <row r="116" spans="1:15" x14ac:dyDescent="0.3">
      <c r="A116" t="s">
        <v>278</v>
      </c>
      <c r="B116" t="s">
        <v>39</v>
      </c>
      <c r="C116" s="51">
        <v>45586</v>
      </c>
      <c r="D116">
        <v>780</v>
      </c>
      <c r="E116">
        <v>928</v>
      </c>
      <c r="F116">
        <v>301</v>
      </c>
      <c r="G116">
        <v>8580</v>
      </c>
      <c r="H116">
        <v>8081</v>
      </c>
      <c r="I116">
        <v>91</v>
      </c>
      <c r="J116" t="s">
        <v>34</v>
      </c>
      <c r="K116" t="s">
        <v>28</v>
      </c>
      <c r="L116">
        <v>2100</v>
      </c>
      <c r="M116">
        <v>0.23414918414918415</v>
      </c>
      <c r="N116" t="s">
        <v>32</v>
      </c>
      <c r="O116" t="s">
        <v>67</v>
      </c>
    </row>
    <row r="117" spans="1:15" x14ac:dyDescent="0.3">
      <c r="A117" t="s">
        <v>287</v>
      </c>
      <c r="B117" t="s">
        <v>39</v>
      </c>
      <c r="C117" s="51">
        <v>45684</v>
      </c>
      <c r="D117">
        <v>3452</v>
      </c>
      <c r="E117">
        <v>652</v>
      </c>
      <c r="F117">
        <v>442</v>
      </c>
      <c r="G117">
        <v>65588</v>
      </c>
      <c r="H117">
        <v>65049</v>
      </c>
      <c r="I117">
        <v>158</v>
      </c>
      <c r="J117" t="s">
        <v>58</v>
      </c>
      <c r="K117" t="s">
        <v>28</v>
      </c>
      <c r="L117">
        <v>4704</v>
      </c>
      <c r="M117">
        <v>6.9311459413307311E-2</v>
      </c>
      <c r="N117" t="s">
        <v>15</v>
      </c>
      <c r="O117" t="s">
        <v>61</v>
      </c>
    </row>
    <row r="118" spans="1:15" x14ac:dyDescent="0.3">
      <c r="A118" t="s">
        <v>357</v>
      </c>
      <c r="B118" t="s">
        <v>39</v>
      </c>
      <c r="C118" s="51">
        <v>45518</v>
      </c>
      <c r="D118">
        <v>3073</v>
      </c>
      <c r="E118">
        <v>553</v>
      </c>
      <c r="F118">
        <v>174</v>
      </c>
      <c r="G118">
        <v>52241</v>
      </c>
      <c r="H118">
        <v>51605</v>
      </c>
      <c r="I118">
        <v>246</v>
      </c>
      <c r="J118" t="s">
        <v>34</v>
      </c>
      <c r="K118" t="s">
        <v>28</v>
      </c>
      <c r="L118">
        <v>4046</v>
      </c>
      <c r="M118">
        <v>7.2739802071170159E-2</v>
      </c>
      <c r="N118" t="s">
        <v>41</v>
      </c>
      <c r="O118" t="s">
        <v>42</v>
      </c>
    </row>
    <row r="119" spans="1:15" x14ac:dyDescent="0.3">
      <c r="A119" t="s">
        <v>380</v>
      </c>
      <c r="B119" t="s">
        <v>39</v>
      </c>
      <c r="C119" s="51">
        <v>45528</v>
      </c>
      <c r="D119">
        <v>4292</v>
      </c>
      <c r="E119">
        <v>51</v>
      </c>
      <c r="F119">
        <v>392</v>
      </c>
      <c r="G119">
        <v>55796</v>
      </c>
      <c r="H119">
        <v>54826</v>
      </c>
      <c r="I119">
        <v>264</v>
      </c>
      <c r="J119" t="s">
        <v>34</v>
      </c>
      <c r="K119" t="s">
        <v>28</v>
      </c>
      <c r="L119">
        <v>4999</v>
      </c>
      <c r="M119">
        <v>8.4862714173059003E-2</v>
      </c>
      <c r="N119" t="s">
        <v>41</v>
      </c>
      <c r="O119" t="s">
        <v>42</v>
      </c>
    </row>
    <row r="120" spans="1:15" x14ac:dyDescent="0.3">
      <c r="A120" t="s">
        <v>405</v>
      </c>
      <c r="B120" t="s">
        <v>39</v>
      </c>
      <c r="C120" s="51">
        <v>45445</v>
      </c>
      <c r="D120">
        <v>1871</v>
      </c>
      <c r="E120">
        <v>252</v>
      </c>
      <c r="F120">
        <v>335</v>
      </c>
      <c r="G120">
        <v>29936</v>
      </c>
      <c r="H120">
        <v>29576</v>
      </c>
      <c r="I120">
        <v>288</v>
      </c>
      <c r="J120" t="s">
        <v>34</v>
      </c>
      <c r="K120" t="s">
        <v>28</v>
      </c>
      <c r="L120">
        <v>2746</v>
      </c>
      <c r="M120">
        <v>8.2108498129342594E-2</v>
      </c>
      <c r="N120" t="s">
        <v>48</v>
      </c>
      <c r="O120" t="s">
        <v>55</v>
      </c>
    </row>
    <row r="121" spans="1:15" x14ac:dyDescent="0.3">
      <c r="A121" t="s">
        <v>435</v>
      </c>
      <c r="B121" t="s">
        <v>39</v>
      </c>
      <c r="C121" s="51">
        <v>45790</v>
      </c>
      <c r="D121">
        <v>602</v>
      </c>
      <c r="E121">
        <v>594</v>
      </c>
      <c r="F121">
        <v>156</v>
      </c>
      <c r="G121">
        <v>4214</v>
      </c>
      <c r="H121">
        <v>3363</v>
      </c>
      <c r="I121">
        <v>164</v>
      </c>
      <c r="J121" t="s">
        <v>27</v>
      </c>
      <c r="K121" t="s">
        <v>28</v>
      </c>
      <c r="L121">
        <v>1516</v>
      </c>
      <c r="M121">
        <v>0.32083531086853345</v>
      </c>
      <c r="N121" t="s">
        <v>48</v>
      </c>
      <c r="O121" t="s">
        <v>55</v>
      </c>
    </row>
    <row r="122" spans="1:15" x14ac:dyDescent="0.3">
      <c r="A122" t="s">
        <v>445</v>
      </c>
      <c r="B122" t="s">
        <v>39</v>
      </c>
      <c r="C122" s="51">
        <v>45488</v>
      </c>
      <c r="D122">
        <v>3663</v>
      </c>
      <c r="E122">
        <v>17</v>
      </c>
      <c r="F122">
        <v>295</v>
      </c>
      <c r="G122">
        <v>51282</v>
      </c>
      <c r="H122">
        <v>50567</v>
      </c>
      <c r="I122">
        <v>84</v>
      </c>
      <c r="J122" t="s">
        <v>34</v>
      </c>
      <c r="K122" t="s">
        <v>28</v>
      </c>
      <c r="L122">
        <v>4059</v>
      </c>
      <c r="M122">
        <v>7.7512577512577507E-2</v>
      </c>
      <c r="N122" t="s">
        <v>15</v>
      </c>
      <c r="O122" t="s">
        <v>61</v>
      </c>
    </row>
    <row r="123" spans="1:15" x14ac:dyDescent="0.3">
      <c r="A123" t="s">
        <v>452</v>
      </c>
      <c r="B123" t="s">
        <v>39</v>
      </c>
      <c r="C123" s="51">
        <v>45648</v>
      </c>
      <c r="D123">
        <v>3196</v>
      </c>
      <c r="E123">
        <v>941</v>
      </c>
      <c r="F123">
        <v>376</v>
      </c>
      <c r="G123">
        <v>35156</v>
      </c>
      <c r="H123">
        <v>34444</v>
      </c>
      <c r="I123">
        <v>241</v>
      </c>
      <c r="J123" t="s">
        <v>27</v>
      </c>
      <c r="K123" t="s">
        <v>28</v>
      </c>
      <c r="L123">
        <v>4754</v>
      </c>
      <c r="M123">
        <v>0.1283706906360223</v>
      </c>
      <c r="N123" t="s">
        <v>48</v>
      </c>
      <c r="O123" t="s">
        <v>55</v>
      </c>
    </row>
    <row r="124" spans="1:15" x14ac:dyDescent="0.3">
      <c r="A124" t="s">
        <v>461</v>
      </c>
      <c r="B124" t="s">
        <v>39</v>
      </c>
      <c r="C124" s="51">
        <v>45480</v>
      </c>
      <c r="D124">
        <v>4767</v>
      </c>
      <c r="E124">
        <v>190</v>
      </c>
      <c r="F124">
        <v>340</v>
      </c>
      <c r="G124">
        <v>28602</v>
      </c>
      <c r="H124">
        <v>28044</v>
      </c>
      <c r="I124">
        <v>210</v>
      </c>
      <c r="J124" t="s">
        <v>34</v>
      </c>
      <c r="K124" t="s">
        <v>28</v>
      </c>
      <c r="L124">
        <v>5507</v>
      </c>
      <c r="M124">
        <v>0.18519683938186141</v>
      </c>
      <c r="N124" t="s">
        <v>15</v>
      </c>
      <c r="O124" t="s">
        <v>61</v>
      </c>
    </row>
    <row r="125" spans="1:15" x14ac:dyDescent="0.3">
      <c r="A125" t="s">
        <v>477</v>
      </c>
      <c r="B125" t="s">
        <v>39</v>
      </c>
      <c r="C125" s="51">
        <v>45775</v>
      </c>
      <c r="D125">
        <v>2089</v>
      </c>
      <c r="E125">
        <v>476</v>
      </c>
      <c r="F125">
        <v>69</v>
      </c>
      <c r="G125">
        <v>16712</v>
      </c>
      <c r="H125">
        <v>16309</v>
      </c>
      <c r="I125">
        <v>64</v>
      </c>
      <c r="J125" t="s">
        <v>58</v>
      </c>
      <c r="K125" t="s">
        <v>28</v>
      </c>
      <c r="L125">
        <v>2698</v>
      </c>
      <c r="M125">
        <v>0.15761129727142173</v>
      </c>
      <c r="N125" t="s">
        <v>41</v>
      </c>
      <c r="O125" t="s">
        <v>42</v>
      </c>
    </row>
    <row r="126" spans="1:15" x14ac:dyDescent="0.3">
      <c r="A126" t="s">
        <v>499</v>
      </c>
      <c r="B126" t="s">
        <v>39</v>
      </c>
      <c r="C126" s="51">
        <v>45621</v>
      </c>
      <c r="D126">
        <v>4182</v>
      </c>
      <c r="E126">
        <v>640</v>
      </c>
      <c r="F126">
        <v>240</v>
      </c>
      <c r="G126">
        <v>50184</v>
      </c>
      <c r="H126">
        <v>49351</v>
      </c>
      <c r="I126">
        <v>10</v>
      </c>
      <c r="J126" t="s">
        <v>27</v>
      </c>
      <c r="K126" t="s">
        <v>28</v>
      </c>
      <c r="L126">
        <v>5072</v>
      </c>
      <c r="M126">
        <v>0.10086880280567512</v>
      </c>
      <c r="N126" t="s">
        <v>32</v>
      </c>
      <c r="O126" t="s">
        <v>67</v>
      </c>
    </row>
    <row r="127" spans="1:15" x14ac:dyDescent="0.3">
      <c r="A127" t="s">
        <v>512</v>
      </c>
      <c r="B127" t="s">
        <v>39</v>
      </c>
      <c r="C127" s="51">
        <v>45509</v>
      </c>
      <c r="D127">
        <v>1741</v>
      </c>
      <c r="E127">
        <v>831</v>
      </c>
      <c r="F127">
        <v>345</v>
      </c>
      <c r="G127">
        <v>17410</v>
      </c>
      <c r="H127">
        <v>16844</v>
      </c>
      <c r="I127">
        <v>58</v>
      </c>
      <c r="J127" t="s">
        <v>34</v>
      </c>
      <c r="K127" t="s">
        <v>28</v>
      </c>
      <c r="L127">
        <v>2975</v>
      </c>
      <c r="M127">
        <v>0.16754738655944859</v>
      </c>
      <c r="N127" t="s">
        <v>15</v>
      </c>
      <c r="O127" t="s">
        <v>61</v>
      </c>
    </row>
    <row r="128" spans="1:15" x14ac:dyDescent="0.3">
      <c r="A128" t="s">
        <v>541</v>
      </c>
      <c r="B128" t="s">
        <v>39</v>
      </c>
      <c r="C128" s="51">
        <v>45462</v>
      </c>
      <c r="D128">
        <v>4731</v>
      </c>
      <c r="E128">
        <v>173</v>
      </c>
      <c r="F128">
        <v>276</v>
      </c>
      <c r="G128">
        <v>28386</v>
      </c>
      <c r="H128">
        <v>28185</v>
      </c>
      <c r="I128">
        <v>89</v>
      </c>
      <c r="J128" t="s">
        <v>34</v>
      </c>
      <c r="K128" t="s">
        <v>28</v>
      </c>
      <c r="L128">
        <v>5269</v>
      </c>
      <c r="M128">
        <v>0.18248432325794406</v>
      </c>
      <c r="N128" t="s">
        <v>41</v>
      </c>
      <c r="O128" t="s">
        <v>42</v>
      </c>
    </row>
    <row r="129" spans="1:15" x14ac:dyDescent="0.3">
      <c r="A129" t="s">
        <v>548</v>
      </c>
      <c r="B129" t="s">
        <v>39</v>
      </c>
      <c r="C129" s="51">
        <v>45589</v>
      </c>
      <c r="D129">
        <v>4303</v>
      </c>
      <c r="E129">
        <v>451</v>
      </c>
      <c r="F129">
        <v>286</v>
      </c>
      <c r="G129">
        <v>86060</v>
      </c>
      <c r="H129">
        <v>85823</v>
      </c>
      <c r="I129">
        <v>14</v>
      </c>
      <c r="J129" t="s">
        <v>27</v>
      </c>
      <c r="K129" t="s">
        <v>28</v>
      </c>
      <c r="L129">
        <v>5054</v>
      </c>
      <c r="M129">
        <v>5.8563792702765516E-2</v>
      </c>
      <c r="N129" t="s">
        <v>48</v>
      </c>
      <c r="O129" t="s">
        <v>55</v>
      </c>
    </row>
    <row r="130" spans="1:15" x14ac:dyDescent="0.3">
      <c r="A130" t="s">
        <v>549</v>
      </c>
      <c r="B130" t="s">
        <v>39</v>
      </c>
      <c r="C130" s="51">
        <v>45530</v>
      </c>
      <c r="D130">
        <v>2581</v>
      </c>
      <c r="E130">
        <v>517</v>
      </c>
      <c r="F130">
        <v>117</v>
      </c>
      <c r="G130">
        <v>23229</v>
      </c>
      <c r="H130">
        <v>22331</v>
      </c>
      <c r="I130">
        <v>70</v>
      </c>
      <c r="J130" t="s">
        <v>58</v>
      </c>
      <c r="K130" t="s">
        <v>28</v>
      </c>
      <c r="L130">
        <v>3285</v>
      </c>
      <c r="M130">
        <v>0.13840458048129492</v>
      </c>
      <c r="N130" t="s">
        <v>48</v>
      </c>
      <c r="O130" t="s">
        <v>55</v>
      </c>
    </row>
    <row r="131" spans="1:15" x14ac:dyDescent="0.3">
      <c r="A131" t="s">
        <v>106</v>
      </c>
      <c r="B131" t="s">
        <v>30</v>
      </c>
      <c r="C131" s="51">
        <v>45642</v>
      </c>
      <c r="D131">
        <v>438</v>
      </c>
      <c r="E131">
        <v>153</v>
      </c>
      <c r="F131">
        <v>275</v>
      </c>
      <c r="G131">
        <v>3066</v>
      </c>
      <c r="H131">
        <v>2701</v>
      </c>
      <c r="I131">
        <v>282</v>
      </c>
      <c r="J131" t="s">
        <v>27</v>
      </c>
      <c r="K131" t="s">
        <v>22</v>
      </c>
      <c r="L131">
        <v>1148</v>
      </c>
      <c r="M131">
        <v>0.28245270711024134</v>
      </c>
      <c r="N131" t="s">
        <v>20</v>
      </c>
      <c r="O131" t="s">
        <v>108</v>
      </c>
    </row>
    <row r="132" spans="1:15" x14ac:dyDescent="0.3">
      <c r="A132" t="s">
        <v>115</v>
      </c>
      <c r="B132" t="s">
        <v>30</v>
      </c>
      <c r="C132" s="51">
        <v>45626</v>
      </c>
      <c r="D132">
        <v>3775</v>
      </c>
      <c r="E132">
        <v>16</v>
      </c>
      <c r="F132">
        <v>239</v>
      </c>
      <c r="G132">
        <v>33975</v>
      </c>
      <c r="H132">
        <v>33310</v>
      </c>
      <c r="I132">
        <v>271</v>
      </c>
      <c r="J132" t="s">
        <v>58</v>
      </c>
      <c r="K132" t="s">
        <v>22</v>
      </c>
      <c r="L132">
        <v>4301</v>
      </c>
      <c r="M132">
        <v>0.11861662987490802</v>
      </c>
      <c r="N132" t="s">
        <v>70</v>
      </c>
      <c r="O132" t="s">
        <v>81</v>
      </c>
    </row>
    <row r="133" spans="1:15" x14ac:dyDescent="0.3">
      <c r="A133" t="s">
        <v>117</v>
      </c>
      <c r="B133" t="s">
        <v>30</v>
      </c>
      <c r="C133" s="51">
        <v>45766</v>
      </c>
      <c r="D133">
        <v>4518</v>
      </c>
      <c r="E133">
        <v>285</v>
      </c>
      <c r="F133">
        <v>383</v>
      </c>
      <c r="G133">
        <v>67770</v>
      </c>
      <c r="H133">
        <v>67621</v>
      </c>
      <c r="I133">
        <v>31</v>
      </c>
      <c r="J133" t="s">
        <v>34</v>
      </c>
      <c r="K133" t="s">
        <v>22</v>
      </c>
      <c r="L133">
        <v>5217</v>
      </c>
      <c r="M133">
        <v>7.6523535487678915E-2</v>
      </c>
      <c r="N133" t="s">
        <v>32</v>
      </c>
      <c r="O133" t="s">
        <v>33</v>
      </c>
    </row>
    <row r="134" spans="1:15" x14ac:dyDescent="0.3">
      <c r="A134" t="s">
        <v>201</v>
      </c>
      <c r="B134" t="s">
        <v>30</v>
      </c>
      <c r="C134" s="51">
        <v>45574</v>
      </c>
      <c r="D134">
        <v>3068</v>
      </c>
      <c r="E134">
        <v>137</v>
      </c>
      <c r="F134">
        <v>329</v>
      </c>
      <c r="G134">
        <v>39884</v>
      </c>
      <c r="H134">
        <v>39404</v>
      </c>
      <c r="I134">
        <v>266</v>
      </c>
      <c r="J134" t="s">
        <v>34</v>
      </c>
      <c r="K134" t="s">
        <v>22</v>
      </c>
      <c r="L134">
        <v>3800</v>
      </c>
      <c r="M134">
        <v>8.860696018453515E-2</v>
      </c>
      <c r="N134" t="s">
        <v>41</v>
      </c>
      <c r="O134" t="s">
        <v>84</v>
      </c>
    </row>
    <row r="135" spans="1:15" x14ac:dyDescent="0.3">
      <c r="A135" t="s">
        <v>235</v>
      </c>
      <c r="B135" t="s">
        <v>30</v>
      </c>
      <c r="C135" s="51">
        <v>45517</v>
      </c>
      <c r="D135">
        <v>4739</v>
      </c>
      <c r="E135">
        <v>527</v>
      </c>
      <c r="F135">
        <v>135</v>
      </c>
      <c r="G135">
        <v>61607</v>
      </c>
      <c r="H135">
        <v>61333</v>
      </c>
      <c r="I135">
        <v>36</v>
      </c>
      <c r="J135" t="s">
        <v>27</v>
      </c>
      <c r="K135" t="s">
        <v>22</v>
      </c>
      <c r="L135">
        <v>5437</v>
      </c>
      <c r="M135">
        <v>8.7668609086629767E-2</v>
      </c>
      <c r="N135" t="s">
        <v>48</v>
      </c>
      <c r="O135" t="s">
        <v>208</v>
      </c>
    </row>
    <row r="136" spans="1:15" x14ac:dyDescent="0.3">
      <c r="A136" t="s">
        <v>235</v>
      </c>
      <c r="B136" t="s">
        <v>30</v>
      </c>
      <c r="C136" s="51">
        <v>45517</v>
      </c>
      <c r="D136">
        <v>4739</v>
      </c>
      <c r="E136">
        <v>527</v>
      </c>
      <c r="F136">
        <v>135</v>
      </c>
      <c r="G136">
        <v>61607</v>
      </c>
      <c r="H136">
        <v>61333</v>
      </c>
      <c r="I136">
        <v>36</v>
      </c>
      <c r="J136" t="s">
        <v>551</v>
      </c>
      <c r="K136" t="s">
        <v>22</v>
      </c>
      <c r="L136">
        <v>5437</v>
      </c>
      <c r="M136">
        <v>8.7668609086629767E-2</v>
      </c>
      <c r="N136" t="s">
        <v>48</v>
      </c>
      <c r="O136" t="s">
        <v>208</v>
      </c>
    </row>
    <row r="137" spans="1:15" x14ac:dyDescent="0.3">
      <c r="A137" t="s">
        <v>259</v>
      </c>
      <c r="B137" t="s">
        <v>30</v>
      </c>
      <c r="C137" s="51">
        <v>45502</v>
      </c>
      <c r="D137">
        <v>3523</v>
      </c>
      <c r="E137">
        <v>753</v>
      </c>
      <c r="F137">
        <v>482</v>
      </c>
      <c r="G137">
        <v>38753</v>
      </c>
      <c r="H137">
        <v>38579</v>
      </c>
      <c r="I137">
        <v>270</v>
      </c>
      <c r="J137" t="s">
        <v>34</v>
      </c>
      <c r="K137" t="s">
        <v>22</v>
      </c>
      <c r="L137">
        <v>5028</v>
      </c>
      <c r="M137">
        <v>0.12277759141227776</v>
      </c>
      <c r="N137" t="s">
        <v>15</v>
      </c>
      <c r="O137" t="s">
        <v>78</v>
      </c>
    </row>
    <row r="138" spans="1:15" x14ac:dyDescent="0.3">
      <c r="A138" t="s">
        <v>280</v>
      </c>
      <c r="B138" t="s">
        <v>30</v>
      </c>
      <c r="C138" s="51">
        <v>45567</v>
      </c>
      <c r="D138">
        <v>3432</v>
      </c>
      <c r="E138">
        <v>869</v>
      </c>
      <c r="F138">
        <v>123</v>
      </c>
      <c r="G138">
        <v>54912</v>
      </c>
      <c r="H138">
        <v>53916</v>
      </c>
      <c r="I138">
        <v>264</v>
      </c>
      <c r="J138" t="s">
        <v>34</v>
      </c>
      <c r="K138" t="s">
        <v>22</v>
      </c>
      <c r="L138">
        <v>4688</v>
      </c>
      <c r="M138">
        <v>8.0565268065268064E-2</v>
      </c>
      <c r="N138" t="s">
        <v>20</v>
      </c>
      <c r="O138" t="s">
        <v>108</v>
      </c>
    </row>
    <row r="139" spans="1:15" x14ac:dyDescent="0.3">
      <c r="A139" t="s">
        <v>293</v>
      </c>
      <c r="B139" t="s">
        <v>30</v>
      </c>
      <c r="C139" s="51">
        <v>45720</v>
      </c>
      <c r="D139">
        <v>1947</v>
      </c>
      <c r="E139">
        <v>842</v>
      </c>
      <c r="F139">
        <v>101</v>
      </c>
      <c r="G139">
        <v>21417</v>
      </c>
      <c r="H139">
        <v>20967</v>
      </c>
      <c r="I139">
        <v>186</v>
      </c>
      <c r="J139" t="s">
        <v>58</v>
      </c>
      <c r="K139" t="s">
        <v>22</v>
      </c>
      <c r="L139">
        <v>3076</v>
      </c>
      <c r="M139">
        <v>0.13493953401503478</v>
      </c>
      <c r="N139" t="s">
        <v>32</v>
      </c>
      <c r="O139" t="s">
        <v>33</v>
      </c>
    </row>
    <row r="140" spans="1:15" x14ac:dyDescent="0.3">
      <c r="A140" t="s">
        <v>316</v>
      </c>
      <c r="B140" t="s">
        <v>30</v>
      </c>
      <c r="C140" s="51">
        <v>45586</v>
      </c>
      <c r="D140">
        <v>3256</v>
      </c>
      <c r="E140">
        <v>459</v>
      </c>
      <c r="F140">
        <v>266</v>
      </c>
      <c r="G140">
        <v>26048</v>
      </c>
      <c r="H140">
        <v>25529</v>
      </c>
      <c r="I140">
        <v>143</v>
      </c>
      <c r="J140" t="s">
        <v>27</v>
      </c>
      <c r="K140" t="s">
        <v>22</v>
      </c>
      <c r="L140">
        <v>4124</v>
      </c>
      <c r="M140">
        <v>0.15283323095823095</v>
      </c>
      <c r="N140" t="s">
        <v>15</v>
      </c>
      <c r="O140" t="s">
        <v>78</v>
      </c>
    </row>
    <row r="141" spans="1:15" x14ac:dyDescent="0.3">
      <c r="A141" t="s">
        <v>343</v>
      </c>
      <c r="B141" t="s">
        <v>30</v>
      </c>
      <c r="C141" s="51">
        <v>45755</v>
      </c>
      <c r="D141">
        <v>4501</v>
      </c>
      <c r="E141">
        <v>375</v>
      </c>
      <c r="F141">
        <v>323</v>
      </c>
      <c r="G141">
        <v>22505</v>
      </c>
      <c r="H141">
        <v>21836</v>
      </c>
      <c r="I141">
        <v>132</v>
      </c>
      <c r="J141" t="s">
        <v>27</v>
      </c>
      <c r="K141" t="s">
        <v>22</v>
      </c>
      <c r="L141">
        <v>5331</v>
      </c>
      <c r="M141">
        <v>0.23101532992668297</v>
      </c>
      <c r="N141" t="s">
        <v>48</v>
      </c>
      <c r="O141" t="s">
        <v>208</v>
      </c>
    </row>
    <row r="142" spans="1:15" x14ac:dyDescent="0.3">
      <c r="A142" t="s">
        <v>374</v>
      </c>
      <c r="B142" t="s">
        <v>30</v>
      </c>
      <c r="C142" s="51">
        <v>45643</v>
      </c>
      <c r="D142">
        <v>360</v>
      </c>
      <c r="E142">
        <v>590</v>
      </c>
      <c r="F142">
        <v>393</v>
      </c>
      <c r="G142">
        <v>4680</v>
      </c>
      <c r="H142">
        <v>4322</v>
      </c>
      <c r="I142">
        <v>208</v>
      </c>
      <c r="J142" t="s">
        <v>58</v>
      </c>
      <c r="K142" t="s">
        <v>22</v>
      </c>
      <c r="L142">
        <v>1551</v>
      </c>
      <c r="M142">
        <v>0.28696581196581195</v>
      </c>
      <c r="N142" t="s">
        <v>32</v>
      </c>
      <c r="O142" t="s">
        <v>33</v>
      </c>
    </row>
    <row r="143" spans="1:15" x14ac:dyDescent="0.3">
      <c r="A143" t="s">
        <v>423</v>
      </c>
      <c r="B143" t="s">
        <v>30</v>
      </c>
      <c r="C143" s="51">
        <v>45649</v>
      </c>
      <c r="D143">
        <v>521</v>
      </c>
      <c r="E143">
        <v>746</v>
      </c>
      <c r="F143">
        <v>315</v>
      </c>
      <c r="G143">
        <v>4168</v>
      </c>
      <c r="H143">
        <v>3399</v>
      </c>
      <c r="I143">
        <v>282</v>
      </c>
      <c r="J143" t="s">
        <v>58</v>
      </c>
      <c r="K143" t="s">
        <v>22</v>
      </c>
      <c r="L143">
        <v>1864</v>
      </c>
      <c r="M143">
        <v>0.37955854126679461</v>
      </c>
      <c r="N143" t="s">
        <v>48</v>
      </c>
      <c r="O143" t="s">
        <v>208</v>
      </c>
    </row>
    <row r="144" spans="1:15" x14ac:dyDescent="0.3">
      <c r="A144" t="s">
        <v>485</v>
      </c>
      <c r="B144" t="s">
        <v>30</v>
      </c>
      <c r="C144" s="51">
        <v>45509</v>
      </c>
      <c r="D144">
        <v>3601</v>
      </c>
      <c r="E144">
        <v>695</v>
      </c>
      <c r="F144">
        <v>75</v>
      </c>
      <c r="G144">
        <v>21606</v>
      </c>
      <c r="H144">
        <v>21454</v>
      </c>
      <c r="I144">
        <v>172</v>
      </c>
      <c r="J144" t="s">
        <v>34</v>
      </c>
      <c r="K144" t="s">
        <v>22</v>
      </c>
      <c r="L144">
        <v>4543</v>
      </c>
      <c r="M144">
        <v>0.2023049153013052</v>
      </c>
      <c r="N144" t="s">
        <v>32</v>
      </c>
      <c r="O144" t="s">
        <v>33</v>
      </c>
    </row>
    <row r="145" spans="1:15" x14ac:dyDescent="0.3">
      <c r="A145" t="s">
        <v>493</v>
      </c>
      <c r="B145" t="s">
        <v>30</v>
      </c>
      <c r="C145" s="51">
        <v>45524</v>
      </c>
      <c r="D145">
        <v>2603</v>
      </c>
      <c r="E145">
        <v>690</v>
      </c>
      <c r="F145">
        <v>205</v>
      </c>
      <c r="G145">
        <v>13015</v>
      </c>
      <c r="H145">
        <v>12130</v>
      </c>
      <c r="I145">
        <v>20</v>
      </c>
      <c r="J145" t="s">
        <v>58</v>
      </c>
      <c r="K145" t="s">
        <v>22</v>
      </c>
      <c r="L145">
        <v>3518</v>
      </c>
      <c r="M145">
        <v>0.26876680752977333</v>
      </c>
      <c r="N145" t="s">
        <v>15</v>
      </c>
      <c r="O145" t="s">
        <v>78</v>
      </c>
    </row>
    <row r="146" spans="1:15" x14ac:dyDescent="0.3">
      <c r="A146" t="s">
        <v>503</v>
      </c>
      <c r="B146" t="s">
        <v>30</v>
      </c>
      <c r="C146" s="51">
        <v>45601</v>
      </c>
      <c r="D146">
        <v>4561</v>
      </c>
      <c r="E146">
        <v>51</v>
      </c>
      <c r="F146">
        <v>441</v>
      </c>
      <c r="G146">
        <v>22805</v>
      </c>
      <c r="H146">
        <v>21890</v>
      </c>
      <c r="I146">
        <v>45</v>
      </c>
      <c r="J146" t="s">
        <v>27</v>
      </c>
      <c r="K146" t="s">
        <v>22</v>
      </c>
      <c r="L146">
        <v>5098</v>
      </c>
      <c r="M146">
        <v>0.22157421618066214</v>
      </c>
      <c r="N146" t="s">
        <v>70</v>
      </c>
      <c r="O146" t="s">
        <v>81</v>
      </c>
    </row>
    <row r="147" spans="1:15" x14ac:dyDescent="0.3">
      <c r="A147" t="s">
        <v>506</v>
      </c>
      <c r="B147" t="s">
        <v>30</v>
      </c>
      <c r="C147" s="51">
        <v>45582</v>
      </c>
      <c r="D147">
        <v>3575</v>
      </c>
      <c r="E147">
        <v>749</v>
      </c>
      <c r="F147">
        <v>111</v>
      </c>
      <c r="G147">
        <v>21450</v>
      </c>
      <c r="H147">
        <v>20785</v>
      </c>
      <c r="I147">
        <v>195</v>
      </c>
      <c r="J147" t="s">
        <v>34</v>
      </c>
      <c r="K147" t="s">
        <v>22</v>
      </c>
      <c r="L147">
        <v>4630</v>
      </c>
      <c r="M147">
        <v>0.20675990675990677</v>
      </c>
      <c r="N147" t="s">
        <v>70</v>
      </c>
      <c r="O147" t="s">
        <v>81</v>
      </c>
    </row>
    <row r="148" spans="1:15" x14ac:dyDescent="0.3">
      <c r="A148" t="s">
        <v>18</v>
      </c>
      <c r="B148" t="s">
        <v>13</v>
      </c>
      <c r="C148" s="51">
        <v>45750</v>
      </c>
      <c r="D148">
        <v>4054</v>
      </c>
      <c r="E148">
        <v>389</v>
      </c>
      <c r="F148">
        <v>493</v>
      </c>
      <c r="G148">
        <v>64864</v>
      </c>
      <c r="H148">
        <v>64383</v>
      </c>
      <c r="I148">
        <v>117</v>
      </c>
      <c r="J148" t="s">
        <v>27</v>
      </c>
      <c r="K148" t="s">
        <v>22</v>
      </c>
      <c r="L148">
        <v>5053</v>
      </c>
      <c r="M148">
        <v>7.6097681302417369E-2</v>
      </c>
      <c r="N148" t="s">
        <v>20</v>
      </c>
      <c r="O148" t="s">
        <v>21</v>
      </c>
    </row>
    <row r="149" spans="1:15" x14ac:dyDescent="0.3">
      <c r="A149" t="s">
        <v>18</v>
      </c>
      <c r="B149" t="s">
        <v>13</v>
      </c>
      <c r="C149" s="51">
        <v>45750</v>
      </c>
      <c r="D149">
        <v>4054</v>
      </c>
      <c r="E149">
        <v>389</v>
      </c>
      <c r="F149">
        <v>493</v>
      </c>
      <c r="G149">
        <v>64864</v>
      </c>
      <c r="H149">
        <v>64383</v>
      </c>
      <c r="I149">
        <v>117</v>
      </c>
      <c r="J149" t="s">
        <v>553</v>
      </c>
      <c r="K149" t="s">
        <v>22</v>
      </c>
      <c r="L149">
        <v>5053</v>
      </c>
      <c r="M149">
        <v>7.6097681302417369E-2</v>
      </c>
      <c r="N149" t="s">
        <v>20</v>
      </c>
      <c r="O149" t="s">
        <v>21</v>
      </c>
    </row>
    <row r="150" spans="1:15" x14ac:dyDescent="0.3">
      <c r="A150" t="s">
        <v>43</v>
      </c>
      <c r="B150" t="s">
        <v>13</v>
      </c>
      <c r="C150" s="51">
        <v>45467</v>
      </c>
      <c r="D150">
        <v>3860</v>
      </c>
      <c r="E150">
        <v>201</v>
      </c>
      <c r="F150">
        <v>279</v>
      </c>
      <c r="G150">
        <v>61760</v>
      </c>
      <c r="H150">
        <v>61660</v>
      </c>
      <c r="I150">
        <v>235</v>
      </c>
      <c r="J150" t="s">
        <v>27</v>
      </c>
      <c r="K150" t="s">
        <v>22</v>
      </c>
      <c r="L150">
        <v>4575</v>
      </c>
      <c r="M150">
        <v>7.0272020725388601E-2</v>
      </c>
      <c r="N150" t="s">
        <v>41</v>
      </c>
      <c r="O150" t="s">
        <v>45</v>
      </c>
    </row>
    <row r="151" spans="1:15" x14ac:dyDescent="0.3">
      <c r="A151" t="s">
        <v>95</v>
      </c>
      <c r="B151" t="s">
        <v>24</v>
      </c>
      <c r="C151" s="51">
        <v>45752</v>
      </c>
      <c r="D151">
        <v>3009</v>
      </c>
      <c r="E151">
        <v>413</v>
      </c>
      <c r="F151">
        <v>358</v>
      </c>
      <c r="G151">
        <v>42126</v>
      </c>
      <c r="H151">
        <v>41309</v>
      </c>
      <c r="I151">
        <v>211</v>
      </c>
      <c r="J151" t="s">
        <v>58</v>
      </c>
      <c r="K151" t="s">
        <v>22</v>
      </c>
      <c r="L151">
        <v>3991</v>
      </c>
      <c r="M151">
        <v>8.9730807577268201E-2</v>
      </c>
      <c r="N151" t="s">
        <v>15</v>
      </c>
      <c r="O151" t="s">
        <v>26</v>
      </c>
    </row>
    <row r="152" spans="1:15" x14ac:dyDescent="0.3">
      <c r="A152" t="s">
        <v>155</v>
      </c>
      <c r="B152" t="s">
        <v>24</v>
      </c>
      <c r="C152" s="51">
        <v>45729</v>
      </c>
      <c r="D152">
        <v>1686</v>
      </c>
      <c r="E152">
        <v>904</v>
      </c>
      <c r="F152">
        <v>472</v>
      </c>
      <c r="G152">
        <v>18546</v>
      </c>
      <c r="H152">
        <v>18171</v>
      </c>
      <c r="I152">
        <v>52</v>
      </c>
      <c r="J152" t="s">
        <v>58</v>
      </c>
      <c r="K152" t="s">
        <v>22</v>
      </c>
      <c r="L152">
        <v>3114</v>
      </c>
      <c r="M152">
        <v>0.16510298716704411</v>
      </c>
      <c r="N152" t="s">
        <v>41</v>
      </c>
      <c r="O152" t="s">
        <v>64</v>
      </c>
    </row>
    <row r="153" spans="1:15" x14ac:dyDescent="0.3">
      <c r="A153" t="s">
        <v>187</v>
      </c>
      <c r="B153" t="s">
        <v>24</v>
      </c>
      <c r="C153" s="51">
        <v>45537</v>
      </c>
      <c r="D153">
        <v>2551</v>
      </c>
      <c r="E153">
        <v>915</v>
      </c>
      <c r="F153">
        <v>205</v>
      </c>
      <c r="G153">
        <v>30612</v>
      </c>
      <c r="H153">
        <v>30360</v>
      </c>
      <c r="I153">
        <v>227</v>
      </c>
      <c r="J153" t="s">
        <v>27</v>
      </c>
      <c r="K153" t="s">
        <v>22</v>
      </c>
      <c r="L153">
        <v>3898</v>
      </c>
      <c r="M153">
        <v>0.1199202926956749</v>
      </c>
      <c r="N153" t="s">
        <v>41</v>
      </c>
      <c r="O153" t="s">
        <v>64</v>
      </c>
    </row>
    <row r="154" spans="1:15" x14ac:dyDescent="0.3">
      <c r="A154" t="s">
        <v>189</v>
      </c>
      <c r="B154" t="s">
        <v>24</v>
      </c>
      <c r="C154" s="51">
        <v>45719</v>
      </c>
      <c r="D154">
        <v>296</v>
      </c>
      <c r="E154">
        <v>60</v>
      </c>
      <c r="F154">
        <v>141</v>
      </c>
      <c r="G154">
        <v>5624</v>
      </c>
      <c r="H154">
        <v>5239</v>
      </c>
      <c r="I154">
        <v>88</v>
      </c>
      <c r="J154" t="s">
        <v>34</v>
      </c>
      <c r="K154" t="s">
        <v>22</v>
      </c>
      <c r="L154">
        <v>585</v>
      </c>
      <c r="M154">
        <v>8.837126600284495E-2</v>
      </c>
      <c r="N154" t="s">
        <v>15</v>
      </c>
      <c r="O154" t="s">
        <v>26</v>
      </c>
    </row>
    <row r="155" spans="1:15" x14ac:dyDescent="0.3">
      <c r="A155" t="s">
        <v>243</v>
      </c>
      <c r="B155" t="s">
        <v>13</v>
      </c>
      <c r="C155" s="51">
        <v>45553</v>
      </c>
      <c r="D155">
        <v>1000</v>
      </c>
      <c r="E155">
        <v>978</v>
      </c>
      <c r="F155">
        <v>162</v>
      </c>
      <c r="G155">
        <v>6000</v>
      </c>
      <c r="H155">
        <v>5221</v>
      </c>
      <c r="I155">
        <v>223</v>
      </c>
      <c r="J155" t="s">
        <v>34</v>
      </c>
      <c r="K155" t="s">
        <v>22</v>
      </c>
      <c r="L155">
        <v>2363</v>
      </c>
      <c r="M155">
        <v>0.35666666666666669</v>
      </c>
      <c r="N155" t="s">
        <v>15</v>
      </c>
      <c r="O155" t="s">
        <v>16</v>
      </c>
    </row>
    <row r="156" spans="1:15" x14ac:dyDescent="0.3">
      <c r="A156" t="s">
        <v>255</v>
      </c>
      <c r="B156" t="s">
        <v>13</v>
      </c>
      <c r="C156" s="51">
        <v>45741</v>
      </c>
      <c r="D156">
        <v>4050</v>
      </c>
      <c r="E156">
        <v>871</v>
      </c>
      <c r="F156">
        <v>347</v>
      </c>
      <c r="G156">
        <v>52650</v>
      </c>
      <c r="H156">
        <v>51755</v>
      </c>
      <c r="I156">
        <v>209</v>
      </c>
      <c r="J156" t="s">
        <v>27</v>
      </c>
      <c r="K156" t="s">
        <v>22</v>
      </c>
      <c r="L156">
        <v>5477</v>
      </c>
      <c r="M156">
        <v>0.10005698005698006</v>
      </c>
      <c r="N156" t="s">
        <v>70</v>
      </c>
      <c r="O156" t="s">
        <v>140</v>
      </c>
    </row>
    <row r="157" spans="1:15" x14ac:dyDescent="0.3">
      <c r="A157" t="s">
        <v>261</v>
      </c>
      <c r="B157" t="s">
        <v>24</v>
      </c>
      <c r="C157" s="51">
        <v>45619</v>
      </c>
      <c r="D157">
        <v>2719</v>
      </c>
      <c r="E157">
        <v>17</v>
      </c>
      <c r="F157">
        <v>285</v>
      </c>
      <c r="G157">
        <v>40785</v>
      </c>
      <c r="H157">
        <v>40281</v>
      </c>
      <c r="I157">
        <v>40</v>
      </c>
      <c r="J157" t="s">
        <v>27</v>
      </c>
      <c r="K157" t="s">
        <v>22</v>
      </c>
      <c r="L157">
        <v>3061</v>
      </c>
      <c r="M157">
        <v>7.4071349760941527E-2</v>
      </c>
      <c r="N157" t="s">
        <v>48</v>
      </c>
      <c r="O157" t="s">
        <v>49</v>
      </c>
    </row>
    <row r="158" spans="1:15" x14ac:dyDescent="0.3">
      <c r="A158" t="s">
        <v>328</v>
      </c>
      <c r="B158" t="s">
        <v>24</v>
      </c>
      <c r="C158" s="51">
        <v>45647</v>
      </c>
      <c r="D158">
        <v>2283</v>
      </c>
      <c r="E158">
        <v>210</v>
      </c>
      <c r="F158">
        <v>130</v>
      </c>
      <c r="G158">
        <v>22830</v>
      </c>
      <c r="H158">
        <v>22617</v>
      </c>
      <c r="I158">
        <v>143</v>
      </c>
      <c r="J158" t="s">
        <v>58</v>
      </c>
      <c r="K158" t="s">
        <v>22</v>
      </c>
      <c r="L158">
        <v>2766</v>
      </c>
      <c r="M158">
        <v>0.11489268506351293</v>
      </c>
      <c r="N158" t="s">
        <v>48</v>
      </c>
      <c r="O158" t="s">
        <v>49</v>
      </c>
    </row>
    <row r="159" spans="1:15" x14ac:dyDescent="0.3">
      <c r="A159" t="s">
        <v>332</v>
      </c>
      <c r="B159" t="s">
        <v>24</v>
      </c>
      <c r="C159" s="51">
        <v>45496</v>
      </c>
      <c r="D159">
        <v>4775</v>
      </c>
      <c r="E159">
        <v>173</v>
      </c>
      <c r="F159">
        <v>206</v>
      </c>
      <c r="G159">
        <v>47750</v>
      </c>
      <c r="H159">
        <v>47544</v>
      </c>
      <c r="I159">
        <v>187</v>
      </c>
      <c r="J159" t="s">
        <v>58</v>
      </c>
      <c r="K159" t="s">
        <v>22</v>
      </c>
      <c r="L159">
        <v>5341</v>
      </c>
      <c r="M159">
        <v>0.10793717277486911</v>
      </c>
      <c r="N159" t="s">
        <v>32</v>
      </c>
      <c r="O159" t="s">
        <v>149</v>
      </c>
    </row>
    <row r="160" spans="1:15" x14ac:dyDescent="0.3">
      <c r="A160" t="s">
        <v>346</v>
      </c>
      <c r="B160" t="s">
        <v>13</v>
      </c>
      <c r="C160" s="51">
        <v>45637</v>
      </c>
      <c r="D160">
        <v>3239</v>
      </c>
      <c r="E160">
        <v>43</v>
      </c>
      <c r="F160">
        <v>211</v>
      </c>
      <c r="G160">
        <v>22673</v>
      </c>
      <c r="H160">
        <v>22171</v>
      </c>
      <c r="I160">
        <v>230</v>
      </c>
      <c r="J160" t="s">
        <v>27</v>
      </c>
      <c r="K160" t="s">
        <v>22</v>
      </c>
      <c r="L160">
        <v>3723</v>
      </c>
      <c r="M160">
        <v>0.15405989502933004</v>
      </c>
      <c r="N160" t="s">
        <v>20</v>
      </c>
      <c r="O160" t="s">
        <v>21</v>
      </c>
    </row>
    <row r="161" spans="1:15" x14ac:dyDescent="0.3">
      <c r="A161" t="s">
        <v>355</v>
      </c>
      <c r="B161" t="s">
        <v>24</v>
      </c>
      <c r="C161" s="51">
        <v>45657</v>
      </c>
      <c r="D161">
        <v>1018</v>
      </c>
      <c r="E161">
        <v>447</v>
      </c>
      <c r="F161">
        <v>332</v>
      </c>
      <c r="G161">
        <v>18324</v>
      </c>
      <c r="H161">
        <v>18164</v>
      </c>
      <c r="I161">
        <v>38</v>
      </c>
      <c r="J161" t="s">
        <v>58</v>
      </c>
      <c r="K161" t="s">
        <v>22</v>
      </c>
      <c r="L161">
        <v>1835</v>
      </c>
      <c r="M161">
        <v>9.8068107400130972E-2</v>
      </c>
      <c r="N161" t="s">
        <v>70</v>
      </c>
      <c r="O161" t="s">
        <v>211</v>
      </c>
    </row>
    <row r="162" spans="1:15" x14ac:dyDescent="0.3">
      <c r="A162" t="s">
        <v>383</v>
      </c>
      <c r="B162" t="s">
        <v>24</v>
      </c>
      <c r="C162" s="51">
        <v>45449</v>
      </c>
      <c r="D162">
        <v>2728</v>
      </c>
      <c r="E162">
        <v>533</v>
      </c>
      <c r="F162">
        <v>215</v>
      </c>
      <c r="G162">
        <v>40920</v>
      </c>
      <c r="H162">
        <v>40816</v>
      </c>
      <c r="I162">
        <v>137</v>
      </c>
      <c r="J162" t="s">
        <v>58</v>
      </c>
      <c r="K162" t="s">
        <v>22</v>
      </c>
      <c r="L162">
        <v>3613</v>
      </c>
      <c r="M162">
        <v>8.4946236559139784E-2</v>
      </c>
      <c r="N162" t="s">
        <v>15</v>
      </c>
      <c r="O162" t="s">
        <v>26</v>
      </c>
    </row>
    <row r="163" spans="1:15" x14ac:dyDescent="0.3">
      <c r="A163" t="s">
        <v>400</v>
      </c>
      <c r="B163" t="s">
        <v>24</v>
      </c>
      <c r="C163" s="51">
        <v>45626</v>
      </c>
      <c r="D163">
        <v>2509</v>
      </c>
      <c r="E163">
        <v>324</v>
      </c>
      <c r="F163">
        <v>171</v>
      </c>
      <c r="G163">
        <v>35126</v>
      </c>
      <c r="H163">
        <v>34685</v>
      </c>
      <c r="I163">
        <v>277</v>
      </c>
      <c r="J163" t="s">
        <v>27</v>
      </c>
      <c r="K163" t="s">
        <v>22</v>
      </c>
      <c r="L163">
        <v>3281</v>
      </c>
      <c r="M163">
        <v>8.5520696919660646E-2</v>
      </c>
      <c r="N163" t="s">
        <v>41</v>
      </c>
      <c r="O163" t="s">
        <v>64</v>
      </c>
    </row>
    <row r="164" spans="1:15" x14ac:dyDescent="0.3">
      <c r="A164" t="s">
        <v>414</v>
      </c>
      <c r="B164" t="s">
        <v>24</v>
      </c>
      <c r="C164" s="51">
        <v>45467</v>
      </c>
      <c r="D164">
        <v>2949</v>
      </c>
      <c r="E164">
        <v>476</v>
      </c>
      <c r="F164">
        <v>403</v>
      </c>
      <c r="G164">
        <v>44235</v>
      </c>
      <c r="H164">
        <v>43705</v>
      </c>
      <c r="I164">
        <v>135</v>
      </c>
      <c r="J164" t="s">
        <v>27</v>
      </c>
      <c r="K164" t="s">
        <v>22</v>
      </c>
      <c r="L164">
        <v>3963</v>
      </c>
      <c r="M164">
        <v>8.6537809426924378E-2</v>
      </c>
      <c r="N164" t="s">
        <v>70</v>
      </c>
      <c r="O164" t="s">
        <v>211</v>
      </c>
    </row>
    <row r="165" spans="1:15" x14ac:dyDescent="0.3">
      <c r="A165" t="s">
        <v>420</v>
      </c>
      <c r="B165" t="s">
        <v>24</v>
      </c>
      <c r="C165" s="51">
        <v>45719</v>
      </c>
      <c r="D165">
        <v>3874</v>
      </c>
      <c r="E165">
        <v>884</v>
      </c>
      <c r="F165">
        <v>19</v>
      </c>
      <c r="G165">
        <v>38740</v>
      </c>
      <c r="H165">
        <v>38552</v>
      </c>
      <c r="I165">
        <v>219</v>
      </c>
      <c r="J165" t="s">
        <v>27</v>
      </c>
      <c r="K165" t="s">
        <v>22</v>
      </c>
      <c r="L165">
        <v>4996</v>
      </c>
      <c r="M165">
        <v>0.123309241094476</v>
      </c>
      <c r="N165" t="s">
        <v>70</v>
      </c>
      <c r="O165" t="s">
        <v>211</v>
      </c>
    </row>
    <row r="166" spans="1:15" x14ac:dyDescent="0.3">
      <c r="A166" t="s">
        <v>426</v>
      </c>
      <c r="B166" t="s">
        <v>24</v>
      </c>
      <c r="C166" s="51">
        <v>45502</v>
      </c>
      <c r="D166">
        <v>1509</v>
      </c>
      <c r="E166">
        <v>88</v>
      </c>
      <c r="F166">
        <v>163</v>
      </c>
      <c r="G166">
        <v>30180</v>
      </c>
      <c r="H166">
        <v>29689</v>
      </c>
      <c r="I166">
        <v>119</v>
      </c>
      <c r="J166" t="s">
        <v>34</v>
      </c>
      <c r="K166" t="s">
        <v>22</v>
      </c>
      <c r="L166">
        <v>1879</v>
      </c>
      <c r="M166">
        <v>5.8316766070245198E-2</v>
      </c>
      <c r="N166" t="s">
        <v>32</v>
      </c>
      <c r="O166" t="s">
        <v>149</v>
      </c>
    </row>
    <row r="167" spans="1:15" x14ac:dyDescent="0.3">
      <c r="A167" t="s">
        <v>473</v>
      </c>
      <c r="B167" t="s">
        <v>13</v>
      </c>
      <c r="C167" s="51">
        <v>45491</v>
      </c>
      <c r="D167">
        <v>827</v>
      </c>
      <c r="E167">
        <v>77</v>
      </c>
      <c r="F167">
        <v>402</v>
      </c>
      <c r="G167">
        <v>14886</v>
      </c>
      <c r="H167">
        <v>14129</v>
      </c>
      <c r="I167">
        <v>254</v>
      </c>
      <c r="J167" t="s">
        <v>34</v>
      </c>
      <c r="K167" t="s">
        <v>22</v>
      </c>
      <c r="L167">
        <v>1560</v>
      </c>
      <c r="M167">
        <v>8.7733440816874911E-2</v>
      </c>
      <c r="N167" t="s">
        <v>48</v>
      </c>
      <c r="O167" t="s">
        <v>127</v>
      </c>
    </row>
    <row r="168" spans="1:15" x14ac:dyDescent="0.3">
      <c r="A168" t="s">
        <v>480</v>
      </c>
      <c r="B168" t="s">
        <v>13</v>
      </c>
      <c r="C168" s="51">
        <v>45671</v>
      </c>
      <c r="D168">
        <v>2692</v>
      </c>
      <c r="E168">
        <v>115</v>
      </c>
      <c r="F168">
        <v>64</v>
      </c>
      <c r="G168">
        <v>21536</v>
      </c>
      <c r="H168">
        <v>21120</v>
      </c>
      <c r="I168">
        <v>224</v>
      </c>
      <c r="J168" t="s">
        <v>58</v>
      </c>
      <c r="K168" t="s">
        <v>22</v>
      </c>
      <c r="L168">
        <v>3095</v>
      </c>
      <c r="M168">
        <v>0.13331166419019316</v>
      </c>
      <c r="N168" t="s">
        <v>48</v>
      </c>
      <c r="O168" t="s">
        <v>127</v>
      </c>
    </row>
    <row r="169" spans="1:15" x14ac:dyDescent="0.3">
      <c r="A169" t="s">
        <v>483</v>
      </c>
      <c r="B169" t="s">
        <v>24</v>
      </c>
      <c r="C169" s="51">
        <v>45553</v>
      </c>
      <c r="D169">
        <v>2143</v>
      </c>
      <c r="E169">
        <v>12</v>
      </c>
      <c r="F169">
        <v>204</v>
      </c>
      <c r="G169">
        <v>40717</v>
      </c>
      <c r="H169">
        <v>40125</v>
      </c>
      <c r="I169">
        <v>248</v>
      </c>
      <c r="J169" t="s">
        <v>34</v>
      </c>
      <c r="K169" t="s">
        <v>22</v>
      </c>
      <c r="L169">
        <v>2607</v>
      </c>
      <c r="M169">
        <v>5.7936488444630008E-2</v>
      </c>
      <c r="N169" t="s">
        <v>41</v>
      </c>
      <c r="O169" t="s">
        <v>64</v>
      </c>
    </row>
    <row r="170" spans="1:15" x14ac:dyDescent="0.3">
      <c r="A170" t="s">
        <v>495</v>
      </c>
      <c r="B170" t="s">
        <v>13</v>
      </c>
      <c r="C170" s="51">
        <v>45687</v>
      </c>
      <c r="D170">
        <v>59</v>
      </c>
      <c r="E170">
        <v>163</v>
      </c>
      <c r="F170">
        <v>93</v>
      </c>
      <c r="G170">
        <v>590</v>
      </c>
      <c r="H170">
        <v>475</v>
      </c>
      <c r="I170">
        <v>293</v>
      </c>
      <c r="J170" t="s">
        <v>27</v>
      </c>
      <c r="K170" t="s">
        <v>22</v>
      </c>
      <c r="L170">
        <v>608</v>
      </c>
      <c r="M170">
        <v>0.53389830508474578</v>
      </c>
      <c r="N170" t="s">
        <v>48</v>
      </c>
      <c r="O170" t="s">
        <v>127</v>
      </c>
    </row>
    <row r="171" spans="1:15" x14ac:dyDescent="0.3">
      <c r="A171" t="s">
        <v>513</v>
      </c>
      <c r="B171" t="s">
        <v>13</v>
      </c>
      <c r="C171" s="51">
        <v>45450</v>
      </c>
      <c r="D171">
        <v>1556</v>
      </c>
      <c r="E171">
        <v>195</v>
      </c>
      <c r="F171">
        <v>131</v>
      </c>
      <c r="G171">
        <v>9336</v>
      </c>
      <c r="H171">
        <v>8875</v>
      </c>
      <c r="I171">
        <v>137</v>
      </c>
      <c r="J171" t="s">
        <v>27</v>
      </c>
      <c r="K171" t="s">
        <v>22</v>
      </c>
      <c r="L171">
        <v>2019</v>
      </c>
      <c r="M171">
        <v>0.2015852613538989</v>
      </c>
      <c r="N171" t="s">
        <v>41</v>
      </c>
      <c r="O171" t="s">
        <v>45</v>
      </c>
    </row>
    <row r="172" spans="1:15" x14ac:dyDescent="0.3">
      <c r="A172" t="s">
        <v>518</v>
      </c>
      <c r="B172" t="s">
        <v>24</v>
      </c>
      <c r="C172" s="51">
        <v>45537</v>
      </c>
      <c r="D172">
        <v>4905</v>
      </c>
      <c r="E172">
        <v>845</v>
      </c>
      <c r="F172">
        <v>129</v>
      </c>
      <c r="G172">
        <v>98100</v>
      </c>
      <c r="H172">
        <v>97772</v>
      </c>
      <c r="I172">
        <v>279</v>
      </c>
      <c r="J172" t="s">
        <v>27</v>
      </c>
      <c r="K172" t="s">
        <v>22</v>
      </c>
      <c r="L172">
        <v>6158</v>
      </c>
      <c r="M172">
        <v>5.9928644240570844E-2</v>
      </c>
      <c r="N172" t="s">
        <v>48</v>
      </c>
      <c r="O172" t="s">
        <v>49</v>
      </c>
    </row>
    <row r="173" spans="1:15" x14ac:dyDescent="0.3">
      <c r="A173" t="s">
        <v>520</v>
      </c>
      <c r="B173" t="s">
        <v>24</v>
      </c>
      <c r="C173" s="51">
        <v>45738</v>
      </c>
      <c r="D173">
        <v>3166</v>
      </c>
      <c r="E173">
        <v>90</v>
      </c>
      <c r="F173">
        <v>341</v>
      </c>
      <c r="G173">
        <v>56988</v>
      </c>
      <c r="H173">
        <v>56125</v>
      </c>
      <c r="I173">
        <v>135</v>
      </c>
      <c r="J173" t="s">
        <v>34</v>
      </c>
      <c r="K173" t="s">
        <v>22</v>
      </c>
      <c r="L173">
        <v>3732</v>
      </c>
      <c r="M173">
        <v>6.3118551273952411E-2</v>
      </c>
      <c r="N173" t="s">
        <v>48</v>
      </c>
      <c r="O173" t="s">
        <v>49</v>
      </c>
    </row>
    <row r="174" spans="1:15" x14ac:dyDescent="0.3">
      <c r="A174" t="s">
        <v>524</v>
      </c>
      <c r="B174" t="s">
        <v>13</v>
      </c>
      <c r="C174" s="51">
        <v>45786</v>
      </c>
      <c r="D174">
        <v>3367</v>
      </c>
      <c r="E174">
        <v>302</v>
      </c>
      <c r="F174">
        <v>57</v>
      </c>
      <c r="G174">
        <v>63973</v>
      </c>
      <c r="H174">
        <v>63789</v>
      </c>
      <c r="I174">
        <v>157</v>
      </c>
      <c r="J174" t="s">
        <v>58</v>
      </c>
      <c r="K174" t="s">
        <v>22</v>
      </c>
      <c r="L174">
        <v>3883</v>
      </c>
      <c r="M174">
        <v>5.8243321401216137E-2</v>
      </c>
      <c r="N174" t="s">
        <v>15</v>
      </c>
      <c r="O174" t="s">
        <v>16</v>
      </c>
    </row>
    <row r="175" spans="1:15" x14ac:dyDescent="0.3">
      <c r="A175" t="s">
        <v>543</v>
      </c>
      <c r="B175" t="s">
        <v>13</v>
      </c>
      <c r="C175" s="51">
        <v>45783</v>
      </c>
      <c r="D175">
        <v>1952</v>
      </c>
      <c r="E175">
        <v>344</v>
      </c>
      <c r="F175">
        <v>287</v>
      </c>
      <c r="G175">
        <v>15616</v>
      </c>
      <c r="H175">
        <v>15403</v>
      </c>
      <c r="I175">
        <v>235</v>
      </c>
      <c r="J175" t="s">
        <v>58</v>
      </c>
      <c r="K175" t="s">
        <v>22</v>
      </c>
      <c r="L175">
        <v>2818</v>
      </c>
      <c r="M175">
        <v>0.16540727459016394</v>
      </c>
      <c r="N175" t="s">
        <v>48</v>
      </c>
      <c r="O175" t="s">
        <v>127</v>
      </c>
    </row>
    <row r="176" spans="1:15" x14ac:dyDescent="0.3">
      <c r="A176" t="s">
        <v>543</v>
      </c>
      <c r="B176" t="s">
        <v>13</v>
      </c>
      <c r="C176" s="51">
        <v>45783</v>
      </c>
      <c r="D176">
        <v>1952</v>
      </c>
      <c r="E176">
        <v>344</v>
      </c>
      <c r="F176">
        <v>287</v>
      </c>
      <c r="G176">
        <v>15616</v>
      </c>
      <c r="H176">
        <v>15403</v>
      </c>
      <c r="I176">
        <v>235</v>
      </c>
      <c r="J176" t="s">
        <v>27</v>
      </c>
      <c r="K176" t="s">
        <v>22</v>
      </c>
      <c r="L176">
        <v>2818</v>
      </c>
      <c r="M176">
        <v>0.16540727459016394</v>
      </c>
      <c r="N176" t="s">
        <v>48</v>
      </c>
      <c r="O176" t="s">
        <v>127</v>
      </c>
    </row>
    <row r="177" spans="1:15" x14ac:dyDescent="0.3">
      <c r="A177" t="s">
        <v>543</v>
      </c>
      <c r="B177" t="s">
        <v>13</v>
      </c>
      <c r="C177" s="51">
        <v>45783</v>
      </c>
      <c r="D177">
        <v>1952</v>
      </c>
      <c r="E177">
        <v>344</v>
      </c>
      <c r="F177">
        <v>287</v>
      </c>
      <c r="G177">
        <v>15616</v>
      </c>
      <c r="H177">
        <v>15403</v>
      </c>
      <c r="I177">
        <v>235</v>
      </c>
      <c r="J177" t="s">
        <v>551</v>
      </c>
      <c r="K177" t="s">
        <v>22</v>
      </c>
      <c r="L177">
        <v>2818</v>
      </c>
      <c r="M177">
        <v>0.16540727459016394</v>
      </c>
      <c r="N177" t="s">
        <v>48</v>
      </c>
      <c r="O177" t="s">
        <v>127</v>
      </c>
    </row>
    <row r="178" spans="1:15" x14ac:dyDescent="0.3">
      <c r="A178" t="s">
        <v>38</v>
      </c>
      <c r="B178" t="s">
        <v>39</v>
      </c>
      <c r="C178" s="51">
        <v>45596</v>
      </c>
      <c r="D178">
        <v>2945</v>
      </c>
      <c r="E178">
        <v>930</v>
      </c>
      <c r="F178">
        <v>355</v>
      </c>
      <c r="G178">
        <v>23560</v>
      </c>
      <c r="H178">
        <v>23275</v>
      </c>
      <c r="I178">
        <v>256</v>
      </c>
      <c r="J178" t="s">
        <v>27</v>
      </c>
      <c r="K178" t="s">
        <v>22</v>
      </c>
      <c r="L178">
        <v>4486</v>
      </c>
      <c r="M178">
        <v>0.17954159592529711</v>
      </c>
      <c r="N178" t="s">
        <v>41</v>
      </c>
      <c r="O178" t="s">
        <v>42</v>
      </c>
    </row>
    <row r="179" spans="1:15" x14ac:dyDescent="0.3">
      <c r="A179" t="s">
        <v>50</v>
      </c>
      <c r="B179" t="s">
        <v>39</v>
      </c>
      <c r="C179" s="51">
        <v>45534</v>
      </c>
      <c r="D179">
        <v>3784</v>
      </c>
      <c r="E179">
        <v>808</v>
      </c>
      <c r="F179">
        <v>404</v>
      </c>
      <c r="G179">
        <v>56760</v>
      </c>
      <c r="H179">
        <v>56343</v>
      </c>
      <c r="I179">
        <v>131</v>
      </c>
      <c r="J179" t="s">
        <v>27</v>
      </c>
      <c r="K179" t="s">
        <v>22</v>
      </c>
      <c r="L179">
        <v>5127</v>
      </c>
      <c r="M179">
        <v>8.8019732205778717E-2</v>
      </c>
      <c r="N179" t="s">
        <v>20</v>
      </c>
      <c r="O179" t="s">
        <v>52</v>
      </c>
    </row>
    <row r="180" spans="1:15" x14ac:dyDescent="0.3">
      <c r="A180" t="s">
        <v>53</v>
      </c>
      <c r="B180" t="s">
        <v>39</v>
      </c>
      <c r="C180" s="51">
        <v>45727</v>
      </c>
      <c r="D180">
        <v>4241</v>
      </c>
      <c r="E180">
        <v>902</v>
      </c>
      <c r="F180">
        <v>47</v>
      </c>
      <c r="G180">
        <v>72097</v>
      </c>
      <c r="H180">
        <v>71598</v>
      </c>
      <c r="I180">
        <v>167</v>
      </c>
      <c r="J180" t="s">
        <v>27</v>
      </c>
      <c r="K180" t="s">
        <v>22</v>
      </c>
      <c r="L180">
        <v>5357</v>
      </c>
      <c r="M180">
        <v>7.198635172059864E-2</v>
      </c>
      <c r="N180" t="s">
        <v>48</v>
      </c>
      <c r="O180" t="s">
        <v>55</v>
      </c>
    </row>
    <row r="181" spans="1:15" x14ac:dyDescent="0.3">
      <c r="A181" t="s">
        <v>89</v>
      </c>
      <c r="B181" t="s">
        <v>39</v>
      </c>
      <c r="C181" s="51">
        <v>45602</v>
      </c>
      <c r="D181">
        <v>1606</v>
      </c>
      <c r="E181">
        <v>547</v>
      </c>
      <c r="F181">
        <v>316</v>
      </c>
      <c r="G181">
        <v>32120</v>
      </c>
      <c r="H181">
        <v>31736</v>
      </c>
      <c r="I181">
        <v>225</v>
      </c>
      <c r="J181" t="s">
        <v>27</v>
      </c>
      <c r="K181" t="s">
        <v>22</v>
      </c>
      <c r="L181">
        <v>2694</v>
      </c>
      <c r="M181">
        <v>7.6867995018679955E-2</v>
      </c>
      <c r="N181" t="s">
        <v>70</v>
      </c>
      <c r="O181" t="s">
        <v>71</v>
      </c>
    </row>
    <row r="182" spans="1:15" x14ac:dyDescent="0.3">
      <c r="A182" t="s">
        <v>89</v>
      </c>
      <c r="B182" t="s">
        <v>39</v>
      </c>
      <c r="C182" s="51">
        <v>45602</v>
      </c>
      <c r="D182">
        <v>1606</v>
      </c>
      <c r="E182">
        <v>547</v>
      </c>
      <c r="F182">
        <v>316</v>
      </c>
      <c r="G182">
        <v>32120</v>
      </c>
      <c r="H182">
        <v>31736</v>
      </c>
      <c r="I182">
        <v>225</v>
      </c>
      <c r="J182" t="s">
        <v>551</v>
      </c>
      <c r="K182" t="s">
        <v>22</v>
      </c>
      <c r="L182">
        <v>2694</v>
      </c>
      <c r="M182">
        <v>7.6867995018679955E-2</v>
      </c>
      <c r="N182" t="s">
        <v>70</v>
      </c>
      <c r="O182" t="s">
        <v>71</v>
      </c>
    </row>
    <row r="183" spans="1:15" x14ac:dyDescent="0.3">
      <c r="A183" t="s">
        <v>119</v>
      </c>
      <c r="B183" t="s">
        <v>39</v>
      </c>
      <c r="C183" s="51">
        <v>45663</v>
      </c>
      <c r="D183">
        <v>3024</v>
      </c>
      <c r="E183">
        <v>925</v>
      </c>
      <c r="F183">
        <v>350</v>
      </c>
      <c r="G183">
        <v>24192</v>
      </c>
      <c r="H183">
        <v>23518</v>
      </c>
      <c r="I183">
        <v>36</v>
      </c>
      <c r="J183" t="s">
        <v>34</v>
      </c>
      <c r="K183" t="s">
        <v>22</v>
      </c>
      <c r="L183">
        <v>4335</v>
      </c>
      <c r="M183">
        <v>0.17770337301587302</v>
      </c>
      <c r="N183" t="s">
        <v>41</v>
      </c>
      <c r="O183" t="s">
        <v>42</v>
      </c>
    </row>
    <row r="184" spans="1:15" x14ac:dyDescent="0.3">
      <c r="A184" t="s">
        <v>150</v>
      </c>
      <c r="B184" t="s">
        <v>39</v>
      </c>
      <c r="C184" s="51">
        <v>45456</v>
      </c>
      <c r="D184">
        <v>2200</v>
      </c>
      <c r="E184">
        <v>504</v>
      </c>
      <c r="F184">
        <v>239</v>
      </c>
      <c r="G184">
        <v>37400</v>
      </c>
      <c r="H184">
        <v>36938</v>
      </c>
      <c r="I184">
        <v>225</v>
      </c>
      <c r="J184" t="s">
        <v>58</v>
      </c>
      <c r="K184" t="s">
        <v>22</v>
      </c>
      <c r="L184">
        <v>3168</v>
      </c>
      <c r="M184">
        <v>7.8689839572192513E-2</v>
      </c>
      <c r="N184" t="s">
        <v>41</v>
      </c>
      <c r="O184" t="s">
        <v>42</v>
      </c>
    </row>
    <row r="185" spans="1:15" x14ac:dyDescent="0.3">
      <c r="A185" t="s">
        <v>245</v>
      </c>
      <c r="B185" t="s">
        <v>39</v>
      </c>
      <c r="C185" s="51">
        <v>45454</v>
      </c>
      <c r="D185">
        <v>3689</v>
      </c>
      <c r="E185">
        <v>48</v>
      </c>
      <c r="F185">
        <v>306</v>
      </c>
      <c r="G185">
        <v>40579</v>
      </c>
      <c r="H185">
        <v>39588</v>
      </c>
      <c r="I185">
        <v>212</v>
      </c>
      <c r="J185" t="s">
        <v>34</v>
      </c>
      <c r="K185" t="s">
        <v>22</v>
      </c>
      <c r="L185">
        <v>4255</v>
      </c>
      <c r="M185">
        <v>9.9632815002833983E-2</v>
      </c>
      <c r="N185" t="s">
        <v>48</v>
      </c>
      <c r="O185" t="s">
        <v>55</v>
      </c>
    </row>
    <row r="186" spans="1:15" x14ac:dyDescent="0.3">
      <c r="A186" t="s">
        <v>306</v>
      </c>
      <c r="B186" t="s">
        <v>39</v>
      </c>
      <c r="C186" s="51">
        <v>45488</v>
      </c>
      <c r="D186">
        <v>2291</v>
      </c>
      <c r="E186">
        <v>78</v>
      </c>
      <c r="F186">
        <v>485</v>
      </c>
      <c r="G186">
        <v>18328</v>
      </c>
      <c r="H186">
        <v>18101</v>
      </c>
      <c r="I186">
        <v>10</v>
      </c>
      <c r="J186" t="s">
        <v>34</v>
      </c>
      <c r="K186" t="s">
        <v>22</v>
      </c>
      <c r="L186">
        <v>2864</v>
      </c>
      <c r="M186">
        <v>0.15571802706241816</v>
      </c>
      <c r="N186" t="s">
        <v>48</v>
      </c>
      <c r="O186" t="s">
        <v>55</v>
      </c>
    </row>
    <row r="187" spans="1:15" x14ac:dyDescent="0.3">
      <c r="A187" t="s">
        <v>306</v>
      </c>
      <c r="B187" t="s">
        <v>39</v>
      </c>
      <c r="C187" s="51">
        <v>45488</v>
      </c>
      <c r="D187">
        <v>2291</v>
      </c>
      <c r="E187">
        <v>78</v>
      </c>
      <c r="F187">
        <v>485</v>
      </c>
      <c r="G187">
        <v>18328</v>
      </c>
      <c r="H187">
        <v>18101</v>
      </c>
      <c r="I187">
        <v>10</v>
      </c>
      <c r="J187" t="s">
        <v>552</v>
      </c>
      <c r="K187" t="s">
        <v>22</v>
      </c>
      <c r="L187">
        <v>2864</v>
      </c>
      <c r="M187">
        <v>0.15571802706241816</v>
      </c>
      <c r="N187" t="s">
        <v>48</v>
      </c>
      <c r="O187" t="s">
        <v>55</v>
      </c>
    </row>
    <row r="188" spans="1:15" x14ac:dyDescent="0.3">
      <c r="A188" t="s">
        <v>330</v>
      </c>
      <c r="B188" t="s">
        <v>39</v>
      </c>
      <c r="C188" s="51">
        <v>45587</v>
      </c>
      <c r="D188">
        <v>3352</v>
      </c>
      <c r="E188">
        <v>941</v>
      </c>
      <c r="F188">
        <v>482</v>
      </c>
      <c r="G188">
        <v>43576</v>
      </c>
      <c r="H188">
        <v>43338</v>
      </c>
      <c r="I188">
        <v>240</v>
      </c>
      <c r="J188" t="s">
        <v>58</v>
      </c>
      <c r="K188" t="s">
        <v>22</v>
      </c>
      <c r="L188">
        <v>5015</v>
      </c>
      <c r="M188">
        <v>0.1095786671562328</v>
      </c>
      <c r="N188" t="s">
        <v>41</v>
      </c>
      <c r="O188" t="s">
        <v>42</v>
      </c>
    </row>
    <row r="189" spans="1:15" x14ac:dyDescent="0.3">
      <c r="A189" t="s">
        <v>336</v>
      </c>
      <c r="B189" t="s">
        <v>39</v>
      </c>
      <c r="C189" s="51">
        <v>45621</v>
      </c>
      <c r="D189">
        <v>2120</v>
      </c>
      <c r="E189">
        <v>158</v>
      </c>
      <c r="F189">
        <v>488</v>
      </c>
      <c r="G189">
        <v>12720</v>
      </c>
      <c r="H189">
        <v>12085</v>
      </c>
      <c r="I189">
        <v>17</v>
      </c>
      <c r="J189" t="s">
        <v>58</v>
      </c>
      <c r="K189" t="s">
        <v>22</v>
      </c>
      <c r="L189">
        <v>2783</v>
      </c>
      <c r="M189">
        <v>0.21745283018867925</v>
      </c>
      <c r="N189" t="s">
        <v>32</v>
      </c>
      <c r="O189" t="s">
        <v>67</v>
      </c>
    </row>
    <row r="190" spans="1:15" x14ac:dyDescent="0.3">
      <c r="A190" t="s">
        <v>401</v>
      </c>
      <c r="B190" t="s">
        <v>39</v>
      </c>
      <c r="C190" s="51">
        <v>45754</v>
      </c>
      <c r="D190">
        <v>3718</v>
      </c>
      <c r="E190">
        <v>385</v>
      </c>
      <c r="F190">
        <v>310</v>
      </c>
      <c r="G190">
        <v>70642</v>
      </c>
      <c r="H190">
        <v>69749</v>
      </c>
      <c r="I190">
        <v>233</v>
      </c>
      <c r="J190" t="s">
        <v>27</v>
      </c>
      <c r="K190" t="s">
        <v>22</v>
      </c>
      <c r="L190">
        <v>4646</v>
      </c>
      <c r="M190">
        <v>6.246991874522239E-2</v>
      </c>
      <c r="N190" t="s">
        <v>15</v>
      </c>
      <c r="O190" t="s">
        <v>61</v>
      </c>
    </row>
    <row r="191" spans="1:15" x14ac:dyDescent="0.3">
      <c r="A191" t="s">
        <v>424</v>
      </c>
      <c r="B191" t="s">
        <v>39</v>
      </c>
      <c r="C191" s="51">
        <v>45783</v>
      </c>
      <c r="D191">
        <v>4872</v>
      </c>
      <c r="E191">
        <v>925</v>
      </c>
      <c r="F191">
        <v>176</v>
      </c>
      <c r="G191">
        <v>82824</v>
      </c>
      <c r="H191">
        <v>82543</v>
      </c>
      <c r="I191">
        <v>89</v>
      </c>
      <c r="J191" t="s">
        <v>34</v>
      </c>
      <c r="K191" t="s">
        <v>22</v>
      </c>
      <c r="L191">
        <v>6062</v>
      </c>
      <c r="M191">
        <v>7.2116777745580993E-2</v>
      </c>
      <c r="N191" t="s">
        <v>48</v>
      </c>
      <c r="O191" t="s">
        <v>55</v>
      </c>
    </row>
    <row r="192" spans="1:15" x14ac:dyDescent="0.3">
      <c r="A192" t="s">
        <v>453</v>
      </c>
      <c r="B192" t="s">
        <v>39</v>
      </c>
      <c r="C192" s="51">
        <v>45523</v>
      </c>
      <c r="D192">
        <v>1257</v>
      </c>
      <c r="E192">
        <v>19</v>
      </c>
      <c r="F192">
        <v>351</v>
      </c>
      <c r="G192">
        <v>12570</v>
      </c>
      <c r="H192">
        <v>11660</v>
      </c>
      <c r="I192">
        <v>194</v>
      </c>
      <c r="J192" t="s">
        <v>58</v>
      </c>
      <c r="K192" t="s">
        <v>22</v>
      </c>
      <c r="L192">
        <v>1821</v>
      </c>
      <c r="M192">
        <v>0.12943516308671441</v>
      </c>
      <c r="N192" t="s">
        <v>20</v>
      </c>
      <c r="O192" t="s">
        <v>52</v>
      </c>
    </row>
    <row r="193" spans="1:15" x14ac:dyDescent="0.3">
      <c r="A193" t="s">
        <v>453</v>
      </c>
      <c r="B193" t="s">
        <v>39</v>
      </c>
      <c r="C193" s="51">
        <v>45523</v>
      </c>
      <c r="D193">
        <v>1257</v>
      </c>
      <c r="E193">
        <v>19</v>
      </c>
      <c r="F193">
        <v>351</v>
      </c>
      <c r="G193">
        <v>12570</v>
      </c>
      <c r="H193">
        <v>11660</v>
      </c>
      <c r="I193">
        <v>194</v>
      </c>
      <c r="J193" t="s">
        <v>551</v>
      </c>
      <c r="K193" t="s">
        <v>22</v>
      </c>
      <c r="L193">
        <v>1821</v>
      </c>
      <c r="M193">
        <v>0.12943516308671441</v>
      </c>
      <c r="N193" t="s">
        <v>20</v>
      </c>
      <c r="O193" t="s">
        <v>52</v>
      </c>
    </row>
    <row r="194" spans="1:15" x14ac:dyDescent="0.3">
      <c r="A194" t="s">
        <v>453</v>
      </c>
      <c r="B194" t="s">
        <v>39</v>
      </c>
      <c r="C194" s="51">
        <v>45523</v>
      </c>
      <c r="D194">
        <v>1257</v>
      </c>
      <c r="E194">
        <v>19</v>
      </c>
      <c r="F194">
        <v>351</v>
      </c>
      <c r="G194">
        <v>12570</v>
      </c>
      <c r="H194">
        <v>11660</v>
      </c>
      <c r="I194">
        <v>194</v>
      </c>
      <c r="J194" t="s">
        <v>34</v>
      </c>
      <c r="K194" t="s">
        <v>22</v>
      </c>
      <c r="L194">
        <v>1821</v>
      </c>
      <c r="M194">
        <v>0.12943516308671441</v>
      </c>
      <c r="N194" t="s">
        <v>20</v>
      </c>
      <c r="O194" t="s">
        <v>52</v>
      </c>
    </row>
    <row r="195" spans="1:15" x14ac:dyDescent="0.3">
      <c r="A195" t="s">
        <v>468</v>
      </c>
      <c r="B195" t="s">
        <v>39</v>
      </c>
      <c r="C195" s="51">
        <v>45576</v>
      </c>
      <c r="D195">
        <v>400</v>
      </c>
      <c r="E195">
        <v>680</v>
      </c>
      <c r="F195">
        <v>434</v>
      </c>
      <c r="G195">
        <v>6400</v>
      </c>
      <c r="H195">
        <v>5472</v>
      </c>
      <c r="I195">
        <v>160</v>
      </c>
      <c r="J195" t="s">
        <v>58</v>
      </c>
      <c r="K195" t="s">
        <v>22</v>
      </c>
      <c r="L195">
        <v>1674</v>
      </c>
      <c r="M195">
        <v>0.23656250000000001</v>
      </c>
      <c r="N195" t="s">
        <v>48</v>
      </c>
      <c r="O195" t="s">
        <v>55</v>
      </c>
    </row>
    <row r="196" spans="1:15" x14ac:dyDescent="0.3">
      <c r="A196" t="s">
        <v>484</v>
      </c>
      <c r="B196" t="s">
        <v>39</v>
      </c>
      <c r="C196" s="51">
        <v>45753</v>
      </c>
      <c r="D196">
        <v>3090</v>
      </c>
      <c r="E196">
        <v>697</v>
      </c>
      <c r="F196">
        <v>164</v>
      </c>
      <c r="G196">
        <v>49440</v>
      </c>
      <c r="H196">
        <v>48524</v>
      </c>
      <c r="I196">
        <v>25</v>
      </c>
      <c r="J196" t="s">
        <v>34</v>
      </c>
      <c r="K196" t="s">
        <v>22</v>
      </c>
      <c r="L196">
        <v>3976</v>
      </c>
      <c r="M196">
        <v>7.9915048543689318E-2</v>
      </c>
      <c r="N196" t="s">
        <v>48</v>
      </c>
      <c r="O196" t="s">
        <v>55</v>
      </c>
    </row>
    <row r="197" spans="1:15" x14ac:dyDescent="0.3">
      <c r="A197" t="s">
        <v>484</v>
      </c>
      <c r="B197" t="s">
        <v>39</v>
      </c>
      <c r="C197" s="51">
        <v>45753</v>
      </c>
      <c r="D197">
        <v>3090</v>
      </c>
      <c r="E197">
        <v>697</v>
      </c>
      <c r="F197">
        <v>164</v>
      </c>
      <c r="G197">
        <v>49440</v>
      </c>
      <c r="H197">
        <v>48524</v>
      </c>
      <c r="I197">
        <v>25</v>
      </c>
      <c r="J197" t="s">
        <v>34</v>
      </c>
      <c r="K197" t="s">
        <v>22</v>
      </c>
      <c r="L197">
        <v>3976</v>
      </c>
      <c r="M197">
        <v>7.9915048543689318E-2</v>
      </c>
      <c r="N197" t="s">
        <v>48</v>
      </c>
      <c r="O197" t="s">
        <v>55</v>
      </c>
    </row>
    <row r="198" spans="1:15" x14ac:dyDescent="0.3">
      <c r="A198" t="s">
        <v>484</v>
      </c>
      <c r="B198" t="s">
        <v>39</v>
      </c>
      <c r="C198" s="51">
        <v>45753</v>
      </c>
      <c r="D198">
        <v>3090</v>
      </c>
      <c r="E198">
        <v>697</v>
      </c>
      <c r="F198">
        <v>164</v>
      </c>
      <c r="G198">
        <v>49440</v>
      </c>
      <c r="H198">
        <v>48524</v>
      </c>
      <c r="I198">
        <v>25</v>
      </c>
      <c r="J198" t="s">
        <v>553</v>
      </c>
      <c r="K198" t="s">
        <v>22</v>
      </c>
      <c r="L198">
        <v>3976</v>
      </c>
      <c r="M198">
        <v>7.9915048543689318E-2</v>
      </c>
      <c r="N198" t="s">
        <v>48</v>
      </c>
      <c r="O198" t="s">
        <v>55</v>
      </c>
    </row>
    <row r="199" spans="1:15" x14ac:dyDescent="0.3">
      <c r="A199" t="s">
        <v>29</v>
      </c>
      <c r="B199" t="s">
        <v>30</v>
      </c>
      <c r="C199" s="51">
        <v>45516</v>
      </c>
      <c r="D199">
        <v>2404</v>
      </c>
      <c r="E199">
        <v>363</v>
      </c>
      <c r="F199">
        <v>138</v>
      </c>
      <c r="G199">
        <v>19232</v>
      </c>
      <c r="H199">
        <v>18636</v>
      </c>
      <c r="I199">
        <v>128</v>
      </c>
      <c r="J199" t="s">
        <v>34</v>
      </c>
      <c r="K199" t="s">
        <v>35</v>
      </c>
      <c r="L199">
        <v>3033</v>
      </c>
      <c r="M199">
        <v>0.15105033277870217</v>
      </c>
      <c r="N199" t="s">
        <v>32</v>
      </c>
      <c r="O199" t="s">
        <v>33</v>
      </c>
    </row>
    <row r="200" spans="1:15" x14ac:dyDescent="0.3">
      <c r="A200" t="s">
        <v>56</v>
      </c>
      <c r="B200" t="s">
        <v>30</v>
      </c>
      <c r="C200" s="51">
        <v>45690</v>
      </c>
      <c r="D200">
        <v>1792</v>
      </c>
      <c r="E200">
        <v>614</v>
      </c>
      <c r="F200">
        <v>497</v>
      </c>
      <c r="G200">
        <v>25088</v>
      </c>
      <c r="H200">
        <v>24675</v>
      </c>
      <c r="I200">
        <v>65</v>
      </c>
      <c r="J200" t="s">
        <v>58</v>
      </c>
      <c r="K200" t="s">
        <v>35</v>
      </c>
      <c r="L200">
        <v>2968</v>
      </c>
      <c r="M200">
        <v>0.11571269132653061</v>
      </c>
      <c r="N200" t="s">
        <v>32</v>
      </c>
      <c r="O200" t="s">
        <v>33</v>
      </c>
    </row>
    <row r="201" spans="1:15" x14ac:dyDescent="0.3">
      <c r="A201" t="s">
        <v>79</v>
      </c>
      <c r="B201" t="s">
        <v>30</v>
      </c>
      <c r="C201" s="51">
        <v>45466</v>
      </c>
      <c r="D201">
        <v>1071</v>
      </c>
      <c r="E201">
        <v>519</v>
      </c>
      <c r="F201">
        <v>22</v>
      </c>
      <c r="G201">
        <v>16065</v>
      </c>
      <c r="H201">
        <v>15865</v>
      </c>
      <c r="I201">
        <v>103</v>
      </c>
      <c r="J201" t="s">
        <v>27</v>
      </c>
      <c r="K201" t="s">
        <v>35</v>
      </c>
      <c r="L201">
        <v>1715</v>
      </c>
      <c r="M201">
        <v>0.10034235916588857</v>
      </c>
      <c r="N201" t="s">
        <v>70</v>
      </c>
      <c r="O201" t="s">
        <v>81</v>
      </c>
    </row>
    <row r="202" spans="1:15" x14ac:dyDescent="0.3">
      <c r="A202" t="s">
        <v>85</v>
      </c>
      <c r="B202" t="s">
        <v>30</v>
      </c>
      <c r="C202" s="51">
        <v>45661</v>
      </c>
      <c r="D202">
        <v>4838</v>
      </c>
      <c r="E202">
        <v>640</v>
      </c>
      <c r="F202">
        <v>128</v>
      </c>
      <c r="G202">
        <v>72570</v>
      </c>
      <c r="H202">
        <v>72396</v>
      </c>
      <c r="I202">
        <v>83</v>
      </c>
      <c r="J202" t="s">
        <v>58</v>
      </c>
      <c r="K202" t="s">
        <v>35</v>
      </c>
      <c r="L202">
        <v>5689</v>
      </c>
      <c r="M202">
        <v>7.7249552156538517E-2</v>
      </c>
      <c r="N202" t="s">
        <v>15</v>
      </c>
      <c r="O202" t="s">
        <v>78</v>
      </c>
    </row>
    <row r="203" spans="1:15" x14ac:dyDescent="0.3">
      <c r="A203" t="s">
        <v>100</v>
      </c>
      <c r="B203" t="s">
        <v>30</v>
      </c>
      <c r="C203" s="51">
        <v>45720</v>
      </c>
      <c r="D203">
        <v>432</v>
      </c>
      <c r="E203">
        <v>624</v>
      </c>
      <c r="F203">
        <v>123</v>
      </c>
      <c r="G203">
        <v>6912</v>
      </c>
      <c r="H203">
        <v>6259</v>
      </c>
      <c r="I203">
        <v>79</v>
      </c>
      <c r="J203" t="s">
        <v>58</v>
      </c>
      <c r="K203" t="s">
        <v>35</v>
      </c>
      <c r="L203">
        <v>1258</v>
      </c>
      <c r="M203">
        <v>0.17057291666666666</v>
      </c>
      <c r="N203" t="s">
        <v>70</v>
      </c>
      <c r="O203" t="s">
        <v>81</v>
      </c>
    </row>
    <row r="204" spans="1:15" x14ac:dyDescent="0.3">
      <c r="A204" t="s">
        <v>128</v>
      </c>
      <c r="B204" t="s">
        <v>30</v>
      </c>
      <c r="C204" s="51">
        <v>45724</v>
      </c>
      <c r="D204">
        <v>456</v>
      </c>
      <c r="E204">
        <v>629</v>
      </c>
      <c r="F204">
        <v>428</v>
      </c>
      <c r="G204">
        <v>8208</v>
      </c>
      <c r="H204">
        <v>7377</v>
      </c>
      <c r="I204">
        <v>205</v>
      </c>
      <c r="J204" t="s">
        <v>58</v>
      </c>
      <c r="K204" t="s">
        <v>35</v>
      </c>
      <c r="L204">
        <v>1718</v>
      </c>
      <c r="M204">
        <v>0.18433235867446393</v>
      </c>
      <c r="N204" t="s">
        <v>15</v>
      </c>
      <c r="O204" t="s">
        <v>78</v>
      </c>
    </row>
    <row r="205" spans="1:15" x14ac:dyDescent="0.3">
      <c r="A205" t="s">
        <v>163</v>
      </c>
      <c r="B205" t="s">
        <v>30</v>
      </c>
      <c r="C205" s="51">
        <v>45762</v>
      </c>
      <c r="D205">
        <v>103</v>
      </c>
      <c r="E205">
        <v>770</v>
      </c>
      <c r="F205">
        <v>19</v>
      </c>
      <c r="G205">
        <v>1030</v>
      </c>
      <c r="H205">
        <v>410</v>
      </c>
      <c r="I205">
        <v>262</v>
      </c>
      <c r="J205" t="s">
        <v>27</v>
      </c>
      <c r="K205" t="s">
        <v>35</v>
      </c>
      <c r="L205">
        <v>1154</v>
      </c>
      <c r="M205">
        <v>0.86601941747572819</v>
      </c>
      <c r="N205" t="s">
        <v>15</v>
      </c>
      <c r="O205" t="s">
        <v>78</v>
      </c>
    </row>
    <row r="206" spans="1:15" x14ac:dyDescent="0.3">
      <c r="A206" t="s">
        <v>195</v>
      </c>
      <c r="B206" t="s">
        <v>30</v>
      </c>
      <c r="C206" s="51">
        <v>45505</v>
      </c>
      <c r="D206">
        <v>1674</v>
      </c>
      <c r="E206">
        <v>929</v>
      </c>
      <c r="F206">
        <v>37</v>
      </c>
      <c r="G206">
        <v>21762</v>
      </c>
      <c r="H206">
        <v>20998</v>
      </c>
      <c r="I206">
        <v>255</v>
      </c>
      <c r="J206" t="s">
        <v>27</v>
      </c>
      <c r="K206" t="s">
        <v>35</v>
      </c>
      <c r="L206">
        <v>2895</v>
      </c>
      <c r="M206">
        <v>0.12131237937689551</v>
      </c>
      <c r="N206" t="s">
        <v>15</v>
      </c>
      <c r="O206" t="s">
        <v>78</v>
      </c>
    </row>
    <row r="207" spans="1:15" x14ac:dyDescent="0.3">
      <c r="A207" t="s">
        <v>223</v>
      </c>
      <c r="B207" t="s">
        <v>30</v>
      </c>
      <c r="C207" s="51">
        <v>45446</v>
      </c>
      <c r="D207">
        <v>3861</v>
      </c>
      <c r="E207">
        <v>960</v>
      </c>
      <c r="F207">
        <v>101</v>
      </c>
      <c r="G207">
        <v>69498</v>
      </c>
      <c r="H207">
        <v>68817</v>
      </c>
      <c r="I207">
        <v>297</v>
      </c>
      <c r="J207" t="s">
        <v>27</v>
      </c>
      <c r="K207" t="s">
        <v>35</v>
      </c>
      <c r="L207">
        <v>5219</v>
      </c>
      <c r="M207">
        <v>7.0822181933293038E-2</v>
      </c>
      <c r="N207" t="s">
        <v>48</v>
      </c>
      <c r="O207" t="s">
        <v>208</v>
      </c>
    </row>
    <row r="208" spans="1:15" x14ac:dyDescent="0.3">
      <c r="A208" t="s">
        <v>231</v>
      </c>
      <c r="B208" t="s">
        <v>30</v>
      </c>
      <c r="C208" s="51">
        <v>45604</v>
      </c>
      <c r="D208">
        <v>3182</v>
      </c>
      <c r="E208">
        <v>559</v>
      </c>
      <c r="F208">
        <v>160</v>
      </c>
      <c r="G208">
        <v>57276</v>
      </c>
      <c r="H208">
        <v>56890</v>
      </c>
      <c r="I208">
        <v>163</v>
      </c>
      <c r="J208" t="s">
        <v>58</v>
      </c>
      <c r="K208" t="s">
        <v>35</v>
      </c>
      <c r="L208">
        <v>4064</v>
      </c>
      <c r="M208">
        <v>6.8108806480899509E-2</v>
      </c>
      <c r="N208" t="s">
        <v>20</v>
      </c>
      <c r="O208" t="s">
        <v>108</v>
      </c>
    </row>
    <row r="209" spans="1:15" x14ac:dyDescent="0.3">
      <c r="A209" t="s">
        <v>251</v>
      </c>
      <c r="B209" t="s">
        <v>30</v>
      </c>
      <c r="C209" s="51">
        <v>45692</v>
      </c>
      <c r="D209">
        <v>4619</v>
      </c>
      <c r="E209">
        <v>821</v>
      </c>
      <c r="F209">
        <v>499</v>
      </c>
      <c r="G209">
        <v>69285</v>
      </c>
      <c r="H209">
        <v>69141</v>
      </c>
      <c r="I209">
        <v>298</v>
      </c>
      <c r="J209" t="s">
        <v>27</v>
      </c>
      <c r="K209" t="s">
        <v>35</v>
      </c>
      <c r="L209">
        <v>6237</v>
      </c>
      <c r="M209">
        <v>8.5718409468138843E-2</v>
      </c>
      <c r="N209" t="s">
        <v>48</v>
      </c>
      <c r="O209" t="s">
        <v>208</v>
      </c>
    </row>
    <row r="210" spans="1:15" x14ac:dyDescent="0.3">
      <c r="A210" t="s">
        <v>300</v>
      </c>
      <c r="B210" t="s">
        <v>30</v>
      </c>
      <c r="C210" s="51">
        <v>45484</v>
      </c>
      <c r="D210">
        <v>3134</v>
      </c>
      <c r="E210">
        <v>888</v>
      </c>
      <c r="F210">
        <v>444</v>
      </c>
      <c r="G210">
        <v>21938</v>
      </c>
      <c r="H210">
        <v>21337</v>
      </c>
      <c r="I210">
        <v>130</v>
      </c>
      <c r="J210" t="s">
        <v>34</v>
      </c>
      <c r="K210" t="s">
        <v>35</v>
      </c>
      <c r="L210">
        <v>4596</v>
      </c>
      <c r="M210">
        <v>0.20357370772176134</v>
      </c>
      <c r="N210" t="s">
        <v>20</v>
      </c>
      <c r="O210" t="s">
        <v>108</v>
      </c>
    </row>
    <row r="211" spans="1:15" x14ac:dyDescent="0.3">
      <c r="A211" t="s">
        <v>313</v>
      </c>
      <c r="B211" t="s">
        <v>30</v>
      </c>
      <c r="C211" s="51">
        <v>45516</v>
      </c>
      <c r="D211">
        <v>1878</v>
      </c>
      <c r="E211">
        <v>62</v>
      </c>
      <c r="F211">
        <v>179</v>
      </c>
      <c r="G211">
        <v>37560</v>
      </c>
      <c r="H211">
        <v>36874</v>
      </c>
      <c r="I211">
        <v>142</v>
      </c>
      <c r="J211" t="s">
        <v>27</v>
      </c>
      <c r="K211" t="s">
        <v>35</v>
      </c>
      <c r="L211">
        <v>2261</v>
      </c>
      <c r="M211">
        <v>5.6416400425985093E-2</v>
      </c>
      <c r="N211" t="s">
        <v>41</v>
      </c>
      <c r="O211" t="s">
        <v>84</v>
      </c>
    </row>
    <row r="212" spans="1:15" x14ac:dyDescent="0.3">
      <c r="A212" t="s">
        <v>317</v>
      </c>
      <c r="B212" t="s">
        <v>30</v>
      </c>
      <c r="C212" s="51">
        <v>45762</v>
      </c>
      <c r="D212">
        <v>4133</v>
      </c>
      <c r="E212">
        <v>466</v>
      </c>
      <c r="F212">
        <v>327</v>
      </c>
      <c r="G212">
        <v>24798</v>
      </c>
      <c r="H212">
        <v>24620</v>
      </c>
      <c r="I212">
        <v>176</v>
      </c>
      <c r="J212" t="s">
        <v>34</v>
      </c>
      <c r="K212" t="s">
        <v>35</v>
      </c>
      <c r="L212">
        <v>5102</v>
      </c>
      <c r="M212">
        <v>0.19864505202032423</v>
      </c>
      <c r="N212" t="s">
        <v>70</v>
      </c>
      <c r="O212" t="s">
        <v>81</v>
      </c>
    </row>
    <row r="213" spans="1:15" x14ac:dyDescent="0.3">
      <c r="A213" t="s">
        <v>327</v>
      </c>
      <c r="B213" t="s">
        <v>30</v>
      </c>
      <c r="C213" s="51">
        <v>45574</v>
      </c>
      <c r="D213">
        <v>985</v>
      </c>
      <c r="E213">
        <v>932</v>
      </c>
      <c r="F213">
        <v>287</v>
      </c>
      <c r="G213">
        <v>6895</v>
      </c>
      <c r="H213">
        <v>6757</v>
      </c>
      <c r="I213">
        <v>64</v>
      </c>
      <c r="J213" t="s">
        <v>58</v>
      </c>
      <c r="K213" t="s">
        <v>35</v>
      </c>
      <c r="L213">
        <v>2268</v>
      </c>
      <c r="M213">
        <v>0.31965192168237855</v>
      </c>
      <c r="N213" t="s">
        <v>41</v>
      </c>
      <c r="O213" t="s">
        <v>84</v>
      </c>
    </row>
    <row r="214" spans="1:15" x14ac:dyDescent="0.3">
      <c r="A214" t="s">
        <v>362</v>
      </c>
      <c r="B214" t="s">
        <v>30</v>
      </c>
      <c r="C214" s="51">
        <v>45674</v>
      </c>
      <c r="D214">
        <v>142</v>
      </c>
      <c r="E214">
        <v>784</v>
      </c>
      <c r="F214">
        <v>183</v>
      </c>
      <c r="G214">
        <v>1704</v>
      </c>
      <c r="H214">
        <v>995</v>
      </c>
      <c r="I214">
        <v>154</v>
      </c>
      <c r="J214" t="s">
        <v>58</v>
      </c>
      <c r="K214" t="s">
        <v>35</v>
      </c>
      <c r="L214">
        <v>1263</v>
      </c>
      <c r="M214">
        <v>0.6508215962441315</v>
      </c>
      <c r="N214" t="s">
        <v>15</v>
      </c>
      <c r="O214" t="s">
        <v>78</v>
      </c>
    </row>
    <row r="215" spans="1:15" x14ac:dyDescent="0.3">
      <c r="A215" t="s">
        <v>368</v>
      </c>
      <c r="B215" t="s">
        <v>30</v>
      </c>
      <c r="C215" s="51">
        <v>45603</v>
      </c>
      <c r="D215">
        <v>129</v>
      </c>
      <c r="E215">
        <v>643</v>
      </c>
      <c r="F215">
        <v>136</v>
      </c>
      <c r="G215">
        <v>1290</v>
      </c>
      <c r="H215">
        <v>839</v>
      </c>
      <c r="I215">
        <v>238</v>
      </c>
      <c r="J215" t="s">
        <v>27</v>
      </c>
      <c r="K215" t="s">
        <v>35</v>
      </c>
      <c r="L215">
        <v>1146</v>
      </c>
      <c r="M215">
        <v>0.70387596899224802</v>
      </c>
      <c r="N215" t="s">
        <v>70</v>
      </c>
      <c r="O215" t="s">
        <v>81</v>
      </c>
    </row>
    <row r="216" spans="1:15" x14ac:dyDescent="0.3">
      <c r="A216" t="s">
        <v>393</v>
      </c>
      <c r="B216" t="s">
        <v>30</v>
      </c>
      <c r="C216" s="51">
        <v>45519</v>
      </c>
      <c r="D216">
        <v>914</v>
      </c>
      <c r="E216">
        <v>464</v>
      </c>
      <c r="F216">
        <v>246</v>
      </c>
      <c r="G216">
        <v>11882</v>
      </c>
      <c r="H216">
        <v>11500</v>
      </c>
      <c r="I216">
        <v>282</v>
      </c>
      <c r="J216" t="s">
        <v>58</v>
      </c>
      <c r="K216" t="s">
        <v>35</v>
      </c>
      <c r="L216">
        <v>1906</v>
      </c>
      <c r="M216">
        <v>0.13667732704931829</v>
      </c>
      <c r="N216" t="s">
        <v>41</v>
      </c>
      <c r="O216" t="s">
        <v>84</v>
      </c>
    </row>
    <row r="217" spans="1:15" x14ac:dyDescent="0.3">
      <c r="A217" t="s">
        <v>393</v>
      </c>
      <c r="B217" t="s">
        <v>30</v>
      </c>
      <c r="C217" s="51">
        <v>45519</v>
      </c>
      <c r="D217">
        <v>914</v>
      </c>
      <c r="E217">
        <v>464</v>
      </c>
      <c r="F217">
        <v>246</v>
      </c>
      <c r="G217">
        <v>11882</v>
      </c>
      <c r="H217">
        <v>11500</v>
      </c>
      <c r="I217">
        <v>282</v>
      </c>
      <c r="J217" t="s">
        <v>27</v>
      </c>
      <c r="K217" t="s">
        <v>35</v>
      </c>
      <c r="L217">
        <v>1906</v>
      </c>
      <c r="M217">
        <v>0.13667732704931829</v>
      </c>
      <c r="N217" t="s">
        <v>41</v>
      </c>
      <c r="O217" t="s">
        <v>84</v>
      </c>
    </row>
    <row r="218" spans="1:15" x14ac:dyDescent="0.3">
      <c r="A218" t="s">
        <v>393</v>
      </c>
      <c r="B218" t="s">
        <v>30</v>
      </c>
      <c r="C218" s="51">
        <v>45519</v>
      </c>
      <c r="D218">
        <v>914</v>
      </c>
      <c r="E218">
        <v>464</v>
      </c>
      <c r="F218">
        <v>246</v>
      </c>
      <c r="G218">
        <v>11882</v>
      </c>
      <c r="H218">
        <v>11500</v>
      </c>
      <c r="I218">
        <v>282</v>
      </c>
      <c r="J218" t="s">
        <v>551</v>
      </c>
      <c r="K218" t="s">
        <v>35</v>
      </c>
      <c r="L218">
        <v>1906</v>
      </c>
      <c r="M218">
        <v>0.13667732704931829</v>
      </c>
      <c r="N218" t="s">
        <v>41</v>
      </c>
      <c r="O218" t="s">
        <v>84</v>
      </c>
    </row>
    <row r="219" spans="1:15" x14ac:dyDescent="0.3">
      <c r="A219" t="s">
        <v>534</v>
      </c>
      <c r="B219" t="s">
        <v>30</v>
      </c>
      <c r="C219" s="51">
        <v>45646</v>
      </c>
      <c r="D219">
        <v>2107</v>
      </c>
      <c r="E219">
        <v>550</v>
      </c>
      <c r="F219">
        <v>349</v>
      </c>
      <c r="G219">
        <v>35819</v>
      </c>
      <c r="H219">
        <v>35340</v>
      </c>
      <c r="I219">
        <v>191</v>
      </c>
      <c r="J219" t="s">
        <v>34</v>
      </c>
      <c r="K219" t="s">
        <v>35</v>
      </c>
      <c r="L219">
        <v>3197</v>
      </c>
      <c r="M219">
        <v>8.3921940869371006E-2</v>
      </c>
      <c r="N219" t="s">
        <v>41</v>
      </c>
      <c r="O219" t="s">
        <v>84</v>
      </c>
    </row>
    <row r="220" spans="1:15" x14ac:dyDescent="0.3">
      <c r="A220" t="s">
        <v>46</v>
      </c>
      <c r="B220" t="s">
        <v>24</v>
      </c>
      <c r="C220" s="51">
        <v>45486</v>
      </c>
      <c r="D220">
        <v>3929</v>
      </c>
      <c r="E220">
        <v>262</v>
      </c>
      <c r="F220">
        <v>278</v>
      </c>
      <c r="G220">
        <v>43219</v>
      </c>
      <c r="H220">
        <v>42841</v>
      </c>
      <c r="I220">
        <v>39</v>
      </c>
      <c r="J220" t="s">
        <v>34</v>
      </c>
      <c r="K220" t="s">
        <v>35</v>
      </c>
      <c r="L220">
        <v>4508</v>
      </c>
      <c r="M220">
        <v>0.10340359564080613</v>
      </c>
      <c r="N220" t="s">
        <v>48</v>
      </c>
      <c r="O220" t="s">
        <v>49</v>
      </c>
    </row>
    <row r="221" spans="1:15" x14ac:dyDescent="0.3">
      <c r="A221" t="s">
        <v>97</v>
      </c>
      <c r="B221" t="s">
        <v>24</v>
      </c>
      <c r="C221" s="51">
        <v>45552</v>
      </c>
      <c r="D221">
        <v>2076</v>
      </c>
      <c r="E221">
        <v>195</v>
      </c>
      <c r="F221">
        <v>104</v>
      </c>
      <c r="G221">
        <v>33216</v>
      </c>
      <c r="H221">
        <v>32244</v>
      </c>
      <c r="I221">
        <v>51</v>
      </c>
      <c r="J221" t="s">
        <v>58</v>
      </c>
      <c r="K221" t="s">
        <v>35</v>
      </c>
      <c r="L221">
        <v>2426</v>
      </c>
      <c r="M221">
        <v>7.1501685934489398E-2</v>
      </c>
      <c r="N221" t="s">
        <v>20</v>
      </c>
      <c r="O221" t="s">
        <v>99</v>
      </c>
    </row>
    <row r="222" spans="1:15" x14ac:dyDescent="0.3">
      <c r="A222" t="s">
        <v>121</v>
      </c>
      <c r="B222" t="s">
        <v>24</v>
      </c>
      <c r="C222" s="51">
        <v>45705</v>
      </c>
      <c r="D222">
        <v>3138</v>
      </c>
      <c r="E222">
        <v>123</v>
      </c>
      <c r="F222">
        <v>291</v>
      </c>
      <c r="G222">
        <v>28242</v>
      </c>
      <c r="H222">
        <v>27550</v>
      </c>
      <c r="I222">
        <v>87</v>
      </c>
      <c r="J222" t="s">
        <v>27</v>
      </c>
      <c r="K222" t="s">
        <v>35</v>
      </c>
      <c r="L222">
        <v>3639</v>
      </c>
      <c r="M222">
        <v>0.12577012959422137</v>
      </c>
      <c r="N222" t="s">
        <v>15</v>
      </c>
      <c r="O222" t="s">
        <v>26</v>
      </c>
    </row>
    <row r="223" spans="1:15" x14ac:dyDescent="0.3">
      <c r="A223" t="s">
        <v>125</v>
      </c>
      <c r="B223" t="s">
        <v>13</v>
      </c>
      <c r="C223" s="51">
        <v>45723</v>
      </c>
      <c r="D223">
        <v>4750</v>
      </c>
      <c r="E223">
        <v>151</v>
      </c>
      <c r="F223">
        <v>415</v>
      </c>
      <c r="G223">
        <v>38000</v>
      </c>
      <c r="H223">
        <v>37792</v>
      </c>
      <c r="I223">
        <v>299</v>
      </c>
      <c r="J223" t="s">
        <v>34</v>
      </c>
      <c r="K223" t="s">
        <v>35</v>
      </c>
      <c r="L223">
        <v>5615</v>
      </c>
      <c r="M223">
        <v>0.13989473684210527</v>
      </c>
      <c r="N223" t="s">
        <v>48</v>
      </c>
      <c r="O223" t="s">
        <v>127</v>
      </c>
    </row>
    <row r="224" spans="1:15" x14ac:dyDescent="0.3">
      <c r="A224" t="s">
        <v>138</v>
      </c>
      <c r="B224" t="s">
        <v>13</v>
      </c>
      <c r="C224" s="51">
        <v>45779</v>
      </c>
      <c r="D224">
        <v>1108</v>
      </c>
      <c r="E224">
        <v>177</v>
      </c>
      <c r="F224">
        <v>212</v>
      </c>
      <c r="G224">
        <v>8864</v>
      </c>
      <c r="H224">
        <v>8710</v>
      </c>
      <c r="I224">
        <v>97</v>
      </c>
      <c r="J224" t="s">
        <v>27</v>
      </c>
      <c r="K224" t="s">
        <v>35</v>
      </c>
      <c r="L224">
        <v>1594</v>
      </c>
      <c r="M224">
        <v>0.16888537906137185</v>
      </c>
      <c r="N224" t="s">
        <v>70</v>
      </c>
      <c r="O224" t="s">
        <v>140</v>
      </c>
    </row>
    <row r="225" spans="1:15" x14ac:dyDescent="0.3">
      <c r="A225" t="s">
        <v>145</v>
      </c>
      <c r="B225" t="s">
        <v>13</v>
      </c>
      <c r="C225" s="51">
        <v>45453</v>
      </c>
      <c r="D225">
        <v>2164</v>
      </c>
      <c r="E225">
        <v>549</v>
      </c>
      <c r="F225">
        <v>274</v>
      </c>
      <c r="G225">
        <v>28132</v>
      </c>
      <c r="H225">
        <v>27361</v>
      </c>
      <c r="I225">
        <v>177</v>
      </c>
      <c r="J225" t="s">
        <v>27</v>
      </c>
      <c r="K225" t="s">
        <v>35</v>
      </c>
      <c r="L225">
        <v>3164</v>
      </c>
      <c r="M225">
        <v>0.10617801791554102</v>
      </c>
      <c r="N225" t="s">
        <v>32</v>
      </c>
      <c r="O225" t="s">
        <v>144</v>
      </c>
    </row>
    <row r="226" spans="1:15" x14ac:dyDescent="0.3">
      <c r="A226" t="s">
        <v>197</v>
      </c>
      <c r="B226" t="s">
        <v>13</v>
      </c>
      <c r="C226" s="51">
        <v>45603</v>
      </c>
      <c r="D226">
        <v>1121</v>
      </c>
      <c r="E226">
        <v>135</v>
      </c>
      <c r="F226">
        <v>18</v>
      </c>
      <c r="G226">
        <v>15694</v>
      </c>
      <c r="H226">
        <v>14957</v>
      </c>
      <c r="I226">
        <v>99</v>
      </c>
      <c r="J226" t="s">
        <v>27</v>
      </c>
      <c r="K226" t="s">
        <v>35</v>
      </c>
      <c r="L226">
        <v>1373</v>
      </c>
      <c r="M226">
        <v>8.1177520071364848E-2</v>
      </c>
      <c r="N226" t="s">
        <v>32</v>
      </c>
      <c r="O226" t="s">
        <v>144</v>
      </c>
    </row>
    <row r="227" spans="1:15" x14ac:dyDescent="0.3">
      <c r="A227" t="s">
        <v>200</v>
      </c>
      <c r="B227" t="s">
        <v>13</v>
      </c>
      <c r="C227" s="51">
        <v>45460</v>
      </c>
      <c r="D227">
        <v>954</v>
      </c>
      <c r="E227">
        <v>324</v>
      </c>
      <c r="F227">
        <v>288</v>
      </c>
      <c r="G227">
        <v>19080</v>
      </c>
      <c r="H227">
        <v>18859</v>
      </c>
      <c r="I227">
        <v>21</v>
      </c>
      <c r="J227" t="s">
        <v>58</v>
      </c>
      <c r="K227" t="s">
        <v>35</v>
      </c>
      <c r="L227">
        <v>1587</v>
      </c>
      <c r="M227">
        <v>8.2075471698113203E-2</v>
      </c>
      <c r="N227" t="s">
        <v>48</v>
      </c>
      <c r="O227" t="s">
        <v>127</v>
      </c>
    </row>
    <row r="228" spans="1:15" x14ac:dyDescent="0.3">
      <c r="A228" t="s">
        <v>215</v>
      </c>
      <c r="B228" t="s">
        <v>24</v>
      </c>
      <c r="C228" s="51">
        <v>45684</v>
      </c>
      <c r="D228">
        <v>3428</v>
      </c>
      <c r="E228">
        <v>305</v>
      </c>
      <c r="F228">
        <v>85</v>
      </c>
      <c r="G228">
        <v>58276</v>
      </c>
      <c r="H228">
        <v>58052</v>
      </c>
      <c r="I228">
        <v>242</v>
      </c>
      <c r="J228" t="s">
        <v>34</v>
      </c>
      <c r="K228" t="s">
        <v>35</v>
      </c>
      <c r="L228">
        <v>4060</v>
      </c>
      <c r="M228">
        <v>6.5515821264328367E-2</v>
      </c>
      <c r="N228" t="s">
        <v>20</v>
      </c>
      <c r="O228" t="s">
        <v>99</v>
      </c>
    </row>
    <row r="229" spans="1:15" x14ac:dyDescent="0.3">
      <c r="A229" t="s">
        <v>215</v>
      </c>
      <c r="B229" t="s">
        <v>24</v>
      </c>
      <c r="C229" s="51">
        <v>45684</v>
      </c>
      <c r="D229">
        <v>3428</v>
      </c>
      <c r="E229">
        <v>305</v>
      </c>
      <c r="F229">
        <v>85</v>
      </c>
      <c r="G229">
        <v>58276</v>
      </c>
      <c r="H229">
        <v>58052</v>
      </c>
      <c r="I229">
        <v>242</v>
      </c>
      <c r="J229" t="s">
        <v>553</v>
      </c>
      <c r="K229" t="s">
        <v>35</v>
      </c>
      <c r="L229">
        <v>4060</v>
      </c>
      <c r="M229">
        <v>6.5515821264328367E-2</v>
      </c>
      <c r="N229" t="s">
        <v>20</v>
      </c>
      <c r="O229" t="s">
        <v>99</v>
      </c>
    </row>
    <row r="230" spans="1:15" x14ac:dyDescent="0.3">
      <c r="A230" t="s">
        <v>237</v>
      </c>
      <c r="B230" t="s">
        <v>13</v>
      </c>
      <c r="C230" s="51">
        <v>45453</v>
      </c>
      <c r="D230">
        <v>1575</v>
      </c>
      <c r="E230">
        <v>771</v>
      </c>
      <c r="F230">
        <v>486</v>
      </c>
      <c r="G230">
        <v>25200</v>
      </c>
      <c r="H230">
        <v>24826</v>
      </c>
      <c r="I230">
        <v>17</v>
      </c>
      <c r="J230" t="s">
        <v>58</v>
      </c>
      <c r="K230" t="s">
        <v>35</v>
      </c>
      <c r="L230">
        <v>2849</v>
      </c>
      <c r="M230">
        <v>0.11238095238095239</v>
      </c>
      <c r="N230" t="s">
        <v>32</v>
      </c>
      <c r="O230" t="s">
        <v>144</v>
      </c>
    </row>
    <row r="231" spans="1:15" x14ac:dyDescent="0.3">
      <c r="A231" t="s">
        <v>269</v>
      </c>
      <c r="B231" t="s">
        <v>13</v>
      </c>
      <c r="C231" s="51">
        <v>45788</v>
      </c>
      <c r="D231">
        <v>2493</v>
      </c>
      <c r="E231">
        <v>97</v>
      </c>
      <c r="F231">
        <v>44</v>
      </c>
      <c r="G231">
        <v>42381</v>
      </c>
      <c r="H231">
        <v>41991</v>
      </c>
      <c r="I231">
        <v>242</v>
      </c>
      <c r="J231" t="s">
        <v>27</v>
      </c>
      <c r="K231" t="s">
        <v>35</v>
      </c>
      <c r="L231">
        <v>2876</v>
      </c>
      <c r="M231">
        <v>6.2150491965739366E-2</v>
      </c>
      <c r="N231" t="s">
        <v>48</v>
      </c>
      <c r="O231" t="s">
        <v>127</v>
      </c>
    </row>
    <row r="232" spans="1:15" x14ac:dyDescent="0.3">
      <c r="A232" t="s">
        <v>269</v>
      </c>
      <c r="B232" t="s">
        <v>13</v>
      </c>
      <c r="C232" s="51">
        <v>45788</v>
      </c>
      <c r="D232">
        <v>2493</v>
      </c>
      <c r="E232">
        <v>97</v>
      </c>
      <c r="F232">
        <v>44</v>
      </c>
      <c r="G232">
        <v>42381</v>
      </c>
      <c r="H232">
        <v>41991</v>
      </c>
      <c r="I232">
        <v>242</v>
      </c>
      <c r="J232" t="s">
        <v>551</v>
      </c>
      <c r="K232" t="s">
        <v>35</v>
      </c>
      <c r="L232">
        <v>2876</v>
      </c>
      <c r="M232">
        <v>6.2150491965739366E-2</v>
      </c>
      <c r="N232" t="s">
        <v>48</v>
      </c>
      <c r="O232" t="s">
        <v>127</v>
      </c>
    </row>
    <row r="233" spans="1:15" x14ac:dyDescent="0.3">
      <c r="A233" t="s">
        <v>273</v>
      </c>
      <c r="B233" t="s">
        <v>13</v>
      </c>
      <c r="C233" s="51">
        <v>45600</v>
      </c>
      <c r="D233">
        <v>1606</v>
      </c>
      <c r="E233">
        <v>451</v>
      </c>
      <c r="F233">
        <v>405</v>
      </c>
      <c r="G233">
        <v>20878</v>
      </c>
      <c r="H233">
        <v>20190</v>
      </c>
      <c r="I233">
        <v>219</v>
      </c>
      <c r="J233" t="s">
        <v>34</v>
      </c>
      <c r="K233" t="s">
        <v>35</v>
      </c>
      <c r="L233">
        <v>2681</v>
      </c>
      <c r="M233">
        <v>0.11792317271769326</v>
      </c>
      <c r="N233" t="s">
        <v>48</v>
      </c>
      <c r="O233" t="s">
        <v>127</v>
      </c>
    </row>
    <row r="234" spans="1:15" x14ac:dyDescent="0.3">
      <c r="A234" t="s">
        <v>284</v>
      </c>
      <c r="B234" t="s">
        <v>13</v>
      </c>
      <c r="C234" s="51">
        <v>45543</v>
      </c>
      <c r="D234">
        <v>3811</v>
      </c>
      <c r="E234">
        <v>866</v>
      </c>
      <c r="F234">
        <v>216</v>
      </c>
      <c r="G234">
        <v>34299</v>
      </c>
      <c r="H234">
        <v>34088</v>
      </c>
      <c r="I234">
        <v>233</v>
      </c>
      <c r="J234" t="s">
        <v>27</v>
      </c>
      <c r="K234" t="s">
        <v>35</v>
      </c>
      <c r="L234">
        <v>5126</v>
      </c>
      <c r="M234">
        <v>0.14265722032712325</v>
      </c>
      <c r="N234" t="s">
        <v>41</v>
      </c>
      <c r="O234" t="s">
        <v>45</v>
      </c>
    </row>
    <row r="235" spans="1:15" x14ac:dyDescent="0.3">
      <c r="A235" t="s">
        <v>290</v>
      </c>
      <c r="B235" t="s">
        <v>24</v>
      </c>
      <c r="C235" s="51">
        <v>45564</v>
      </c>
      <c r="D235">
        <v>2936</v>
      </c>
      <c r="E235">
        <v>439</v>
      </c>
      <c r="F235">
        <v>44</v>
      </c>
      <c r="G235">
        <v>38168</v>
      </c>
      <c r="H235">
        <v>37571</v>
      </c>
      <c r="I235">
        <v>22</v>
      </c>
      <c r="J235" t="s">
        <v>34</v>
      </c>
      <c r="K235" t="s">
        <v>35</v>
      </c>
      <c r="L235">
        <v>3441</v>
      </c>
      <c r="M235">
        <v>8.9577656675749323E-2</v>
      </c>
      <c r="N235" t="s">
        <v>15</v>
      </c>
      <c r="O235" t="s">
        <v>26</v>
      </c>
    </row>
    <row r="236" spans="1:15" x14ac:dyDescent="0.3">
      <c r="A236" t="s">
        <v>74</v>
      </c>
      <c r="B236" t="s">
        <v>39</v>
      </c>
      <c r="C236" s="51">
        <v>45782</v>
      </c>
      <c r="D236">
        <v>4441</v>
      </c>
      <c r="E236">
        <v>511</v>
      </c>
      <c r="F236">
        <v>70</v>
      </c>
      <c r="G236">
        <v>53292</v>
      </c>
      <c r="H236">
        <v>53082</v>
      </c>
      <c r="I236">
        <v>159</v>
      </c>
      <c r="J236" t="s">
        <v>34</v>
      </c>
      <c r="K236" t="s">
        <v>35</v>
      </c>
      <c r="L236">
        <v>5181</v>
      </c>
      <c r="M236">
        <v>9.4235532537716729E-2</v>
      </c>
      <c r="N236" t="s">
        <v>20</v>
      </c>
      <c r="O236" t="s">
        <v>52</v>
      </c>
    </row>
    <row r="237" spans="1:15" x14ac:dyDescent="0.3">
      <c r="A237" t="s">
        <v>310</v>
      </c>
      <c r="B237" t="s">
        <v>24</v>
      </c>
      <c r="C237" s="51">
        <v>45741</v>
      </c>
      <c r="D237">
        <v>2070</v>
      </c>
      <c r="E237">
        <v>275</v>
      </c>
      <c r="F237">
        <v>386</v>
      </c>
      <c r="G237">
        <v>39330</v>
      </c>
      <c r="H237">
        <v>38627</v>
      </c>
      <c r="I237">
        <v>114</v>
      </c>
      <c r="J237" t="s">
        <v>58</v>
      </c>
      <c r="K237" t="s">
        <v>35</v>
      </c>
      <c r="L237">
        <v>2845</v>
      </c>
      <c r="M237">
        <v>6.9438087973557078E-2</v>
      </c>
      <c r="N237" t="s">
        <v>32</v>
      </c>
      <c r="O237" t="s">
        <v>149</v>
      </c>
    </row>
    <row r="238" spans="1:15" x14ac:dyDescent="0.3">
      <c r="A238" t="s">
        <v>312</v>
      </c>
      <c r="B238" t="s">
        <v>24</v>
      </c>
      <c r="C238" s="51">
        <v>45593</v>
      </c>
      <c r="D238">
        <v>4929</v>
      </c>
      <c r="E238">
        <v>749</v>
      </c>
      <c r="F238">
        <v>452</v>
      </c>
      <c r="G238">
        <v>93651</v>
      </c>
      <c r="H238">
        <v>92810</v>
      </c>
      <c r="I238">
        <v>66</v>
      </c>
      <c r="J238" t="s">
        <v>34</v>
      </c>
      <c r="K238" t="s">
        <v>35</v>
      </c>
      <c r="L238">
        <v>6196</v>
      </c>
      <c r="M238">
        <v>6.5455787978772245E-2</v>
      </c>
      <c r="N238" t="s">
        <v>32</v>
      </c>
      <c r="O238" t="s">
        <v>149</v>
      </c>
    </row>
    <row r="239" spans="1:15" x14ac:dyDescent="0.3">
      <c r="A239" t="s">
        <v>87</v>
      </c>
      <c r="B239" t="s">
        <v>39</v>
      </c>
      <c r="C239" s="51">
        <v>45715</v>
      </c>
      <c r="D239">
        <v>1570</v>
      </c>
      <c r="E239">
        <v>187</v>
      </c>
      <c r="F239">
        <v>260</v>
      </c>
      <c r="G239">
        <v>25120</v>
      </c>
      <c r="H239">
        <v>24613</v>
      </c>
      <c r="I239">
        <v>133</v>
      </c>
      <c r="J239" t="s">
        <v>27</v>
      </c>
      <c r="K239" t="s">
        <v>35</v>
      </c>
      <c r="L239">
        <v>2150</v>
      </c>
      <c r="M239">
        <v>8.0294585987261149E-2</v>
      </c>
      <c r="N239" t="s">
        <v>20</v>
      </c>
      <c r="O239" t="s">
        <v>52</v>
      </c>
    </row>
    <row r="240" spans="1:15" x14ac:dyDescent="0.3">
      <c r="A240" t="s">
        <v>152</v>
      </c>
      <c r="B240" t="s">
        <v>39</v>
      </c>
      <c r="C240" s="51">
        <v>45660</v>
      </c>
      <c r="D240">
        <v>947</v>
      </c>
      <c r="E240">
        <v>338</v>
      </c>
      <c r="F240">
        <v>350</v>
      </c>
      <c r="G240">
        <v>10417</v>
      </c>
      <c r="H240">
        <v>9730</v>
      </c>
      <c r="I240">
        <v>34</v>
      </c>
      <c r="J240" t="s">
        <v>27</v>
      </c>
      <c r="K240" t="s">
        <v>35</v>
      </c>
      <c r="L240">
        <v>1669</v>
      </c>
      <c r="M240">
        <v>0.1569549774407219</v>
      </c>
      <c r="N240" t="s">
        <v>48</v>
      </c>
      <c r="O240" t="s">
        <v>55</v>
      </c>
    </row>
    <row r="241" spans="1:15" x14ac:dyDescent="0.3">
      <c r="A241" t="s">
        <v>320</v>
      </c>
      <c r="B241" t="s">
        <v>24</v>
      </c>
      <c r="C241" s="51">
        <v>45526</v>
      </c>
      <c r="D241">
        <v>4295</v>
      </c>
      <c r="E241">
        <v>853</v>
      </c>
      <c r="F241">
        <v>325</v>
      </c>
      <c r="G241">
        <v>85900</v>
      </c>
      <c r="H241">
        <v>85788</v>
      </c>
      <c r="I241">
        <v>290</v>
      </c>
      <c r="J241" t="s">
        <v>27</v>
      </c>
      <c r="K241" t="s">
        <v>35</v>
      </c>
      <c r="L241">
        <v>5763</v>
      </c>
      <c r="M241">
        <v>6.3713620488940623E-2</v>
      </c>
      <c r="N241" t="s">
        <v>41</v>
      </c>
      <c r="O241" t="s">
        <v>64</v>
      </c>
    </row>
    <row r="242" spans="1:15" x14ac:dyDescent="0.3">
      <c r="A242" t="s">
        <v>157</v>
      </c>
      <c r="B242" t="s">
        <v>39</v>
      </c>
      <c r="C242" s="51">
        <v>45460</v>
      </c>
      <c r="D242">
        <v>1226</v>
      </c>
      <c r="E242">
        <v>119</v>
      </c>
      <c r="F242">
        <v>7</v>
      </c>
      <c r="G242">
        <v>14712</v>
      </c>
      <c r="H242">
        <v>14049</v>
      </c>
      <c r="I242">
        <v>123</v>
      </c>
      <c r="J242" t="s">
        <v>34</v>
      </c>
      <c r="K242" t="s">
        <v>35</v>
      </c>
      <c r="L242">
        <v>1475</v>
      </c>
      <c r="M242">
        <v>9.1897770527460579E-2</v>
      </c>
      <c r="N242" t="s">
        <v>48</v>
      </c>
      <c r="O242" t="s">
        <v>55</v>
      </c>
    </row>
    <row r="243" spans="1:15" x14ac:dyDescent="0.3">
      <c r="A243" t="s">
        <v>191</v>
      </c>
      <c r="B243" t="s">
        <v>39</v>
      </c>
      <c r="C243" s="51">
        <v>45583</v>
      </c>
      <c r="D243">
        <v>4126</v>
      </c>
      <c r="E243">
        <v>426</v>
      </c>
      <c r="F243">
        <v>486</v>
      </c>
      <c r="G243">
        <v>78394</v>
      </c>
      <c r="H243">
        <v>77798</v>
      </c>
      <c r="I243">
        <v>88</v>
      </c>
      <c r="J243" t="s">
        <v>58</v>
      </c>
      <c r="K243" t="s">
        <v>35</v>
      </c>
      <c r="L243">
        <v>5126</v>
      </c>
      <c r="M243">
        <v>6.4265122330790625E-2</v>
      </c>
      <c r="N243" t="s">
        <v>32</v>
      </c>
      <c r="O243" t="s">
        <v>67</v>
      </c>
    </row>
    <row r="244" spans="1:15" x14ac:dyDescent="0.3">
      <c r="A244" t="s">
        <v>339</v>
      </c>
      <c r="B244" t="s">
        <v>13</v>
      </c>
      <c r="C244" s="51">
        <v>45707</v>
      </c>
      <c r="D244">
        <v>4671</v>
      </c>
      <c r="E244">
        <v>876</v>
      </c>
      <c r="F244">
        <v>366</v>
      </c>
      <c r="G244">
        <v>51381</v>
      </c>
      <c r="H244">
        <v>50565</v>
      </c>
      <c r="I244">
        <v>245</v>
      </c>
      <c r="J244" t="s">
        <v>27</v>
      </c>
      <c r="K244" t="s">
        <v>35</v>
      </c>
      <c r="L244">
        <v>6158</v>
      </c>
      <c r="M244">
        <v>0.11508145034156594</v>
      </c>
      <c r="N244" t="s">
        <v>20</v>
      </c>
      <c r="O244" t="s">
        <v>21</v>
      </c>
    </row>
    <row r="245" spans="1:15" x14ac:dyDescent="0.3">
      <c r="A245" t="s">
        <v>345</v>
      </c>
      <c r="B245" t="s">
        <v>24</v>
      </c>
      <c r="C245" s="51">
        <v>45715</v>
      </c>
      <c r="D245">
        <v>4934</v>
      </c>
      <c r="E245">
        <v>971</v>
      </c>
      <c r="F245">
        <v>156</v>
      </c>
      <c r="G245">
        <v>39472</v>
      </c>
      <c r="H245">
        <v>39025</v>
      </c>
      <c r="I245">
        <v>169</v>
      </c>
      <c r="J245" t="s">
        <v>27</v>
      </c>
      <c r="K245" t="s">
        <v>35</v>
      </c>
      <c r="L245">
        <v>6230</v>
      </c>
      <c r="M245">
        <v>0.15355188488042157</v>
      </c>
      <c r="N245" t="s">
        <v>20</v>
      </c>
      <c r="O245" t="s">
        <v>99</v>
      </c>
    </row>
    <row r="246" spans="1:15" x14ac:dyDescent="0.3">
      <c r="A246" t="s">
        <v>345</v>
      </c>
      <c r="B246" t="s">
        <v>24</v>
      </c>
      <c r="C246" s="51">
        <v>45715</v>
      </c>
      <c r="D246">
        <v>4934</v>
      </c>
      <c r="E246">
        <v>971</v>
      </c>
      <c r="F246">
        <v>156</v>
      </c>
      <c r="G246">
        <v>39472</v>
      </c>
      <c r="H246">
        <v>39025</v>
      </c>
      <c r="I246">
        <v>169</v>
      </c>
      <c r="J246" t="s">
        <v>551</v>
      </c>
      <c r="K246" t="s">
        <v>35</v>
      </c>
      <c r="L246">
        <v>6230</v>
      </c>
      <c r="M246">
        <v>0.15355188488042157</v>
      </c>
      <c r="N246" t="s">
        <v>20</v>
      </c>
      <c r="O246" t="s">
        <v>99</v>
      </c>
    </row>
    <row r="247" spans="1:15" x14ac:dyDescent="0.3">
      <c r="A247" t="s">
        <v>212</v>
      </c>
      <c r="B247" t="s">
        <v>39</v>
      </c>
      <c r="C247" s="51">
        <v>45635</v>
      </c>
      <c r="D247">
        <v>1841</v>
      </c>
      <c r="E247">
        <v>851</v>
      </c>
      <c r="F247">
        <v>342</v>
      </c>
      <c r="G247">
        <v>34979</v>
      </c>
      <c r="H247">
        <v>34154</v>
      </c>
      <c r="I247">
        <v>255</v>
      </c>
      <c r="J247" t="s">
        <v>58</v>
      </c>
      <c r="K247" t="s">
        <v>35</v>
      </c>
      <c r="L247">
        <v>3289</v>
      </c>
      <c r="M247">
        <v>8.6737756939878216E-2</v>
      </c>
      <c r="N247" t="s">
        <v>48</v>
      </c>
      <c r="O247" t="s">
        <v>55</v>
      </c>
    </row>
    <row r="248" spans="1:15" x14ac:dyDescent="0.3">
      <c r="A248" t="s">
        <v>219</v>
      </c>
      <c r="B248" t="s">
        <v>39</v>
      </c>
      <c r="C248" s="51">
        <v>45480</v>
      </c>
      <c r="D248">
        <v>302</v>
      </c>
      <c r="E248">
        <v>47</v>
      </c>
      <c r="F248">
        <v>430</v>
      </c>
      <c r="G248">
        <v>5738</v>
      </c>
      <c r="H248">
        <v>4890</v>
      </c>
      <c r="I248">
        <v>25</v>
      </c>
      <c r="J248" t="s">
        <v>27</v>
      </c>
      <c r="K248" t="s">
        <v>35</v>
      </c>
      <c r="L248">
        <v>804</v>
      </c>
      <c r="M248">
        <v>0.13576158940397351</v>
      </c>
      <c r="N248" t="s">
        <v>32</v>
      </c>
      <c r="O248" t="s">
        <v>67</v>
      </c>
    </row>
    <row r="249" spans="1:15" x14ac:dyDescent="0.3">
      <c r="A249" t="s">
        <v>225</v>
      </c>
      <c r="B249" t="s">
        <v>39</v>
      </c>
      <c r="C249" s="51">
        <v>45740</v>
      </c>
      <c r="D249">
        <v>1263</v>
      </c>
      <c r="E249">
        <v>397</v>
      </c>
      <c r="F249">
        <v>357</v>
      </c>
      <c r="G249">
        <v>25260</v>
      </c>
      <c r="H249">
        <v>24615</v>
      </c>
      <c r="I249">
        <v>137</v>
      </c>
      <c r="J249" t="s">
        <v>34</v>
      </c>
      <c r="K249" t="s">
        <v>35</v>
      </c>
      <c r="L249">
        <v>2154</v>
      </c>
      <c r="M249">
        <v>7.984956452889945E-2</v>
      </c>
      <c r="N249" t="s">
        <v>48</v>
      </c>
      <c r="O249" t="s">
        <v>55</v>
      </c>
    </row>
    <row r="250" spans="1:15" x14ac:dyDescent="0.3">
      <c r="A250" t="s">
        <v>294</v>
      </c>
      <c r="B250" t="s">
        <v>39</v>
      </c>
      <c r="C250" s="51">
        <v>45694</v>
      </c>
      <c r="D250">
        <v>2072</v>
      </c>
      <c r="E250">
        <v>532</v>
      </c>
      <c r="F250">
        <v>71</v>
      </c>
      <c r="G250">
        <v>37296</v>
      </c>
      <c r="H250">
        <v>36467</v>
      </c>
      <c r="I250">
        <v>25</v>
      </c>
      <c r="J250" t="s">
        <v>27</v>
      </c>
      <c r="K250" t="s">
        <v>35</v>
      </c>
      <c r="L250">
        <v>2700</v>
      </c>
      <c r="M250">
        <v>7.172350922350923E-2</v>
      </c>
      <c r="N250" t="s">
        <v>48</v>
      </c>
      <c r="O250" t="s">
        <v>55</v>
      </c>
    </row>
    <row r="251" spans="1:15" x14ac:dyDescent="0.3">
      <c r="A251" t="s">
        <v>298</v>
      </c>
      <c r="B251" t="s">
        <v>39</v>
      </c>
      <c r="C251" s="51">
        <v>45624</v>
      </c>
      <c r="D251">
        <v>4213</v>
      </c>
      <c r="E251">
        <v>253</v>
      </c>
      <c r="F251">
        <v>434</v>
      </c>
      <c r="G251">
        <v>75834</v>
      </c>
      <c r="H251">
        <v>75437</v>
      </c>
      <c r="I251">
        <v>272</v>
      </c>
      <c r="J251" t="s">
        <v>58</v>
      </c>
      <c r="K251" t="s">
        <v>35</v>
      </c>
      <c r="L251">
        <v>5172</v>
      </c>
      <c r="M251">
        <v>6.461481657304112E-2</v>
      </c>
      <c r="N251" t="s">
        <v>20</v>
      </c>
      <c r="O251" t="s">
        <v>52</v>
      </c>
    </row>
    <row r="252" spans="1:15" x14ac:dyDescent="0.3">
      <c r="A252" t="s">
        <v>323</v>
      </c>
      <c r="B252" t="s">
        <v>39</v>
      </c>
      <c r="C252" s="51">
        <v>45769</v>
      </c>
      <c r="D252">
        <v>4804</v>
      </c>
      <c r="E252">
        <v>550</v>
      </c>
      <c r="F252">
        <v>270</v>
      </c>
      <c r="G252">
        <v>28824</v>
      </c>
      <c r="H252">
        <v>28370</v>
      </c>
      <c r="I252">
        <v>47</v>
      </c>
      <c r="J252" t="s">
        <v>34</v>
      </c>
      <c r="K252" t="s">
        <v>35</v>
      </c>
      <c r="L252">
        <v>5671</v>
      </c>
      <c r="M252">
        <v>0.19511518179295032</v>
      </c>
      <c r="N252" t="s">
        <v>48</v>
      </c>
      <c r="O252" t="s">
        <v>55</v>
      </c>
    </row>
    <row r="253" spans="1:15" x14ac:dyDescent="0.3">
      <c r="A253" t="s">
        <v>410</v>
      </c>
      <c r="B253" t="s">
        <v>13</v>
      </c>
      <c r="C253" s="51">
        <v>45771</v>
      </c>
      <c r="D253">
        <v>3820</v>
      </c>
      <c r="E253">
        <v>697</v>
      </c>
      <c r="F253">
        <v>268</v>
      </c>
      <c r="G253">
        <v>45840</v>
      </c>
      <c r="H253">
        <v>45631</v>
      </c>
      <c r="I253">
        <v>171</v>
      </c>
      <c r="J253" t="s">
        <v>27</v>
      </c>
      <c r="K253" t="s">
        <v>35</v>
      </c>
      <c r="L253">
        <v>4956</v>
      </c>
      <c r="M253">
        <v>0.1043848167539267</v>
      </c>
      <c r="N253" t="s">
        <v>70</v>
      </c>
      <c r="O253" t="s">
        <v>140</v>
      </c>
    </row>
    <row r="254" spans="1:15" x14ac:dyDescent="0.3">
      <c r="A254" t="s">
        <v>410</v>
      </c>
      <c r="B254" t="s">
        <v>13</v>
      </c>
      <c r="C254" s="51">
        <v>45771</v>
      </c>
      <c r="D254">
        <v>3820</v>
      </c>
      <c r="E254">
        <v>697</v>
      </c>
      <c r="F254">
        <v>268</v>
      </c>
      <c r="G254">
        <v>45840</v>
      </c>
      <c r="H254">
        <v>45631</v>
      </c>
      <c r="I254">
        <v>171</v>
      </c>
      <c r="J254" t="s">
        <v>552</v>
      </c>
      <c r="K254" t="s">
        <v>35</v>
      </c>
      <c r="L254">
        <v>4956</v>
      </c>
      <c r="M254">
        <v>0.1043848167539267</v>
      </c>
      <c r="N254" t="s">
        <v>70</v>
      </c>
      <c r="O254" t="s">
        <v>140</v>
      </c>
    </row>
    <row r="255" spans="1:15" x14ac:dyDescent="0.3">
      <c r="A255" t="s">
        <v>415</v>
      </c>
      <c r="B255" t="s">
        <v>13</v>
      </c>
      <c r="C255" s="51">
        <v>45735</v>
      </c>
      <c r="D255">
        <v>3160</v>
      </c>
      <c r="E255">
        <v>204</v>
      </c>
      <c r="F255">
        <v>297</v>
      </c>
      <c r="G255">
        <v>44240</v>
      </c>
      <c r="H255">
        <v>43666</v>
      </c>
      <c r="I255">
        <v>49</v>
      </c>
      <c r="J255" t="s">
        <v>58</v>
      </c>
      <c r="K255" t="s">
        <v>35</v>
      </c>
      <c r="L255">
        <v>3710</v>
      </c>
      <c r="M255">
        <v>8.2753164556962022E-2</v>
      </c>
      <c r="N255" t="s">
        <v>70</v>
      </c>
      <c r="O255" t="s">
        <v>140</v>
      </c>
    </row>
    <row r="256" spans="1:15" x14ac:dyDescent="0.3">
      <c r="A256" t="s">
        <v>415</v>
      </c>
      <c r="B256" t="s">
        <v>13</v>
      </c>
      <c r="C256" s="51">
        <v>45735</v>
      </c>
      <c r="D256">
        <v>3160</v>
      </c>
      <c r="E256">
        <v>204</v>
      </c>
      <c r="F256">
        <v>297</v>
      </c>
      <c r="G256">
        <v>44240</v>
      </c>
      <c r="H256">
        <v>43666</v>
      </c>
      <c r="I256">
        <v>49</v>
      </c>
      <c r="J256" t="s">
        <v>551</v>
      </c>
      <c r="K256" t="s">
        <v>35</v>
      </c>
      <c r="L256">
        <v>3710</v>
      </c>
      <c r="M256">
        <v>8.2753164556962022E-2</v>
      </c>
      <c r="N256" t="s">
        <v>70</v>
      </c>
      <c r="O256" t="s">
        <v>140</v>
      </c>
    </row>
    <row r="257" spans="1:15" x14ac:dyDescent="0.3">
      <c r="A257" t="s">
        <v>418</v>
      </c>
      <c r="B257" t="s">
        <v>13</v>
      </c>
      <c r="C257" s="51">
        <v>45491</v>
      </c>
      <c r="D257">
        <v>2120</v>
      </c>
      <c r="E257">
        <v>38</v>
      </c>
      <c r="F257">
        <v>212</v>
      </c>
      <c r="G257">
        <v>12720</v>
      </c>
      <c r="H257">
        <v>12564</v>
      </c>
      <c r="I257">
        <v>21</v>
      </c>
      <c r="J257" t="s">
        <v>58</v>
      </c>
      <c r="K257" t="s">
        <v>35</v>
      </c>
      <c r="L257">
        <v>2391</v>
      </c>
      <c r="M257">
        <v>0.18632075471698112</v>
      </c>
      <c r="N257" t="s">
        <v>41</v>
      </c>
      <c r="O257" t="s">
        <v>45</v>
      </c>
    </row>
    <row r="258" spans="1:15" x14ac:dyDescent="0.3">
      <c r="A258" t="s">
        <v>373</v>
      </c>
      <c r="B258" t="s">
        <v>39</v>
      </c>
      <c r="C258" s="51">
        <v>45504</v>
      </c>
      <c r="D258">
        <v>4689</v>
      </c>
      <c r="E258">
        <v>134</v>
      </c>
      <c r="F258">
        <v>403</v>
      </c>
      <c r="G258">
        <v>51579</v>
      </c>
      <c r="H258">
        <v>50924</v>
      </c>
      <c r="I258">
        <v>173</v>
      </c>
      <c r="J258" t="s">
        <v>27</v>
      </c>
      <c r="K258" t="s">
        <v>35</v>
      </c>
      <c r="L258">
        <v>5399</v>
      </c>
      <c r="M258">
        <v>0.10132030477519921</v>
      </c>
      <c r="N258" t="s">
        <v>48</v>
      </c>
      <c r="O258" t="s">
        <v>55</v>
      </c>
    </row>
    <row r="259" spans="1:15" x14ac:dyDescent="0.3">
      <c r="A259" t="s">
        <v>421</v>
      </c>
      <c r="B259" t="s">
        <v>39</v>
      </c>
      <c r="C259" s="51">
        <v>45778</v>
      </c>
      <c r="D259">
        <v>2696</v>
      </c>
      <c r="E259">
        <v>628</v>
      </c>
      <c r="F259">
        <v>443</v>
      </c>
      <c r="G259">
        <v>45832</v>
      </c>
      <c r="H259">
        <v>45632</v>
      </c>
      <c r="I259">
        <v>248</v>
      </c>
      <c r="J259" t="s">
        <v>34</v>
      </c>
      <c r="K259" t="s">
        <v>35</v>
      </c>
      <c r="L259">
        <v>4015</v>
      </c>
      <c r="M259">
        <v>8.21914819340199E-2</v>
      </c>
      <c r="N259" t="s">
        <v>41</v>
      </c>
      <c r="O259" t="s">
        <v>42</v>
      </c>
    </row>
    <row r="260" spans="1:15" x14ac:dyDescent="0.3">
      <c r="A260" t="s">
        <v>429</v>
      </c>
      <c r="B260" t="s">
        <v>13</v>
      </c>
      <c r="C260" s="51">
        <v>45685</v>
      </c>
      <c r="D260">
        <v>1188</v>
      </c>
      <c r="E260">
        <v>470</v>
      </c>
      <c r="F260">
        <v>174</v>
      </c>
      <c r="G260">
        <v>7128</v>
      </c>
      <c r="H260">
        <v>6145</v>
      </c>
      <c r="I260">
        <v>270</v>
      </c>
      <c r="J260" t="s">
        <v>27</v>
      </c>
      <c r="K260" t="s">
        <v>35</v>
      </c>
      <c r="L260">
        <v>2102</v>
      </c>
      <c r="M260">
        <v>0.25701459034792368</v>
      </c>
      <c r="N260" t="s">
        <v>15</v>
      </c>
      <c r="O260" t="s">
        <v>16</v>
      </c>
    </row>
    <row r="261" spans="1:15" x14ac:dyDescent="0.3">
      <c r="A261" t="s">
        <v>447</v>
      </c>
      <c r="B261" t="s">
        <v>13</v>
      </c>
      <c r="C261" s="51">
        <v>45776</v>
      </c>
      <c r="D261">
        <v>249</v>
      </c>
      <c r="E261">
        <v>592</v>
      </c>
      <c r="F261">
        <v>230</v>
      </c>
      <c r="G261">
        <v>1494</v>
      </c>
      <c r="H261">
        <v>1044</v>
      </c>
      <c r="I261">
        <v>201</v>
      </c>
      <c r="J261" t="s">
        <v>34</v>
      </c>
      <c r="K261" t="s">
        <v>35</v>
      </c>
      <c r="L261">
        <v>1272</v>
      </c>
      <c r="M261">
        <v>0.7168674698795181</v>
      </c>
      <c r="N261" t="s">
        <v>32</v>
      </c>
      <c r="O261" t="s">
        <v>144</v>
      </c>
    </row>
    <row r="262" spans="1:15" x14ac:dyDescent="0.3">
      <c r="A262" t="s">
        <v>428</v>
      </c>
      <c r="B262" t="s">
        <v>39</v>
      </c>
      <c r="C262" s="51">
        <v>45454</v>
      </c>
      <c r="D262">
        <v>1869</v>
      </c>
      <c r="E262">
        <v>453</v>
      </c>
      <c r="F262">
        <v>490</v>
      </c>
      <c r="G262">
        <v>14952</v>
      </c>
      <c r="H262">
        <v>14309</v>
      </c>
      <c r="I262">
        <v>275</v>
      </c>
      <c r="J262" t="s">
        <v>27</v>
      </c>
      <c r="K262" t="s">
        <v>35</v>
      </c>
      <c r="L262">
        <v>3087</v>
      </c>
      <c r="M262">
        <v>0.18806848582129482</v>
      </c>
      <c r="N262" t="s">
        <v>41</v>
      </c>
      <c r="O262" t="s">
        <v>42</v>
      </c>
    </row>
    <row r="263" spans="1:15" x14ac:dyDescent="0.3">
      <c r="A263" t="s">
        <v>455</v>
      </c>
      <c r="B263" t="s">
        <v>13</v>
      </c>
      <c r="C263" s="51">
        <v>45489</v>
      </c>
      <c r="D263">
        <v>4725</v>
      </c>
      <c r="E263">
        <v>400</v>
      </c>
      <c r="F263">
        <v>362</v>
      </c>
      <c r="G263">
        <v>75600</v>
      </c>
      <c r="H263">
        <v>74927</v>
      </c>
      <c r="I263">
        <v>43</v>
      </c>
      <c r="J263" t="s">
        <v>58</v>
      </c>
      <c r="K263" t="s">
        <v>35</v>
      </c>
      <c r="L263">
        <v>5530</v>
      </c>
      <c r="M263">
        <v>7.2579365079365077E-2</v>
      </c>
      <c r="N263" t="s">
        <v>20</v>
      </c>
      <c r="O263" t="s">
        <v>21</v>
      </c>
    </row>
    <row r="264" spans="1:15" x14ac:dyDescent="0.3">
      <c r="A264" t="s">
        <v>449</v>
      </c>
      <c r="B264" t="s">
        <v>39</v>
      </c>
      <c r="C264" s="51">
        <v>45724</v>
      </c>
      <c r="D264">
        <v>2382</v>
      </c>
      <c r="E264">
        <v>265</v>
      </c>
      <c r="F264">
        <v>134</v>
      </c>
      <c r="G264">
        <v>38112</v>
      </c>
      <c r="H264">
        <v>37437</v>
      </c>
      <c r="I264">
        <v>249</v>
      </c>
      <c r="J264" t="s">
        <v>58</v>
      </c>
      <c r="K264" t="s">
        <v>35</v>
      </c>
      <c r="L264">
        <v>3030</v>
      </c>
      <c r="M264">
        <v>7.2969143576826198E-2</v>
      </c>
      <c r="N264" t="s">
        <v>48</v>
      </c>
      <c r="O264" t="s">
        <v>55</v>
      </c>
    </row>
    <row r="265" spans="1:15" x14ac:dyDescent="0.3">
      <c r="A265" t="s">
        <v>462</v>
      </c>
      <c r="B265" t="s">
        <v>13</v>
      </c>
      <c r="C265" s="51">
        <v>45722</v>
      </c>
      <c r="D265">
        <v>3592</v>
      </c>
      <c r="E265">
        <v>911</v>
      </c>
      <c r="F265">
        <v>375</v>
      </c>
      <c r="G265">
        <v>50288</v>
      </c>
      <c r="H265">
        <v>49490</v>
      </c>
      <c r="I265">
        <v>32</v>
      </c>
      <c r="J265" t="s">
        <v>58</v>
      </c>
      <c r="K265" t="s">
        <v>35</v>
      </c>
      <c r="L265">
        <v>4910</v>
      </c>
      <c r="M265">
        <v>9.7001272669424113E-2</v>
      </c>
      <c r="N265" t="s">
        <v>48</v>
      </c>
      <c r="O265" t="s">
        <v>127</v>
      </c>
    </row>
    <row r="266" spans="1:15" x14ac:dyDescent="0.3">
      <c r="A266" t="s">
        <v>459</v>
      </c>
      <c r="B266" t="s">
        <v>39</v>
      </c>
      <c r="C266" s="51">
        <v>45675</v>
      </c>
      <c r="D266">
        <v>4321</v>
      </c>
      <c r="E266">
        <v>874</v>
      </c>
      <c r="F266">
        <v>172</v>
      </c>
      <c r="G266">
        <v>30247</v>
      </c>
      <c r="H266">
        <v>29254</v>
      </c>
      <c r="I266">
        <v>122</v>
      </c>
      <c r="J266" t="s">
        <v>27</v>
      </c>
      <c r="K266" t="s">
        <v>35</v>
      </c>
      <c r="L266">
        <v>5489</v>
      </c>
      <c r="M266">
        <v>0.17743908486792079</v>
      </c>
      <c r="N266" t="s">
        <v>32</v>
      </c>
      <c r="O266" t="s">
        <v>67</v>
      </c>
    </row>
    <row r="267" spans="1:15" x14ac:dyDescent="0.3">
      <c r="A267" t="s">
        <v>497</v>
      </c>
      <c r="B267" t="s">
        <v>13</v>
      </c>
      <c r="C267" s="51">
        <v>45708</v>
      </c>
      <c r="D267">
        <v>1877</v>
      </c>
      <c r="E267">
        <v>745</v>
      </c>
      <c r="F267">
        <v>225</v>
      </c>
      <c r="G267">
        <v>11262</v>
      </c>
      <c r="H267">
        <v>10967</v>
      </c>
      <c r="I267">
        <v>41</v>
      </c>
      <c r="J267" t="s">
        <v>34</v>
      </c>
      <c r="K267" t="s">
        <v>35</v>
      </c>
      <c r="L267">
        <v>2888</v>
      </c>
      <c r="M267">
        <v>0.25279701651571657</v>
      </c>
      <c r="N267" t="s">
        <v>41</v>
      </c>
      <c r="O267" t="s">
        <v>45</v>
      </c>
    </row>
    <row r="268" spans="1:15" x14ac:dyDescent="0.3">
      <c r="A268" t="s">
        <v>509</v>
      </c>
      <c r="B268" t="s">
        <v>24</v>
      </c>
      <c r="C268" s="51">
        <v>45577</v>
      </c>
      <c r="D268">
        <v>3641</v>
      </c>
      <c r="E268">
        <v>226</v>
      </c>
      <c r="F268">
        <v>46</v>
      </c>
      <c r="G268">
        <v>40051</v>
      </c>
      <c r="H268">
        <v>39319</v>
      </c>
      <c r="I268">
        <v>296</v>
      </c>
      <c r="J268" t="s">
        <v>34</v>
      </c>
      <c r="K268" t="s">
        <v>35</v>
      </c>
      <c r="L268">
        <v>4209</v>
      </c>
      <c r="M268">
        <v>9.7700431949264685E-2</v>
      </c>
      <c r="N268" t="s">
        <v>32</v>
      </c>
      <c r="O268" t="s">
        <v>149</v>
      </c>
    </row>
    <row r="269" spans="1:15" x14ac:dyDescent="0.3">
      <c r="A269" t="s">
        <v>511</v>
      </c>
      <c r="B269" t="s">
        <v>13</v>
      </c>
      <c r="C269" s="51">
        <v>45658</v>
      </c>
      <c r="D269">
        <v>3535</v>
      </c>
      <c r="E269">
        <v>494</v>
      </c>
      <c r="F269">
        <v>152</v>
      </c>
      <c r="G269">
        <v>53025</v>
      </c>
      <c r="H269">
        <v>52791</v>
      </c>
      <c r="I269">
        <v>44</v>
      </c>
      <c r="J269" t="s">
        <v>27</v>
      </c>
      <c r="K269" t="s">
        <v>35</v>
      </c>
      <c r="L269">
        <v>4225</v>
      </c>
      <c r="M269">
        <v>7.8849599245638849E-2</v>
      </c>
      <c r="N269" t="s">
        <v>41</v>
      </c>
      <c r="O269" t="s">
        <v>45</v>
      </c>
    </row>
    <row r="270" spans="1:15" x14ac:dyDescent="0.3">
      <c r="A270" t="s">
        <v>516</v>
      </c>
      <c r="B270" t="s">
        <v>13</v>
      </c>
      <c r="C270" s="51">
        <v>45622</v>
      </c>
      <c r="D270">
        <v>4516</v>
      </c>
      <c r="E270">
        <v>836</v>
      </c>
      <c r="F270">
        <v>169</v>
      </c>
      <c r="G270">
        <v>49676</v>
      </c>
      <c r="H270">
        <v>49257</v>
      </c>
      <c r="I270">
        <v>282</v>
      </c>
      <c r="J270" t="s">
        <v>34</v>
      </c>
      <c r="K270" t="s">
        <v>35</v>
      </c>
      <c r="L270">
        <v>5803</v>
      </c>
      <c r="M270">
        <v>0.11114018842096787</v>
      </c>
      <c r="N270" t="s">
        <v>20</v>
      </c>
      <c r="O270" t="s">
        <v>21</v>
      </c>
    </row>
    <row r="271" spans="1:15" x14ac:dyDescent="0.3">
      <c r="A271" t="s">
        <v>519</v>
      </c>
      <c r="B271" t="s">
        <v>24</v>
      </c>
      <c r="C271" s="51">
        <v>45586</v>
      </c>
      <c r="D271">
        <v>4275</v>
      </c>
      <c r="E271">
        <v>680</v>
      </c>
      <c r="F271">
        <v>385</v>
      </c>
      <c r="G271">
        <v>64125</v>
      </c>
      <c r="H271">
        <v>63650</v>
      </c>
      <c r="I271">
        <v>104</v>
      </c>
      <c r="J271" t="s">
        <v>34</v>
      </c>
      <c r="K271" t="s">
        <v>35</v>
      </c>
      <c r="L271">
        <v>5444</v>
      </c>
      <c r="M271">
        <v>8.3274853801169585E-2</v>
      </c>
      <c r="N271" t="s">
        <v>70</v>
      </c>
      <c r="O271" t="s">
        <v>211</v>
      </c>
    </row>
    <row r="272" spans="1:15" x14ac:dyDescent="0.3">
      <c r="A272" t="s">
        <v>519</v>
      </c>
      <c r="B272" t="s">
        <v>24</v>
      </c>
      <c r="C272" s="51">
        <v>45586</v>
      </c>
      <c r="D272">
        <v>4275</v>
      </c>
      <c r="E272">
        <v>680</v>
      </c>
      <c r="F272">
        <v>385</v>
      </c>
      <c r="G272">
        <v>64125</v>
      </c>
      <c r="H272">
        <v>63650</v>
      </c>
      <c r="I272">
        <v>104</v>
      </c>
      <c r="J272" t="s">
        <v>27</v>
      </c>
      <c r="K272" t="s">
        <v>35</v>
      </c>
      <c r="L272">
        <v>5444</v>
      </c>
      <c r="M272">
        <v>8.3274853801169585E-2</v>
      </c>
      <c r="N272" t="s">
        <v>70</v>
      </c>
      <c r="O272" t="s">
        <v>211</v>
      </c>
    </row>
    <row r="273" spans="1:15" x14ac:dyDescent="0.3">
      <c r="A273" t="s">
        <v>519</v>
      </c>
      <c r="B273" t="s">
        <v>24</v>
      </c>
      <c r="C273" s="51">
        <v>45586</v>
      </c>
      <c r="D273">
        <v>4275</v>
      </c>
      <c r="E273">
        <v>680</v>
      </c>
      <c r="F273">
        <v>385</v>
      </c>
      <c r="G273">
        <v>64125</v>
      </c>
      <c r="H273">
        <v>63650</v>
      </c>
      <c r="I273">
        <v>104</v>
      </c>
      <c r="J273" t="s">
        <v>551</v>
      </c>
      <c r="K273" t="s">
        <v>35</v>
      </c>
      <c r="L273">
        <v>5444</v>
      </c>
      <c r="M273">
        <v>8.3274853801169585E-2</v>
      </c>
      <c r="N273" t="s">
        <v>70</v>
      </c>
      <c r="O273" t="s">
        <v>211</v>
      </c>
    </row>
    <row r="274" spans="1:15" x14ac:dyDescent="0.3">
      <c r="A274" t="s">
        <v>526</v>
      </c>
      <c r="B274" t="s">
        <v>13</v>
      </c>
      <c r="C274" s="51">
        <v>45552</v>
      </c>
      <c r="D274">
        <v>571</v>
      </c>
      <c r="E274">
        <v>190</v>
      </c>
      <c r="F274">
        <v>352</v>
      </c>
      <c r="G274">
        <v>9707</v>
      </c>
      <c r="H274">
        <v>9418</v>
      </c>
      <c r="I274">
        <v>231</v>
      </c>
      <c r="J274" t="s">
        <v>27</v>
      </c>
      <c r="K274" t="s">
        <v>35</v>
      </c>
      <c r="L274">
        <v>1344</v>
      </c>
      <c r="M274">
        <v>0.11465952405480581</v>
      </c>
      <c r="N274" t="s">
        <v>20</v>
      </c>
      <c r="O274" t="s">
        <v>21</v>
      </c>
    </row>
    <row r="275" spans="1:15" x14ac:dyDescent="0.3">
      <c r="A275" t="s">
        <v>482</v>
      </c>
      <c r="B275" t="s">
        <v>39</v>
      </c>
      <c r="C275" s="51">
        <v>45750</v>
      </c>
      <c r="D275">
        <v>3767</v>
      </c>
      <c r="E275">
        <v>514</v>
      </c>
      <c r="F275">
        <v>238</v>
      </c>
      <c r="G275">
        <v>37670</v>
      </c>
      <c r="H275">
        <v>36807</v>
      </c>
      <c r="I275">
        <v>226</v>
      </c>
      <c r="J275" t="s">
        <v>58</v>
      </c>
      <c r="K275" t="s">
        <v>35</v>
      </c>
      <c r="L275">
        <v>4745</v>
      </c>
      <c r="M275">
        <v>0.11996283514733209</v>
      </c>
      <c r="N275" t="s">
        <v>32</v>
      </c>
      <c r="O275" t="s">
        <v>67</v>
      </c>
    </row>
    <row r="276" spans="1:15" x14ac:dyDescent="0.3">
      <c r="A276" t="s">
        <v>536</v>
      </c>
      <c r="B276" t="s">
        <v>39</v>
      </c>
      <c r="C276" s="51">
        <v>45602</v>
      </c>
      <c r="D276">
        <v>4663</v>
      </c>
      <c r="E276">
        <v>145</v>
      </c>
      <c r="F276">
        <v>225</v>
      </c>
      <c r="G276">
        <v>69945</v>
      </c>
      <c r="H276">
        <v>69596</v>
      </c>
      <c r="I276">
        <v>35</v>
      </c>
      <c r="J276" t="s">
        <v>34</v>
      </c>
      <c r="K276" t="s">
        <v>35</v>
      </c>
      <c r="L276">
        <v>5068</v>
      </c>
      <c r="M276">
        <v>7.1956537279290869E-2</v>
      </c>
      <c r="N276" t="s">
        <v>70</v>
      </c>
      <c r="O276" t="s">
        <v>71</v>
      </c>
    </row>
    <row r="277" spans="1:15" x14ac:dyDescent="0.3">
      <c r="A277" t="s">
        <v>544</v>
      </c>
      <c r="B277" t="s">
        <v>13</v>
      </c>
      <c r="C277" s="51">
        <v>45699</v>
      </c>
      <c r="D277">
        <v>3440</v>
      </c>
      <c r="E277">
        <v>13</v>
      </c>
      <c r="F277">
        <v>20</v>
      </c>
      <c r="G277">
        <v>58480</v>
      </c>
      <c r="H277">
        <v>58146</v>
      </c>
      <c r="I277">
        <v>210</v>
      </c>
      <c r="J277" t="s">
        <v>27</v>
      </c>
      <c r="K277" t="s">
        <v>35</v>
      </c>
      <c r="L277">
        <v>3683</v>
      </c>
      <c r="M277">
        <v>5.9387824897400819E-2</v>
      </c>
      <c r="N277" t="s">
        <v>70</v>
      </c>
      <c r="O277" t="s">
        <v>140</v>
      </c>
    </row>
    <row r="278" spans="1:15" x14ac:dyDescent="0.3">
      <c r="A278" t="s">
        <v>544</v>
      </c>
      <c r="B278" t="s">
        <v>13</v>
      </c>
      <c r="C278" s="51">
        <v>45699</v>
      </c>
      <c r="D278">
        <v>3440</v>
      </c>
      <c r="E278">
        <v>13</v>
      </c>
      <c r="F278">
        <v>20</v>
      </c>
      <c r="G278">
        <v>58480</v>
      </c>
      <c r="H278">
        <v>58146</v>
      </c>
      <c r="I278">
        <v>210</v>
      </c>
      <c r="J278" t="s">
        <v>552</v>
      </c>
      <c r="K278" t="s">
        <v>35</v>
      </c>
      <c r="L278">
        <v>3683</v>
      </c>
      <c r="M278">
        <v>5.9387824897400819E-2</v>
      </c>
      <c r="N278" t="s">
        <v>70</v>
      </c>
      <c r="O278" t="s">
        <v>140</v>
      </c>
    </row>
    <row r="279" spans="1:15" x14ac:dyDescent="0.3">
      <c r="A279" t="s">
        <v>546</v>
      </c>
      <c r="B279" t="s">
        <v>13</v>
      </c>
      <c r="C279" s="51">
        <v>45650</v>
      </c>
      <c r="D279">
        <v>2166</v>
      </c>
      <c r="E279">
        <v>354</v>
      </c>
      <c r="F279">
        <v>117</v>
      </c>
      <c r="G279">
        <v>10830</v>
      </c>
      <c r="H279">
        <v>10245</v>
      </c>
      <c r="I279">
        <v>24</v>
      </c>
      <c r="J279" t="s">
        <v>34</v>
      </c>
      <c r="K279" t="s">
        <v>35</v>
      </c>
      <c r="L279">
        <v>2661</v>
      </c>
      <c r="M279">
        <v>0.24349030470914126</v>
      </c>
      <c r="N279" t="s">
        <v>20</v>
      </c>
      <c r="O279" t="s">
        <v>21</v>
      </c>
    </row>
    <row r="280" spans="1:15" x14ac:dyDescent="0.3">
      <c r="A280" t="s">
        <v>65</v>
      </c>
      <c r="B280" t="s">
        <v>39</v>
      </c>
      <c r="C280" s="51">
        <v>45704</v>
      </c>
      <c r="D280">
        <v>4242</v>
      </c>
      <c r="E280">
        <v>555</v>
      </c>
      <c r="F280">
        <v>131</v>
      </c>
      <c r="G280">
        <v>33936</v>
      </c>
      <c r="H280">
        <v>33802</v>
      </c>
      <c r="I280">
        <v>265</v>
      </c>
      <c r="J280" t="s">
        <v>58</v>
      </c>
      <c r="L280">
        <v>5193</v>
      </c>
      <c r="M280">
        <v>0.14521452145214522</v>
      </c>
      <c r="N280" t="s">
        <v>32</v>
      </c>
      <c r="O280" t="s">
        <v>67</v>
      </c>
    </row>
    <row r="281" spans="1:15" x14ac:dyDescent="0.3">
      <c r="A281" t="s">
        <v>93</v>
      </c>
      <c r="B281" t="s">
        <v>13</v>
      </c>
      <c r="C281" s="51">
        <v>45757</v>
      </c>
      <c r="D281">
        <v>3128</v>
      </c>
      <c r="E281">
        <v>211</v>
      </c>
      <c r="F281">
        <v>197</v>
      </c>
      <c r="G281">
        <v>59432</v>
      </c>
      <c r="H281">
        <v>59182</v>
      </c>
      <c r="I281">
        <v>238</v>
      </c>
      <c r="J281" t="s">
        <v>34</v>
      </c>
      <c r="L281">
        <v>3774</v>
      </c>
      <c r="M281">
        <v>5.9496567505720827E-2</v>
      </c>
      <c r="N281" t="s">
        <v>41</v>
      </c>
      <c r="O281" t="s">
        <v>45</v>
      </c>
    </row>
    <row r="282" spans="1:15" x14ac:dyDescent="0.3">
      <c r="A282" t="s">
        <v>104</v>
      </c>
      <c r="B282" t="s">
        <v>30</v>
      </c>
      <c r="C282" s="51">
        <v>45713</v>
      </c>
      <c r="D282">
        <v>3095</v>
      </c>
      <c r="E282">
        <v>39</v>
      </c>
      <c r="F282">
        <v>78</v>
      </c>
      <c r="G282">
        <v>55710</v>
      </c>
      <c r="H282">
        <v>54808</v>
      </c>
      <c r="I282">
        <v>93</v>
      </c>
      <c r="J282" t="s">
        <v>34</v>
      </c>
      <c r="L282">
        <v>3305</v>
      </c>
      <c r="M282">
        <v>5.7655717106444085E-2</v>
      </c>
      <c r="N282" t="s">
        <v>70</v>
      </c>
      <c r="O282" t="s">
        <v>81</v>
      </c>
    </row>
    <row r="283" spans="1:15" x14ac:dyDescent="0.3">
      <c r="A283" t="s">
        <v>123</v>
      </c>
      <c r="B283" t="s">
        <v>39</v>
      </c>
      <c r="C283" s="51">
        <v>45621</v>
      </c>
      <c r="D283">
        <v>3564</v>
      </c>
      <c r="E283">
        <v>629</v>
      </c>
      <c r="F283">
        <v>177</v>
      </c>
      <c r="G283">
        <v>60588</v>
      </c>
      <c r="H283">
        <v>59627</v>
      </c>
      <c r="I283">
        <v>92</v>
      </c>
      <c r="J283" t="s">
        <v>27</v>
      </c>
      <c r="L283">
        <v>4462</v>
      </c>
      <c r="M283">
        <v>7.2126493695121141E-2</v>
      </c>
      <c r="N283" t="s">
        <v>48</v>
      </c>
      <c r="O283" t="s">
        <v>55</v>
      </c>
    </row>
    <row r="284" spans="1:15" x14ac:dyDescent="0.3">
      <c r="A284" t="s">
        <v>130</v>
      </c>
      <c r="B284" t="s">
        <v>24</v>
      </c>
      <c r="C284" s="51">
        <v>45721</v>
      </c>
      <c r="D284">
        <v>1543</v>
      </c>
      <c r="E284">
        <v>820</v>
      </c>
      <c r="F284">
        <v>333</v>
      </c>
      <c r="G284">
        <v>12344</v>
      </c>
      <c r="H284">
        <v>11496</v>
      </c>
      <c r="I284">
        <v>241</v>
      </c>
      <c r="J284" t="s">
        <v>34</v>
      </c>
      <c r="L284">
        <v>2937</v>
      </c>
      <c r="M284">
        <v>0.21840570317563188</v>
      </c>
      <c r="N284" t="s">
        <v>15</v>
      </c>
      <c r="O284" t="s">
        <v>26</v>
      </c>
    </row>
    <row r="285" spans="1:15" x14ac:dyDescent="0.3">
      <c r="A285" t="s">
        <v>134</v>
      </c>
      <c r="B285" t="s">
        <v>13</v>
      </c>
      <c r="C285" s="51">
        <v>45718</v>
      </c>
      <c r="D285">
        <v>2358</v>
      </c>
      <c r="E285">
        <v>784</v>
      </c>
      <c r="F285">
        <v>344</v>
      </c>
      <c r="G285">
        <v>35370</v>
      </c>
      <c r="H285">
        <v>34475</v>
      </c>
      <c r="I285">
        <v>216</v>
      </c>
      <c r="J285" t="s">
        <v>27</v>
      </c>
      <c r="L285">
        <v>3702</v>
      </c>
      <c r="M285">
        <v>9.8558100084817649E-2</v>
      </c>
      <c r="N285" t="s">
        <v>48</v>
      </c>
      <c r="O285" t="s">
        <v>127</v>
      </c>
    </row>
    <row r="286" spans="1:15" x14ac:dyDescent="0.3">
      <c r="A286" t="s">
        <v>141</v>
      </c>
      <c r="B286" t="s">
        <v>13</v>
      </c>
      <c r="C286" s="51">
        <v>45712</v>
      </c>
      <c r="D286">
        <v>2704</v>
      </c>
      <c r="E286">
        <v>752</v>
      </c>
      <c r="F286">
        <v>153</v>
      </c>
      <c r="G286">
        <v>21632</v>
      </c>
      <c r="H286">
        <v>20792</v>
      </c>
      <c r="I286">
        <v>127</v>
      </c>
      <c r="J286" t="s">
        <v>58</v>
      </c>
      <c r="L286">
        <v>3736</v>
      </c>
      <c r="M286">
        <v>0.16683616863905326</v>
      </c>
      <c r="N286" t="s">
        <v>41</v>
      </c>
      <c r="O286" t="s">
        <v>45</v>
      </c>
    </row>
    <row r="287" spans="1:15" x14ac:dyDescent="0.3">
      <c r="A287" t="s">
        <v>143</v>
      </c>
      <c r="B287" t="s">
        <v>13</v>
      </c>
      <c r="C287" s="51">
        <v>45727</v>
      </c>
      <c r="D287">
        <v>1950</v>
      </c>
      <c r="E287">
        <v>295</v>
      </c>
      <c r="F287">
        <v>478</v>
      </c>
      <c r="G287">
        <v>37050</v>
      </c>
      <c r="H287">
        <v>36272</v>
      </c>
      <c r="I287">
        <v>119</v>
      </c>
      <c r="J287" t="s">
        <v>27</v>
      </c>
      <c r="L287">
        <v>2842</v>
      </c>
      <c r="M287">
        <v>7.349527665317139E-2</v>
      </c>
      <c r="N287" t="s">
        <v>32</v>
      </c>
      <c r="O287" t="s">
        <v>144</v>
      </c>
    </row>
    <row r="288" spans="1:15" x14ac:dyDescent="0.3">
      <c r="A288" t="s">
        <v>154</v>
      </c>
      <c r="B288" t="s">
        <v>24</v>
      </c>
      <c r="C288" s="51">
        <v>45712</v>
      </c>
      <c r="D288">
        <v>804</v>
      </c>
      <c r="E288">
        <v>639</v>
      </c>
      <c r="F288">
        <v>43</v>
      </c>
      <c r="G288">
        <v>4020</v>
      </c>
      <c r="H288">
        <v>3144</v>
      </c>
      <c r="I288">
        <v>11</v>
      </c>
      <c r="J288" t="s">
        <v>34</v>
      </c>
      <c r="L288">
        <v>1497</v>
      </c>
      <c r="M288">
        <v>0.36965174129353234</v>
      </c>
      <c r="N288" t="s">
        <v>41</v>
      </c>
      <c r="O288" t="s">
        <v>64</v>
      </c>
    </row>
    <row r="289" spans="1:15" x14ac:dyDescent="0.3">
      <c r="A289" t="s">
        <v>154</v>
      </c>
      <c r="B289" t="s">
        <v>24</v>
      </c>
      <c r="C289" s="51">
        <v>45712</v>
      </c>
      <c r="D289">
        <v>804</v>
      </c>
      <c r="E289">
        <v>639</v>
      </c>
      <c r="F289">
        <v>43</v>
      </c>
      <c r="G289">
        <v>4020</v>
      </c>
      <c r="H289">
        <v>3144</v>
      </c>
      <c r="I289">
        <v>11</v>
      </c>
      <c r="J289" t="s">
        <v>553</v>
      </c>
      <c r="L289">
        <v>1497</v>
      </c>
      <c r="M289">
        <v>0.36965174129353234</v>
      </c>
      <c r="N289" t="s">
        <v>41</v>
      </c>
      <c r="O289" t="s">
        <v>64</v>
      </c>
    </row>
    <row r="290" spans="1:15" x14ac:dyDescent="0.3">
      <c r="A290" t="s">
        <v>165</v>
      </c>
      <c r="B290" t="s">
        <v>30</v>
      </c>
      <c r="C290" s="51">
        <v>45465</v>
      </c>
      <c r="D290">
        <v>2180</v>
      </c>
      <c r="E290">
        <v>263</v>
      </c>
      <c r="F290">
        <v>387</v>
      </c>
      <c r="G290">
        <v>30520</v>
      </c>
      <c r="H290">
        <v>30059</v>
      </c>
      <c r="I290">
        <v>174</v>
      </c>
      <c r="J290" t="s">
        <v>34</v>
      </c>
      <c r="L290">
        <v>3004</v>
      </c>
      <c r="M290">
        <v>9.2726081258191345E-2</v>
      </c>
      <c r="N290" t="s">
        <v>20</v>
      </c>
      <c r="O290" t="s">
        <v>108</v>
      </c>
    </row>
    <row r="291" spans="1:15" x14ac:dyDescent="0.3">
      <c r="A291" t="s">
        <v>176</v>
      </c>
      <c r="B291" t="s">
        <v>30</v>
      </c>
      <c r="C291" s="51">
        <v>45744</v>
      </c>
      <c r="D291">
        <v>1881</v>
      </c>
      <c r="E291">
        <v>501</v>
      </c>
      <c r="F291">
        <v>99</v>
      </c>
      <c r="G291">
        <v>20691</v>
      </c>
      <c r="H291">
        <v>19987</v>
      </c>
      <c r="I291">
        <v>289</v>
      </c>
      <c r="J291" t="s">
        <v>34</v>
      </c>
      <c r="L291">
        <v>2770</v>
      </c>
      <c r="M291">
        <v>0.11990720603160794</v>
      </c>
      <c r="N291" t="s">
        <v>32</v>
      </c>
      <c r="O291" t="s">
        <v>33</v>
      </c>
    </row>
    <row r="292" spans="1:15" x14ac:dyDescent="0.3">
      <c r="A292" t="s">
        <v>182</v>
      </c>
      <c r="B292" t="s">
        <v>30</v>
      </c>
      <c r="C292" s="51">
        <v>45634</v>
      </c>
      <c r="D292">
        <v>2610</v>
      </c>
      <c r="E292">
        <v>126</v>
      </c>
      <c r="F292">
        <v>288</v>
      </c>
      <c r="G292">
        <v>15660</v>
      </c>
      <c r="H292">
        <v>15145</v>
      </c>
      <c r="I292">
        <v>73</v>
      </c>
      <c r="J292" t="s">
        <v>34</v>
      </c>
      <c r="L292">
        <v>3097</v>
      </c>
      <c r="M292">
        <v>0.19310344827586207</v>
      </c>
      <c r="N292" t="s">
        <v>32</v>
      </c>
      <c r="O292" t="s">
        <v>33</v>
      </c>
    </row>
    <row r="293" spans="1:15" x14ac:dyDescent="0.3">
      <c r="A293" t="s">
        <v>185</v>
      </c>
      <c r="B293" t="s">
        <v>39</v>
      </c>
      <c r="C293" s="51">
        <v>45749</v>
      </c>
      <c r="D293">
        <v>199</v>
      </c>
      <c r="E293">
        <v>772</v>
      </c>
      <c r="F293">
        <v>400</v>
      </c>
      <c r="G293">
        <v>3582</v>
      </c>
      <c r="H293">
        <v>2988</v>
      </c>
      <c r="I293">
        <v>43</v>
      </c>
      <c r="J293" t="s">
        <v>27</v>
      </c>
      <c r="L293">
        <v>1414</v>
      </c>
      <c r="M293">
        <v>0.38274706867671693</v>
      </c>
      <c r="N293" t="s">
        <v>70</v>
      </c>
      <c r="O293" t="s">
        <v>71</v>
      </c>
    </row>
    <row r="294" spans="1:15" x14ac:dyDescent="0.3">
      <c r="A294" t="s">
        <v>199</v>
      </c>
      <c r="B294" t="s">
        <v>39</v>
      </c>
      <c r="C294" s="51">
        <v>45720</v>
      </c>
      <c r="D294">
        <v>1249</v>
      </c>
      <c r="E294">
        <v>116</v>
      </c>
      <c r="F294">
        <v>420</v>
      </c>
      <c r="G294">
        <v>8743</v>
      </c>
      <c r="H294">
        <v>8538</v>
      </c>
      <c r="I294">
        <v>63</v>
      </c>
      <c r="J294" t="s">
        <v>27</v>
      </c>
      <c r="L294">
        <v>1848</v>
      </c>
      <c r="M294">
        <v>0.20416333066453163</v>
      </c>
      <c r="N294" t="s">
        <v>32</v>
      </c>
      <c r="O294" t="s">
        <v>67</v>
      </c>
    </row>
    <row r="295" spans="1:15" x14ac:dyDescent="0.3">
      <c r="A295" t="s">
        <v>203</v>
      </c>
      <c r="B295" t="s">
        <v>30</v>
      </c>
      <c r="C295" s="51">
        <v>45456</v>
      </c>
      <c r="D295">
        <v>2103</v>
      </c>
      <c r="E295">
        <v>892</v>
      </c>
      <c r="F295">
        <v>103</v>
      </c>
      <c r="G295">
        <v>39957</v>
      </c>
      <c r="H295">
        <v>39466</v>
      </c>
      <c r="I295">
        <v>28</v>
      </c>
      <c r="J295" t="s">
        <v>58</v>
      </c>
      <c r="L295">
        <v>3126</v>
      </c>
      <c r="M295">
        <v>7.7533348349475686E-2</v>
      </c>
      <c r="N295" t="s">
        <v>32</v>
      </c>
      <c r="O295" t="s">
        <v>33</v>
      </c>
    </row>
    <row r="296" spans="1:15" x14ac:dyDescent="0.3">
      <c r="A296" t="s">
        <v>209</v>
      </c>
      <c r="B296" t="s">
        <v>24</v>
      </c>
      <c r="C296" s="51">
        <v>45580</v>
      </c>
      <c r="D296">
        <v>1094</v>
      </c>
      <c r="E296">
        <v>472</v>
      </c>
      <c r="F296">
        <v>21</v>
      </c>
      <c r="G296">
        <v>9846</v>
      </c>
      <c r="H296">
        <v>9609</v>
      </c>
      <c r="I296">
        <v>112</v>
      </c>
      <c r="J296" t="s">
        <v>34</v>
      </c>
      <c r="L296">
        <v>1699</v>
      </c>
      <c r="M296">
        <v>0.16118220597196831</v>
      </c>
      <c r="N296" t="s">
        <v>70</v>
      </c>
      <c r="O296" t="s">
        <v>211</v>
      </c>
    </row>
    <row r="297" spans="1:15" x14ac:dyDescent="0.3">
      <c r="A297" t="s">
        <v>221</v>
      </c>
      <c r="B297" t="s">
        <v>13</v>
      </c>
      <c r="C297" s="51">
        <v>45667</v>
      </c>
      <c r="D297">
        <v>2214</v>
      </c>
      <c r="E297">
        <v>249</v>
      </c>
      <c r="F297">
        <v>152</v>
      </c>
      <c r="G297">
        <v>15498</v>
      </c>
      <c r="H297">
        <v>14800</v>
      </c>
      <c r="I297">
        <v>180</v>
      </c>
      <c r="J297" t="s">
        <v>34</v>
      </c>
      <c r="L297">
        <v>2795</v>
      </c>
      <c r="M297">
        <v>0.16873144921925409</v>
      </c>
      <c r="N297" t="s">
        <v>48</v>
      </c>
      <c r="O297" t="s">
        <v>127</v>
      </c>
    </row>
    <row r="298" spans="1:15" x14ac:dyDescent="0.3">
      <c r="A298" t="s">
        <v>233</v>
      </c>
      <c r="B298" t="s">
        <v>13</v>
      </c>
      <c r="C298" s="51">
        <v>45545</v>
      </c>
      <c r="D298">
        <v>1238</v>
      </c>
      <c r="E298">
        <v>366</v>
      </c>
      <c r="F298">
        <v>444</v>
      </c>
      <c r="G298">
        <v>19808</v>
      </c>
      <c r="H298">
        <v>19334</v>
      </c>
      <c r="I298">
        <v>123</v>
      </c>
      <c r="J298" t="s">
        <v>58</v>
      </c>
      <c r="L298">
        <v>2171</v>
      </c>
      <c r="M298">
        <v>0.10339256865912763</v>
      </c>
      <c r="N298" t="s">
        <v>48</v>
      </c>
      <c r="O298" t="s">
        <v>127</v>
      </c>
    </row>
    <row r="299" spans="1:15" x14ac:dyDescent="0.3">
      <c r="A299" t="s">
        <v>240</v>
      </c>
      <c r="B299" t="s">
        <v>24</v>
      </c>
      <c r="C299" s="51">
        <v>45698</v>
      </c>
      <c r="D299">
        <v>1766</v>
      </c>
      <c r="E299">
        <v>92</v>
      </c>
      <c r="F299">
        <v>424</v>
      </c>
      <c r="G299">
        <v>24724</v>
      </c>
      <c r="H299">
        <v>24333</v>
      </c>
      <c r="I299">
        <v>52</v>
      </c>
      <c r="J299" t="s">
        <v>34</v>
      </c>
      <c r="L299">
        <v>2334</v>
      </c>
      <c r="M299">
        <v>9.2298980747451867E-2</v>
      </c>
      <c r="N299" t="s">
        <v>70</v>
      </c>
      <c r="O299" t="s">
        <v>211</v>
      </c>
    </row>
    <row r="300" spans="1:15" x14ac:dyDescent="0.3">
      <c r="A300" t="s">
        <v>253</v>
      </c>
      <c r="B300" t="s">
        <v>24</v>
      </c>
      <c r="C300" s="51">
        <v>45464</v>
      </c>
      <c r="D300">
        <v>4832</v>
      </c>
      <c r="E300">
        <v>893</v>
      </c>
      <c r="F300">
        <v>10</v>
      </c>
      <c r="G300">
        <v>91808</v>
      </c>
      <c r="H300">
        <v>91296</v>
      </c>
      <c r="I300">
        <v>182</v>
      </c>
      <c r="J300" t="s">
        <v>27</v>
      </c>
      <c r="L300">
        <v>5917</v>
      </c>
      <c r="M300">
        <v>6.2467323109097243E-2</v>
      </c>
      <c r="N300" t="s">
        <v>48</v>
      </c>
      <c r="O300" t="s">
        <v>49</v>
      </c>
    </row>
    <row r="301" spans="1:15" x14ac:dyDescent="0.3">
      <c r="A301" t="s">
        <v>271</v>
      </c>
      <c r="B301" t="s">
        <v>24</v>
      </c>
      <c r="C301" s="51">
        <v>45734</v>
      </c>
      <c r="D301">
        <v>3704</v>
      </c>
      <c r="E301">
        <v>186</v>
      </c>
      <c r="F301">
        <v>458</v>
      </c>
      <c r="G301">
        <v>25928</v>
      </c>
      <c r="H301">
        <v>25081</v>
      </c>
      <c r="I301">
        <v>131</v>
      </c>
      <c r="J301" t="s">
        <v>27</v>
      </c>
      <c r="L301">
        <v>4479</v>
      </c>
      <c r="M301">
        <v>0.16769515581610614</v>
      </c>
      <c r="N301" t="s">
        <v>15</v>
      </c>
      <c r="O301" t="s">
        <v>26</v>
      </c>
    </row>
    <row r="302" spans="1:15" x14ac:dyDescent="0.3">
      <c r="A302" t="s">
        <v>276</v>
      </c>
      <c r="B302" t="s">
        <v>30</v>
      </c>
      <c r="C302" s="51">
        <v>45695</v>
      </c>
      <c r="D302">
        <v>1970</v>
      </c>
      <c r="E302">
        <v>675</v>
      </c>
      <c r="F302">
        <v>478</v>
      </c>
      <c r="G302">
        <v>9850</v>
      </c>
      <c r="H302">
        <v>8924</v>
      </c>
      <c r="I302">
        <v>117</v>
      </c>
      <c r="J302" t="s">
        <v>58</v>
      </c>
      <c r="L302">
        <v>3240</v>
      </c>
      <c r="M302">
        <v>0.31705583756345179</v>
      </c>
      <c r="N302" t="s">
        <v>15</v>
      </c>
      <c r="O302" t="s">
        <v>78</v>
      </c>
    </row>
    <row r="303" spans="1:15" x14ac:dyDescent="0.3">
      <c r="A303" t="s">
        <v>279</v>
      </c>
      <c r="B303" t="s">
        <v>30</v>
      </c>
      <c r="C303" s="51">
        <v>45502</v>
      </c>
      <c r="D303">
        <v>498</v>
      </c>
      <c r="E303">
        <v>701</v>
      </c>
      <c r="F303">
        <v>412</v>
      </c>
      <c r="G303">
        <v>4980</v>
      </c>
      <c r="H303">
        <v>4185</v>
      </c>
      <c r="I303">
        <v>185</v>
      </c>
      <c r="J303" t="s">
        <v>58</v>
      </c>
      <c r="L303">
        <v>1796</v>
      </c>
      <c r="M303">
        <v>0.32349397590361445</v>
      </c>
      <c r="N303" t="s">
        <v>32</v>
      </c>
      <c r="O303" t="s">
        <v>33</v>
      </c>
    </row>
    <row r="304" spans="1:15" x14ac:dyDescent="0.3">
      <c r="A304" t="s">
        <v>286</v>
      </c>
      <c r="B304" t="s">
        <v>30</v>
      </c>
      <c r="C304" s="51">
        <v>45744</v>
      </c>
      <c r="D304">
        <v>4158</v>
      </c>
      <c r="E304">
        <v>167</v>
      </c>
      <c r="F304">
        <v>241</v>
      </c>
      <c r="G304">
        <v>45738</v>
      </c>
      <c r="H304">
        <v>45183</v>
      </c>
      <c r="I304">
        <v>142</v>
      </c>
      <c r="J304" t="s">
        <v>58</v>
      </c>
      <c r="L304">
        <v>4708</v>
      </c>
      <c r="M304">
        <v>9.9829463465827106E-2</v>
      </c>
      <c r="N304" t="s">
        <v>41</v>
      </c>
      <c r="O304" t="s">
        <v>84</v>
      </c>
    </row>
    <row r="305" spans="1:15" x14ac:dyDescent="0.3">
      <c r="A305" t="s">
        <v>288</v>
      </c>
      <c r="B305" t="s">
        <v>13</v>
      </c>
      <c r="C305" s="51">
        <v>45667</v>
      </c>
      <c r="D305">
        <v>3092</v>
      </c>
      <c r="E305">
        <v>106</v>
      </c>
      <c r="F305">
        <v>291</v>
      </c>
      <c r="G305">
        <v>27828</v>
      </c>
      <c r="H305">
        <v>27217</v>
      </c>
      <c r="I305">
        <v>102</v>
      </c>
      <c r="J305" t="s">
        <v>58</v>
      </c>
      <c r="L305">
        <v>3591</v>
      </c>
      <c r="M305">
        <v>0.12537731780940059</v>
      </c>
      <c r="N305" t="s">
        <v>48</v>
      </c>
      <c r="O305" t="s">
        <v>127</v>
      </c>
    </row>
    <row r="306" spans="1:15" x14ac:dyDescent="0.3">
      <c r="A306" t="s">
        <v>289</v>
      </c>
      <c r="B306" t="s">
        <v>13</v>
      </c>
      <c r="C306" s="51">
        <v>45494</v>
      </c>
      <c r="D306">
        <v>2147</v>
      </c>
      <c r="E306">
        <v>430</v>
      </c>
      <c r="F306">
        <v>393</v>
      </c>
      <c r="G306">
        <v>17176</v>
      </c>
      <c r="H306">
        <v>16483</v>
      </c>
      <c r="I306">
        <v>170</v>
      </c>
      <c r="J306" t="s">
        <v>27</v>
      </c>
      <c r="L306">
        <v>3140</v>
      </c>
      <c r="M306">
        <v>0.17291569632044715</v>
      </c>
      <c r="N306" t="s">
        <v>20</v>
      </c>
      <c r="O306" t="s">
        <v>21</v>
      </c>
    </row>
    <row r="307" spans="1:15" x14ac:dyDescent="0.3">
      <c r="A307" t="s">
        <v>302</v>
      </c>
      <c r="B307" t="s">
        <v>39</v>
      </c>
      <c r="C307" s="51">
        <v>45504</v>
      </c>
      <c r="D307">
        <v>3008</v>
      </c>
      <c r="E307">
        <v>94</v>
      </c>
      <c r="F307">
        <v>37</v>
      </c>
      <c r="G307">
        <v>15040</v>
      </c>
      <c r="H307">
        <v>14639</v>
      </c>
      <c r="I307">
        <v>277</v>
      </c>
      <c r="J307" t="s">
        <v>58</v>
      </c>
      <c r="L307">
        <v>3416</v>
      </c>
      <c r="M307">
        <v>0.20871010638297871</v>
      </c>
      <c r="N307" t="s">
        <v>70</v>
      </c>
      <c r="O307" t="s">
        <v>71</v>
      </c>
    </row>
    <row r="308" spans="1:15" x14ac:dyDescent="0.3">
      <c r="A308" t="s">
        <v>308</v>
      </c>
      <c r="B308" t="s">
        <v>13</v>
      </c>
      <c r="C308" s="51">
        <v>45535</v>
      </c>
      <c r="D308">
        <v>3170</v>
      </c>
      <c r="E308">
        <v>857</v>
      </c>
      <c r="F308">
        <v>379</v>
      </c>
      <c r="G308">
        <v>19020</v>
      </c>
      <c r="H308">
        <v>18559</v>
      </c>
      <c r="I308">
        <v>240</v>
      </c>
      <c r="J308" t="s">
        <v>58</v>
      </c>
      <c r="L308">
        <v>4646</v>
      </c>
      <c r="M308">
        <v>0.2316508937960042</v>
      </c>
      <c r="N308" t="s">
        <v>48</v>
      </c>
      <c r="O308" t="s">
        <v>127</v>
      </c>
    </row>
    <row r="309" spans="1:15" x14ac:dyDescent="0.3">
      <c r="A309" t="s">
        <v>314</v>
      </c>
      <c r="B309" t="s">
        <v>24</v>
      </c>
      <c r="C309" s="51">
        <v>45448</v>
      </c>
      <c r="D309">
        <v>3065</v>
      </c>
      <c r="E309">
        <v>772</v>
      </c>
      <c r="F309">
        <v>142</v>
      </c>
      <c r="G309">
        <v>18390</v>
      </c>
      <c r="H309">
        <v>17875</v>
      </c>
      <c r="I309">
        <v>200</v>
      </c>
      <c r="J309" t="s">
        <v>34</v>
      </c>
      <c r="L309">
        <v>4179</v>
      </c>
      <c r="M309">
        <v>0.21636759108210984</v>
      </c>
      <c r="N309" t="s">
        <v>15</v>
      </c>
      <c r="O309" t="s">
        <v>26</v>
      </c>
    </row>
    <row r="310" spans="1:15" x14ac:dyDescent="0.3">
      <c r="A310" t="s">
        <v>314</v>
      </c>
      <c r="B310" t="s">
        <v>24</v>
      </c>
      <c r="C310" s="51">
        <v>45448</v>
      </c>
      <c r="D310">
        <v>3065</v>
      </c>
      <c r="E310">
        <v>772</v>
      </c>
      <c r="F310">
        <v>142</v>
      </c>
      <c r="G310">
        <v>18390</v>
      </c>
      <c r="H310">
        <v>17875</v>
      </c>
      <c r="I310">
        <v>200</v>
      </c>
      <c r="J310" t="s">
        <v>551</v>
      </c>
      <c r="L310">
        <v>4179</v>
      </c>
      <c r="M310">
        <v>0.21636759108210984</v>
      </c>
      <c r="N310" t="s">
        <v>15</v>
      </c>
      <c r="O310" t="s">
        <v>26</v>
      </c>
    </row>
    <row r="311" spans="1:15" x14ac:dyDescent="0.3">
      <c r="A311" t="s">
        <v>337</v>
      </c>
      <c r="B311" t="s">
        <v>13</v>
      </c>
      <c r="C311" s="51">
        <v>45528</v>
      </c>
      <c r="D311">
        <v>1082</v>
      </c>
      <c r="E311">
        <v>209</v>
      </c>
      <c r="F311">
        <v>484</v>
      </c>
      <c r="G311">
        <v>19476</v>
      </c>
      <c r="H311">
        <v>18654</v>
      </c>
      <c r="I311">
        <v>20</v>
      </c>
      <c r="J311" t="s">
        <v>27</v>
      </c>
      <c r="L311">
        <v>1795</v>
      </c>
      <c r="M311">
        <v>9.1137810638734856E-2</v>
      </c>
      <c r="N311" t="s">
        <v>70</v>
      </c>
      <c r="O311" t="s">
        <v>140</v>
      </c>
    </row>
    <row r="312" spans="1:15" x14ac:dyDescent="0.3">
      <c r="A312" t="s">
        <v>341</v>
      </c>
      <c r="B312" t="s">
        <v>39</v>
      </c>
      <c r="C312" s="51">
        <v>45748</v>
      </c>
      <c r="D312">
        <v>3430</v>
      </c>
      <c r="E312">
        <v>566</v>
      </c>
      <c r="F312">
        <v>164</v>
      </c>
      <c r="G312">
        <v>48020</v>
      </c>
      <c r="H312">
        <v>47305</v>
      </c>
      <c r="I312">
        <v>120</v>
      </c>
      <c r="J312" t="s">
        <v>58</v>
      </c>
      <c r="L312">
        <v>4280</v>
      </c>
      <c r="M312">
        <v>8.6630570595585168E-2</v>
      </c>
      <c r="N312" t="s">
        <v>32</v>
      </c>
      <c r="O312" t="s">
        <v>67</v>
      </c>
    </row>
    <row r="313" spans="1:15" x14ac:dyDescent="0.3">
      <c r="A313" t="s">
        <v>348</v>
      </c>
      <c r="B313" t="s">
        <v>30</v>
      </c>
      <c r="C313" s="51">
        <v>45624</v>
      </c>
      <c r="D313">
        <v>4771</v>
      </c>
      <c r="E313">
        <v>818</v>
      </c>
      <c r="F313">
        <v>56</v>
      </c>
      <c r="G313">
        <v>57252</v>
      </c>
      <c r="H313">
        <v>56378</v>
      </c>
      <c r="I313">
        <v>150</v>
      </c>
      <c r="J313" t="s">
        <v>58</v>
      </c>
      <c r="L313">
        <v>5795</v>
      </c>
      <c r="M313">
        <v>9.859917557465242E-2</v>
      </c>
      <c r="N313" t="s">
        <v>20</v>
      </c>
      <c r="O313" t="s">
        <v>108</v>
      </c>
    </row>
    <row r="314" spans="1:15" x14ac:dyDescent="0.3">
      <c r="A314" t="s">
        <v>361</v>
      </c>
      <c r="B314" t="s">
        <v>39</v>
      </c>
      <c r="C314" s="51">
        <v>45465</v>
      </c>
      <c r="D314">
        <v>3828</v>
      </c>
      <c r="E314">
        <v>148</v>
      </c>
      <c r="F314">
        <v>253</v>
      </c>
      <c r="G314">
        <v>30624</v>
      </c>
      <c r="H314">
        <v>30229</v>
      </c>
      <c r="I314">
        <v>235</v>
      </c>
      <c r="J314" t="s">
        <v>34</v>
      </c>
      <c r="L314">
        <v>4464</v>
      </c>
      <c r="M314">
        <v>0.13809430512016718</v>
      </c>
      <c r="N314" t="s">
        <v>20</v>
      </c>
      <c r="O314" t="s">
        <v>52</v>
      </c>
    </row>
    <row r="315" spans="1:15" x14ac:dyDescent="0.3">
      <c r="A315" t="s">
        <v>369</v>
      </c>
      <c r="B315" t="s">
        <v>39</v>
      </c>
      <c r="C315" s="51">
        <v>45488</v>
      </c>
      <c r="D315">
        <v>3796</v>
      </c>
      <c r="E315">
        <v>667</v>
      </c>
      <c r="F315">
        <v>395</v>
      </c>
      <c r="G315">
        <v>64532</v>
      </c>
      <c r="H315">
        <v>63550</v>
      </c>
      <c r="I315">
        <v>292</v>
      </c>
      <c r="J315" t="s">
        <v>27</v>
      </c>
      <c r="L315">
        <v>5150</v>
      </c>
      <c r="M315">
        <v>7.5280481001673588E-2</v>
      </c>
      <c r="N315" t="s">
        <v>41</v>
      </c>
      <c r="O315" t="s">
        <v>42</v>
      </c>
    </row>
    <row r="316" spans="1:15" x14ac:dyDescent="0.3">
      <c r="A316" t="s">
        <v>378</v>
      </c>
      <c r="B316" t="s">
        <v>30</v>
      </c>
      <c r="C316" s="51">
        <v>45668</v>
      </c>
      <c r="D316">
        <v>4523</v>
      </c>
      <c r="E316">
        <v>61</v>
      </c>
      <c r="F316">
        <v>157</v>
      </c>
      <c r="G316">
        <v>49753</v>
      </c>
      <c r="H316">
        <v>49329</v>
      </c>
      <c r="I316">
        <v>71</v>
      </c>
      <c r="J316" t="s">
        <v>34</v>
      </c>
      <c r="L316">
        <v>4812</v>
      </c>
      <c r="M316">
        <v>9.5290736237010829E-2</v>
      </c>
      <c r="N316" t="s">
        <v>41</v>
      </c>
      <c r="O316" t="s">
        <v>84</v>
      </c>
    </row>
    <row r="317" spans="1:15" x14ac:dyDescent="0.3">
      <c r="A317" t="s">
        <v>385</v>
      </c>
      <c r="B317" t="s">
        <v>24</v>
      </c>
      <c r="C317" s="51">
        <v>45569</v>
      </c>
      <c r="D317">
        <v>1963</v>
      </c>
      <c r="E317">
        <v>213</v>
      </c>
      <c r="F317">
        <v>19</v>
      </c>
      <c r="G317">
        <v>39260</v>
      </c>
      <c r="H317">
        <v>38771</v>
      </c>
      <c r="I317">
        <v>145</v>
      </c>
      <c r="J317" t="s">
        <v>58</v>
      </c>
      <c r="L317">
        <v>2340</v>
      </c>
      <c r="M317">
        <v>5.5909322465613857E-2</v>
      </c>
      <c r="N317" t="s">
        <v>20</v>
      </c>
      <c r="O317" t="s">
        <v>99</v>
      </c>
    </row>
    <row r="318" spans="1:15" x14ac:dyDescent="0.3">
      <c r="A318" t="s">
        <v>388</v>
      </c>
      <c r="B318" t="s">
        <v>30</v>
      </c>
      <c r="C318" s="51">
        <v>45625</v>
      </c>
      <c r="D318">
        <v>1176</v>
      </c>
      <c r="E318">
        <v>464</v>
      </c>
      <c r="F318">
        <v>394</v>
      </c>
      <c r="G318">
        <v>14112</v>
      </c>
      <c r="H318">
        <v>13588</v>
      </c>
      <c r="I318">
        <v>272</v>
      </c>
      <c r="J318" t="s">
        <v>34</v>
      </c>
      <c r="L318">
        <v>2306</v>
      </c>
      <c r="M318">
        <v>0.1441326530612245</v>
      </c>
      <c r="N318" t="s">
        <v>70</v>
      </c>
      <c r="O318" t="s">
        <v>81</v>
      </c>
    </row>
    <row r="319" spans="1:15" x14ac:dyDescent="0.3">
      <c r="A319" t="s">
        <v>427</v>
      </c>
      <c r="B319" t="s">
        <v>39</v>
      </c>
      <c r="C319" s="51">
        <v>45629</v>
      </c>
      <c r="D319">
        <v>4606</v>
      </c>
      <c r="E319">
        <v>931</v>
      </c>
      <c r="F319">
        <v>230</v>
      </c>
      <c r="G319">
        <v>92120</v>
      </c>
      <c r="H319">
        <v>91440</v>
      </c>
      <c r="I319">
        <v>56</v>
      </c>
      <c r="J319" t="s">
        <v>27</v>
      </c>
      <c r="L319">
        <v>5823</v>
      </c>
      <c r="M319">
        <v>6.2603126356925748E-2</v>
      </c>
      <c r="N319" t="s">
        <v>48</v>
      </c>
      <c r="O319" t="s">
        <v>55</v>
      </c>
    </row>
    <row r="320" spans="1:15" x14ac:dyDescent="0.3">
      <c r="A320" t="s">
        <v>430</v>
      </c>
      <c r="B320" t="s">
        <v>30</v>
      </c>
      <c r="C320" s="51">
        <v>45445</v>
      </c>
      <c r="D320">
        <v>84</v>
      </c>
      <c r="E320">
        <v>897</v>
      </c>
      <c r="F320">
        <v>85</v>
      </c>
      <c r="G320">
        <v>588</v>
      </c>
      <c r="H320">
        <v>8</v>
      </c>
      <c r="I320">
        <v>12</v>
      </c>
      <c r="J320" t="s">
        <v>34</v>
      </c>
      <c r="L320">
        <v>1078</v>
      </c>
      <c r="M320">
        <v>1.8129251700680271</v>
      </c>
      <c r="N320" t="s">
        <v>32</v>
      </c>
      <c r="O320" t="s">
        <v>33</v>
      </c>
    </row>
    <row r="321" spans="1:15" x14ac:dyDescent="0.3">
      <c r="A321" t="s">
        <v>431</v>
      </c>
      <c r="B321" t="s">
        <v>39</v>
      </c>
      <c r="C321" s="51">
        <v>45739</v>
      </c>
      <c r="D321">
        <v>4453</v>
      </c>
      <c r="E321">
        <v>111</v>
      </c>
      <c r="F321">
        <v>420</v>
      </c>
      <c r="G321">
        <v>31171</v>
      </c>
      <c r="H321">
        <v>30565</v>
      </c>
      <c r="I321">
        <v>23</v>
      </c>
      <c r="J321" t="s">
        <v>27</v>
      </c>
      <c r="L321">
        <v>5007</v>
      </c>
      <c r="M321">
        <v>0.15989220750056141</v>
      </c>
      <c r="N321" t="s">
        <v>70</v>
      </c>
      <c r="O321" t="s">
        <v>71</v>
      </c>
    </row>
    <row r="322" spans="1:15" x14ac:dyDescent="0.3">
      <c r="A322" t="s">
        <v>434</v>
      </c>
      <c r="B322" t="s">
        <v>13</v>
      </c>
      <c r="C322" s="51">
        <v>45608</v>
      </c>
      <c r="D322">
        <v>3338</v>
      </c>
      <c r="E322">
        <v>277</v>
      </c>
      <c r="F322">
        <v>118</v>
      </c>
      <c r="G322">
        <v>60084</v>
      </c>
      <c r="H322">
        <v>59842</v>
      </c>
      <c r="I322">
        <v>252</v>
      </c>
      <c r="J322" t="s">
        <v>27</v>
      </c>
      <c r="L322">
        <v>3985</v>
      </c>
      <c r="M322">
        <v>6.2129685107516146E-2</v>
      </c>
      <c r="N322" t="s">
        <v>48</v>
      </c>
      <c r="O322" t="s">
        <v>127</v>
      </c>
    </row>
    <row r="323" spans="1:15" x14ac:dyDescent="0.3">
      <c r="A323" t="s">
        <v>437</v>
      </c>
      <c r="B323" t="s">
        <v>13</v>
      </c>
      <c r="C323" s="51">
        <v>45463</v>
      </c>
      <c r="D323">
        <v>4672</v>
      </c>
      <c r="E323">
        <v>325</v>
      </c>
      <c r="F323">
        <v>32</v>
      </c>
      <c r="G323">
        <v>88768</v>
      </c>
      <c r="H323">
        <v>87833</v>
      </c>
      <c r="I323">
        <v>118</v>
      </c>
      <c r="J323" t="s">
        <v>34</v>
      </c>
      <c r="L323">
        <v>5147</v>
      </c>
      <c r="M323">
        <v>5.6653298485940883E-2</v>
      </c>
      <c r="N323" t="s">
        <v>41</v>
      </c>
      <c r="O323" t="s">
        <v>45</v>
      </c>
    </row>
    <row r="324" spans="1:15" x14ac:dyDescent="0.3">
      <c r="A324" t="s">
        <v>438</v>
      </c>
      <c r="B324" t="s">
        <v>30</v>
      </c>
      <c r="C324" s="51">
        <v>45511</v>
      </c>
      <c r="D324">
        <v>1741</v>
      </c>
      <c r="E324">
        <v>164</v>
      </c>
      <c r="F324">
        <v>318</v>
      </c>
      <c r="G324">
        <v>8705</v>
      </c>
      <c r="H324">
        <v>8272</v>
      </c>
      <c r="I324">
        <v>121</v>
      </c>
      <c r="J324" t="s">
        <v>27</v>
      </c>
      <c r="L324">
        <v>2344</v>
      </c>
      <c r="M324">
        <v>0.25537047673750718</v>
      </c>
      <c r="N324" t="s">
        <v>41</v>
      </c>
      <c r="O324" t="s">
        <v>84</v>
      </c>
    </row>
    <row r="325" spans="1:15" x14ac:dyDescent="0.3">
      <c r="A325" t="s">
        <v>444</v>
      </c>
      <c r="B325" t="s">
        <v>30</v>
      </c>
      <c r="C325" s="51">
        <v>45476</v>
      </c>
      <c r="D325">
        <v>4799</v>
      </c>
      <c r="E325">
        <v>694</v>
      </c>
      <c r="F325">
        <v>289</v>
      </c>
      <c r="G325">
        <v>43191</v>
      </c>
      <c r="H325">
        <v>42228</v>
      </c>
      <c r="I325">
        <v>118</v>
      </c>
      <c r="J325" t="s">
        <v>27</v>
      </c>
      <c r="L325">
        <v>5900</v>
      </c>
      <c r="M325">
        <v>0.13387048227640017</v>
      </c>
      <c r="N325" t="s">
        <v>41</v>
      </c>
      <c r="O325" t="s">
        <v>84</v>
      </c>
    </row>
    <row r="326" spans="1:15" x14ac:dyDescent="0.3">
      <c r="A326" t="s">
        <v>450</v>
      </c>
      <c r="B326" t="s">
        <v>39</v>
      </c>
      <c r="C326" s="51">
        <v>45444</v>
      </c>
      <c r="D326">
        <v>1272</v>
      </c>
      <c r="E326">
        <v>465</v>
      </c>
      <c r="F326">
        <v>99</v>
      </c>
      <c r="G326">
        <v>24168</v>
      </c>
      <c r="H326">
        <v>23719</v>
      </c>
      <c r="I326">
        <v>42</v>
      </c>
      <c r="J326" t="s">
        <v>27</v>
      </c>
      <c r="L326">
        <v>1878</v>
      </c>
      <c r="M326">
        <v>7.5968222442899705E-2</v>
      </c>
      <c r="N326" t="s">
        <v>20</v>
      </c>
      <c r="O326" t="s">
        <v>52</v>
      </c>
    </row>
    <row r="327" spans="1:15" x14ac:dyDescent="0.3">
      <c r="A327" t="s">
        <v>457</v>
      </c>
      <c r="B327" t="s">
        <v>24</v>
      </c>
      <c r="C327" s="51">
        <v>45712</v>
      </c>
      <c r="D327">
        <v>4188</v>
      </c>
      <c r="E327">
        <v>942</v>
      </c>
      <c r="F327">
        <v>118</v>
      </c>
      <c r="G327">
        <v>20940</v>
      </c>
      <c r="H327">
        <v>20471</v>
      </c>
      <c r="I327">
        <v>102</v>
      </c>
      <c r="J327" t="s">
        <v>58</v>
      </c>
      <c r="L327">
        <v>5350</v>
      </c>
      <c r="M327">
        <v>0.25062082139446035</v>
      </c>
      <c r="N327" t="s">
        <v>20</v>
      </c>
      <c r="O327" t="s">
        <v>99</v>
      </c>
    </row>
    <row r="328" spans="1:15" x14ac:dyDescent="0.3">
      <c r="A328" t="s">
        <v>470</v>
      </c>
      <c r="B328" t="s">
        <v>39</v>
      </c>
      <c r="C328" s="51">
        <v>45531</v>
      </c>
      <c r="D328">
        <v>3960</v>
      </c>
      <c r="E328">
        <v>266</v>
      </c>
      <c r="F328">
        <v>8</v>
      </c>
      <c r="G328">
        <v>35640</v>
      </c>
      <c r="H328">
        <v>34850</v>
      </c>
      <c r="I328">
        <v>208</v>
      </c>
      <c r="J328" t="s">
        <v>58</v>
      </c>
      <c r="L328">
        <v>4442</v>
      </c>
      <c r="M328">
        <v>0.11879910213243547</v>
      </c>
      <c r="N328" t="s">
        <v>15</v>
      </c>
      <c r="O328" t="s">
        <v>61</v>
      </c>
    </row>
    <row r="329" spans="1:15" x14ac:dyDescent="0.3">
      <c r="A329" t="s">
        <v>470</v>
      </c>
      <c r="B329" t="s">
        <v>39</v>
      </c>
      <c r="C329" s="51">
        <v>45531</v>
      </c>
      <c r="D329">
        <v>3960</v>
      </c>
      <c r="E329">
        <v>266</v>
      </c>
      <c r="F329">
        <v>8</v>
      </c>
      <c r="G329">
        <v>35640</v>
      </c>
      <c r="H329">
        <v>34850</v>
      </c>
      <c r="I329">
        <v>208</v>
      </c>
      <c r="J329" t="s">
        <v>34</v>
      </c>
      <c r="L329">
        <v>4442</v>
      </c>
      <c r="M329">
        <v>0.11879910213243547</v>
      </c>
      <c r="N329" t="s">
        <v>15</v>
      </c>
      <c r="O329" t="s">
        <v>61</v>
      </c>
    </row>
    <row r="330" spans="1:15" x14ac:dyDescent="0.3">
      <c r="A330" t="s">
        <v>470</v>
      </c>
      <c r="B330" t="s">
        <v>39</v>
      </c>
      <c r="C330" s="51">
        <v>45531</v>
      </c>
      <c r="D330">
        <v>3960</v>
      </c>
      <c r="E330">
        <v>266</v>
      </c>
      <c r="F330">
        <v>8</v>
      </c>
      <c r="G330">
        <v>35640</v>
      </c>
      <c r="H330">
        <v>34850</v>
      </c>
      <c r="I330">
        <v>208</v>
      </c>
      <c r="J330" t="s">
        <v>553</v>
      </c>
      <c r="L330">
        <v>4442</v>
      </c>
      <c r="M330">
        <v>0.11879910213243547</v>
      </c>
      <c r="N330" t="s">
        <v>15</v>
      </c>
      <c r="O330" t="s">
        <v>61</v>
      </c>
    </row>
    <row r="331" spans="1:15" x14ac:dyDescent="0.3">
      <c r="A331" t="s">
        <v>472</v>
      </c>
      <c r="B331" t="s">
        <v>39</v>
      </c>
      <c r="C331" s="51">
        <v>45690</v>
      </c>
      <c r="D331">
        <v>886</v>
      </c>
      <c r="E331">
        <v>126</v>
      </c>
      <c r="F331">
        <v>153</v>
      </c>
      <c r="G331">
        <v>4430</v>
      </c>
      <c r="H331">
        <v>4037</v>
      </c>
      <c r="I331">
        <v>212</v>
      </c>
      <c r="J331" t="s">
        <v>34</v>
      </c>
      <c r="L331">
        <v>1377</v>
      </c>
      <c r="M331">
        <v>0.26297968397291194</v>
      </c>
      <c r="N331" t="s">
        <v>32</v>
      </c>
      <c r="O331" t="s">
        <v>67</v>
      </c>
    </row>
    <row r="332" spans="1:15" x14ac:dyDescent="0.3">
      <c r="A332" t="s">
        <v>474</v>
      </c>
      <c r="B332" t="s">
        <v>39</v>
      </c>
      <c r="C332" s="51">
        <v>45465</v>
      </c>
      <c r="D332">
        <v>3813</v>
      </c>
      <c r="E332">
        <v>935</v>
      </c>
      <c r="F332">
        <v>274</v>
      </c>
      <c r="G332">
        <v>68634</v>
      </c>
      <c r="H332">
        <v>68488</v>
      </c>
      <c r="I332">
        <v>251</v>
      </c>
      <c r="J332" t="s">
        <v>58</v>
      </c>
      <c r="L332">
        <v>5273</v>
      </c>
      <c r="M332">
        <v>7.3170731707317069E-2</v>
      </c>
      <c r="N332" t="s">
        <v>15</v>
      </c>
      <c r="O332" t="s">
        <v>61</v>
      </c>
    </row>
    <row r="333" spans="1:15" x14ac:dyDescent="0.3">
      <c r="A333" t="s">
        <v>475</v>
      </c>
      <c r="B333" t="s">
        <v>30</v>
      </c>
      <c r="C333" s="51">
        <v>45743</v>
      </c>
      <c r="D333">
        <v>1377</v>
      </c>
      <c r="E333">
        <v>796</v>
      </c>
      <c r="F333">
        <v>387</v>
      </c>
      <c r="G333">
        <v>22032</v>
      </c>
      <c r="H333">
        <v>21869</v>
      </c>
      <c r="I333">
        <v>189</v>
      </c>
      <c r="J333" t="s">
        <v>58</v>
      </c>
      <c r="L333">
        <v>2749</v>
      </c>
      <c r="M333">
        <v>0.11619462599854757</v>
      </c>
      <c r="N333" t="s">
        <v>41</v>
      </c>
      <c r="O333" t="s">
        <v>84</v>
      </c>
    </row>
    <row r="334" spans="1:15" x14ac:dyDescent="0.3">
      <c r="A334" t="s">
        <v>478</v>
      </c>
      <c r="B334" t="s">
        <v>13</v>
      </c>
      <c r="C334" s="51">
        <v>45507</v>
      </c>
      <c r="D334">
        <v>3791</v>
      </c>
      <c r="E334">
        <v>593</v>
      </c>
      <c r="F334">
        <v>228</v>
      </c>
      <c r="G334">
        <v>53074</v>
      </c>
      <c r="H334">
        <v>52613</v>
      </c>
      <c r="I334">
        <v>205</v>
      </c>
      <c r="J334" t="s">
        <v>34</v>
      </c>
      <c r="L334">
        <v>4817</v>
      </c>
      <c r="M334">
        <v>8.6897539284772202E-2</v>
      </c>
      <c r="N334" t="s">
        <v>15</v>
      </c>
      <c r="O334" t="s">
        <v>16</v>
      </c>
    </row>
    <row r="335" spans="1:15" x14ac:dyDescent="0.3">
      <c r="A335" t="s">
        <v>492</v>
      </c>
      <c r="B335" t="s">
        <v>24</v>
      </c>
      <c r="C335" s="51">
        <v>45675</v>
      </c>
      <c r="D335">
        <v>1206</v>
      </c>
      <c r="E335">
        <v>238</v>
      </c>
      <c r="F335">
        <v>36</v>
      </c>
      <c r="G335">
        <v>9648</v>
      </c>
      <c r="H335">
        <v>9417</v>
      </c>
      <c r="I335">
        <v>237</v>
      </c>
      <c r="J335" t="s">
        <v>27</v>
      </c>
      <c r="L335">
        <v>1717</v>
      </c>
      <c r="M335">
        <v>0.15339966832504145</v>
      </c>
      <c r="N335" t="s">
        <v>48</v>
      </c>
      <c r="O335" t="s">
        <v>49</v>
      </c>
    </row>
    <row r="336" spans="1:15" x14ac:dyDescent="0.3">
      <c r="A336" t="s">
        <v>500</v>
      </c>
      <c r="B336" t="s">
        <v>13</v>
      </c>
      <c r="C336" s="51">
        <v>45569</v>
      </c>
      <c r="D336">
        <v>4187</v>
      </c>
      <c r="E336">
        <v>66</v>
      </c>
      <c r="F336">
        <v>31</v>
      </c>
      <c r="G336">
        <v>66992</v>
      </c>
      <c r="H336">
        <v>66614</v>
      </c>
      <c r="I336">
        <v>62</v>
      </c>
      <c r="J336" t="s">
        <v>58</v>
      </c>
      <c r="L336">
        <v>4346</v>
      </c>
      <c r="M336">
        <v>6.3947934081681396E-2</v>
      </c>
      <c r="N336" t="s">
        <v>15</v>
      </c>
      <c r="O336" t="s">
        <v>16</v>
      </c>
    </row>
    <row r="337" spans="1:15" x14ac:dyDescent="0.3">
      <c r="A337" t="s">
        <v>527</v>
      </c>
      <c r="B337" t="s">
        <v>24</v>
      </c>
      <c r="C337" s="51">
        <v>45491</v>
      </c>
      <c r="D337">
        <v>4021</v>
      </c>
      <c r="E337">
        <v>794</v>
      </c>
      <c r="F337">
        <v>77</v>
      </c>
      <c r="G337">
        <v>36189</v>
      </c>
      <c r="H337">
        <v>35505</v>
      </c>
      <c r="I337">
        <v>174</v>
      </c>
      <c r="J337" t="s">
        <v>34</v>
      </c>
      <c r="L337">
        <v>5066</v>
      </c>
      <c r="M337">
        <v>0.13517919809886983</v>
      </c>
      <c r="N337" t="s">
        <v>20</v>
      </c>
      <c r="O337" t="s">
        <v>99</v>
      </c>
    </row>
    <row r="338" spans="1:15" x14ac:dyDescent="0.3">
      <c r="A338" t="s">
        <v>533</v>
      </c>
      <c r="B338" t="s">
        <v>39</v>
      </c>
      <c r="C338" s="51">
        <v>45624</v>
      </c>
      <c r="D338">
        <v>2751</v>
      </c>
      <c r="E338">
        <v>33</v>
      </c>
      <c r="F338">
        <v>430</v>
      </c>
      <c r="G338">
        <v>44016</v>
      </c>
      <c r="H338">
        <v>43415</v>
      </c>
      <c r="I338">
        <v>129</v>
      </c>
      <c r="J338" t="s">
        <v>58</v>
      </c>
      <c r="L338">
        <v>3343</v>
      </c>
      <c r="M338">
        <v>7.3018902217375503E-2</v>
      </c>
      <c r="N338" t="s">
        <v>41</v>
      </c>
      <c r="O338" t="s">
        <v>42</v>
      </c>
    </row>
    <row r="339" spans="1:15" x14ac:dyDescent="0.3">
      <c r="A339" t="s">
        <v>537</v>
      </c>
      <c r="B339" t="s">
        <v>39</v>
      </c>
      <c r="C339" s="51">
        <v>45613</v>
      </c>
      <c r="D339">
        <v>880</v>
      </c>
      <c r="E339">
        <v>297</v>
      </c>
      <c r="F339">
        <v>345</v>
      </c>
      <c r="G339">
        <v>12320</v>
      </c>
      <c r="H339">
        <v>11978</v>
      </c>
      <c r="I339">
        <v>238</v>
      </c>
      <c r="J339" t="s">
        <v>27</v>
      </c>
      <c r="L339">
        <v>1760</v>
      </c>
      <c r="M339">
        <v>0.12353896103896105</v>
      </c>
      <c r="N339" t="s">
        <v>20</v>
      </c>
      <c r="O339" t="s">
        <v>52</v>
      </c>
    </row>
    <row r="340" spans="1:15" x14ac:dyDescent="0.3">
      <c r="A340" t="s">
        <v>537</v>
      </c>
      <c r="B340" t="s">
        <v>39</v>
      </c>
      <c r="C340" s="51">
        <v>45613</v>
      </c>
      <c r="D340">
        <v>880</v>
      </c>
      <c r="E340">
        <v>297</v>
      </c>
      <c r="F340">
        <v>345</v>
      </c>
      <c r="G340">
        <v>12320</v>
      </c>
      <c r="H340">
        <v>11978</v>
      </c>
      <c r="I340">
        <v>238</v>
      </c>
      <c r="J340" t="s">
        <v>551</v>
      </c>
      <c r="L340">
        <v>1760</v>
      </c>
      <c r="M340">
        <v>0.12353896103896105</v>
      </c>
      <c r="N340" t="s">
        <v>20</v>
      </c>
      <c r="O340" t="s">
        <v>52</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061C1-868D-4732-A6AD-EDA5539910C0}">
  <sheetPr>
    <tabColor rgb="FF7030A0"/>
  </sheetPr>
  <dimension ref="A1:L279"/>
  <sheetViews>
    <sheetView workbookViewId="0"/>
  </sheetViews>
  <sheetFormatPr defaultRowHeight="14.4" x14ac:dyDescent="0.3"/>
  <cols>
    <col min="1" max="1" width="17.77734375" bestFit="1" customWidth="1"/>
    <col min="2" max="2" width="12.109375" bestFit="1" customWidth="1"/>
    <col min="3" max="3" width="11.33203125" bestFit="1" customWidth="1"/>
    <col min="4" max="4" width="19.5546875" bestFit="1" customWidth="1"/>
    <col min="5" max="5" width="14.44140625" bestFit="1" customWidth="1"/>
    <col min="6" max="6" width="17.77734375" bestFit="1" customWidth="1"/>
    <col min="7" max="7" width="10.5546875" bestFit="1" customWidth="1"/>
    <col min="8" max="8" width="30.109375" bestFit="1" customWidth="1"/>
    <col min="9" max="9" width="23.33203125" bestFit="1" customWidth="1"/>
    <col min="10" max="10" width="22" bestFit="1" customWidth="1"/>
    <col min="11" max="11" width="18.88671875" bestFit="1" customWidth="1"/>
    <col min="12" max="12" width="37" bestFit="1" customWidth="1"/>
  </cols>
  <sheetData>
    <row r="1" spans="1:12" x14ac:dyDescent="0.3">
      <c r="A1" t="s">
        <v>11</v>
      </c>
      <c r="B1" t="s">
        <v>645</v>
      </c>
      <c r="C1" t="s">
        <v>646</v>
      </c>
      <c r="D1" t="s">
        <v>647</v>
      </c>
      <c r="E1" t="s">
        <v>648</v>
      </c>
      <c r="F1" t="s">
        <v>649</v>
      </c>
      <c r="G1" t="s">
        <v>1</v>
      </c>
      <c r="H1" t="s">
        <v>650</v>
      </c>
      <c r="I1" t="s">
        <v>703</v>
      </c>
      <c r="J1" t="s">
        <v>704</v>
      </c>
      <c r="K1" t="s">
        <v>705</v>
      </c>
      <c r="L1" t="s">
        <v>706</v>
      </c>
    </row>
    <row r="2" spans="1:12" x14ac:dyDescent="0.3">
      <c r="A2" t="s">
        <v>17</v>
      </c>
      <c r="B2" s="49">
        <v>45458</v>
      </c>
      <c r="C2" s="49">
        <v>45488</v>
      </c>
      <c r="D2" t="s">
        <v>651</v>
      </c>
      <c r="E2">
        <v>150000</v>
      </c>
      <c r="F2" t="s">
        <v>30</v>
      </c>
      <c r="G2" t="s">
        <v>39</v>
      </c>
      <c r="H2" t="s">
        <v>632</v>
      </c>
      <c r="I2">
        <v>2004</v>
      </c>
      <c r="J2">
        <v>9.0759753593429152E-2</v>
      </c>
      <c r="K2" t="s">
        <v>15</v>
      </c>
      <c r="L2" t="s">
        <v>16</v>
      </c>
    </row>
    <row r="3" spans="1:12" x14ac:dyDescent="0.3">
      <c r="A3" t="s">
        <v>17</v>
      </c>
      <c r="B3" s="49">
        <v>45458</v>
      </c>
      <c r="C3" s="49">
        <v>45488</v>
      </c>
      <c r="D3" t="s">
        <v>651</v>
      </c>
      <c r="E3">
        <v>150000</v>
      </c>
      <c r="F3" t="s">
        <v>30</v>
      </c>
      <c r="G3" t="s">
        <v>39</v>
      </c>
      <c r="H3" t="s">
        <v>632</v>
      </c>
      <c r="I3">
        <v>2004</v>
      </c>
      <c r="J3">
        <v>9.0759753593429152E-2</v>
      </c>
      <c r="K3" t="s">
        <v>15</v>
      </c>
      <c r="L3" t="s">
        <v>16</v>
      </c>
    </row>
    <row r="4" spans="1:12" x14ac:dyDescent="0.3">
      <c r="A4" t="s">
        <v>17</v>
      </c>
      <c r="B4" s="49">
        <v>45458</v>
      </c>
      <c r="C4" s="49">
        <v>45488</v>
      </c>
      <c r="D4" t="s">
        <v>651</v>
      </c>
      <c r="E4">
        <v>150000</v>
      </c>
      <c r="F4" t="s">
        <v>30</v>
      </c>
      <c r="G4" t="s">
        <v>39</v>
      </c>
      <c r="H4" t="s">
        <v>632</v>
      </c>
      <c r="I4">
        <v>4892</v>
      </c>
      <c r="J4">
        <v>6.5617093055946027E-2</v>
      </c>
      <c r="K4" t="s">
        <v>15</v>
      </c>
      <c r="L4" t="s">
        <v>26</v>
      </c>
    </row>
    <row r="5" spans="1:12" x14ac:dyDescent="0.3">
      <c r="A5" t="s">
        <v>17</v>
      </c>
      <c r="B5" s="49">
        <v>45458</v>
      </c>
      <c r="C5" s="49">
        <v>45488</v>
      </c>
      <c r="D5" t="s">
        <v>651</v>
      </c>
      <c r="E5">
        <v>150000</v>
      </c>
      <c r="F5" t="s">
        <v>30</v>
      </c>
      <c r="G5" t="s">
        <v>39</v>
      </c>
      <c r="H5" t="s">
        <v>632</v>
      </c>
      <c r="I5">
        <v>4892</v>
      </c>
      <c r="J5">
        <v>6.5617093055946027E-2</v>
      </c>
      <c r="K5" t="s">
        <v>15</v>
      </c>
      <c r="L5" t="s">
        <v>26</v>
      </c>
    </row>
    <row r="6" spans="1:12" x14ac:dyDescent="0.3">
      <c r="A6" t="s">
        <v>17</v>
      </c>
      <c r="B6" s="49">
        <v>45458</v>
      </c>
      <c r="C6" s="49">
        <v>45488</v>
      </c>
      <c r="D6" t="s">
        <v>651</v>
      </c>
      <c r="E6">
        <v>150000</v>
      </c>
      <c r="F6" t="s">
        <v>30</v>
      </c>
      <c r="G6" t="s">
        <v>39</v>
      </c>
      <c r="H6" t="s">
        <v>632</v>
      </c>
      <c r="I6">
        <v>1802</v>
      </c>
      <c r="J6">
        <v>7.5868578363072495E-2</v>
      </c>
      <c r="K6" t="s">
        <v>41</v>
      </c>
      <c r="L6" t="s">
        <v>64</v>
      </c>
    </row>
    <row r="7" spans="1:12" x14ac:dyDescent="0.3">
      <c r="A7" t="s">
        <v>17</v>
      </c>
      <c r="B7" s="49">
        <v>45458</v>
      </c>
      <c r="C7" s="49">
        <v>45488</v>
      </c>
      <c r="D7" t="s">
        <v>651</v>
      </c>
      <c r="E7">
        <v>150000</v>
      </c>
      <c r="F7" t="s">
        <v>30</v>
      </c>
      <c r="G7" t="s">
        <v>39</v>
      </c>
      <c r="H7" t="s">
        <v>632</v>
      </c>
      <c r="I7">
        <v>3726</v>
      </c>
      <c r="J7">
        <v>0.10297222222222223</v>
      </c>
      <c r="K7" t="s">
        <v>15</v>
      </c>
      <c r="L7" t="s">
        <v>78</v>
      </c>
    </row>
    <row r="8" spans="1:12" x14ac:dyDescent="0.3">
      <c r="A8" t="s">
        <v>17</v>
      </c>
      <c r="B8" s="49">
        <v>45458</v>
      </c>
      <c r="C8" s="49">
        <v>45488</v>
      </c>
      <c r="D8" t="s">
        <v>651</v>
      </c>
      <c r="E8">
        <v>150000</v>
      </c>
      <c r="F8" t="s">
        <v>30</v>
      </c>
      <c r="G8" t="s">
        <v>39</v>
      </c>
      <c r="H8" t="s">
        <v>632</v>
      </c>
      <c r="I8">
        <v>4940</v>
      </c>
      <c r="J8">
        <v>6.3809622724794221E-2</v>
      </c>
      <c r="K8" t="s">
        <v>41</v>
      </c>
      <c r="L8" t="s">
        <v>84</v>
      </c>
    </row>
    <row r="9" spans="1:12" x14ac:dyDescent="0.3">
      <c r="A9" t="s">
        <v>17</v>
      </c>
      <c r="B9" s="49">
        <v>45458</v>
      </c>
      <c r="C9" s="49">
        <v>45488</v>
      </c>
      <c r="D9" t="s">
        <v>651</v>
      </c>
      <c r="E9">
        <v>150000</v>
      </c>
      <c r="F9" t="s">
        <v>30</v>
      </c>
      <c r="G9" t="s">
        <v>39</v>
      </c>
      <c r="H9" t="s">
        <v>632</v>
      </c>
      <c r="I9">
        <v>5031</v>
      </c>
      <c r="J9">
        <v>0.19156491900087783</v>
      </c>
      <c r="K9" t="s">
        <v>48</v>
      </c>
      <c r="L9" t="s">
        <v>208</v>
      </c>
    </row>
    <row r="10" spans="1:12" x14ac:dyDescent="0.3">
      <c r="A10" t="s">
        <v>17</v>
      </c>
      <c r="B10" s="49">
        <v>45458</v>
      </c>
      <c r="C10" s="49">
        <v>45488</v>
      </c>
      <c r="D10" t="s">
        <v>651</v>
      </c>
      <c r="E10">
        <v>150000</v>
      </c>
      <c r="F10" t="s">
        <v>30</v>
      </c>
      <c r="G10" t="s">
        <v>39</v>
      </c>
      <c r="H10" t="s">
        <v>632</v>
      </c>
      <c r="I10">
        <v>2884</v>
      </c>
      <c r="J10">
        <v>0.19088381621305239</v>
      </c>
      <c r="K10" t="s">
        <v>41</v>
      </c>
      <c r="L10" t="s">
        <v>45</v>
      </c>
    </row>
    <row r="11" spans="1:12" x14ac:dyDescent="0.3">
      <c r="A11" t="s">
        <v>17</v>
      </c>
      <c r="B11" s="49">
        <v>45458</v>
      </c>
      <c r="C11" s="49">
        <v>45488</v>
      </c>
      <c r="D11" t="s">
        <v>651</v>
      </c>
      <c r="E11">
        <v>150000</v>
      </c>
      <c r="F11" t="s">
        <v>30</v>
      </c>
      <c r="G11" t="s">
        <v>39</v>
      </c>
      <c r="H11" t="s">
        <v>632</v>
      </c>
      <c r="I11">
        <v>610</v>
      </c>
      <c r="J11">
        <v>0.12896028558679162</v>
      </c>
      <c r="K11" t="s">
        <v>41</v>
      </c>
      <c r="L11" t="s">
        <v>84</v>
      </c>
    </row>
    <row r="12" spans="1:12" x14ac:dyDescent="0.3">
      <c r="A12" t="s">
        <v>17</v>
      </c>
      <c r="B12" s="49">
        <v>45458</v>
      </c>
      <c r="C12" s="49">
        <v>45488</v>
      </c>
      <c r="D12" t="s">
        <v>651</v>
      </c>
      <c r="E12">
        <v>150000</v>
      </c>
      <c r="F12" t="s">
        <v>30</v>
      </c>
      <c r="G12" t="s">
        <v>39</v>
      </c>
      <c r="H12" t="s">
        <v>632</v>
      </c>
      <c r="I12">
        <v>5309</v>
      </c>
      <c r="J12">
        <v>0.23616777446710979</v>
      </c>
      <c r="K12" t="s">
        <v>32</v>
      </c>
      <c r="L12" t="s">
        <v>33</v>
      </c>
    </row>
    <row r="13" spans="1:12" x14ac:dyDescent="0.3">
      <c r="A13" t="s">
        <v>17</v>
      </c>
      <c r="B13" s="49">
        <v>45458</v>
      </c>
      <c r="C13" s="49">
        <v>45488</v>
      </c>
      <c r="D13" t="s">
        <v>651</v>
      </c>
      <c r="E13">
        <v>150000</v>
      </c>
      <c r="F13" t="s">
        <v>30</v>
      </c>
      <c r="G13" t="s">
        <v>39</v>
      </c>
      <c r="H13" t="s">
        <v>632</v>
      </c>
      <c r="I13">
        <v>3824</v>
      </c>
      <c r="J13">
        <v>8.0862831858407078E-2</v>
      </c>
      <c r="K13" t="s">
        <v>70</v>
      </c>
      <c r="L13" t="s">
        <v>140</v>
      </c>
    </row>
    <row r="14" spans="1:12" x14ac:dyDescent="0.3">
      <c r="A14" t="s">
        <v>17</v>
      </c>
      <c r="B14" s="49">
        <v>45458</v>
      </c>
      <c r="C14" s="49">
        <v>45488</v>
      </c>
      <c r="D14" t="s">
        <v>651</v>
      </c>
      <c r="E14">
        <v>150000</v>
      </c>
      <c r="F14" t="s">
        <v>30</v>
      </c>
      <c r="G14" t="s">
        <v>39</v>
      </c>
      <c r="H14" t="s">
        <v>632</v>
      </c>
      <c r="I14">
        <v>6343</v>
      </c>
      <c r="J14">
        <v>0.14276618001546368</v>
      </c>
      <c r="K14" t="s">
        <v>70</v>
      </c>
      <c r="L14" t="s">
        <v>140</v>
      </c>
    </row>
    <row r="15" spans="1:12" x14ac:dyDescent="0.3">
      <c r="A15" t="s">
        <v>17</v>
      </c>
      <c r="B15" s="49">
        <v>45458</v>
      </c>
      <c r="C15" s="49">
        <v>45488</v>
      </c>
      <c r="D15" t="s">
        <v>651</v>
      </c>
      <c r="E15">
        <v>150000</v>
      </c>
      <c r="F15" t="s">
        <v>30</v>
      </c>
      <c r="G15" t="s">
        <v>39</v>
      </c>
      <c r="H15" t="s">
        <v>632</v>
      </c>
      <c r="I15">
        <v>1067</v>
      </c>
      <c r="J15">
        <v>0.29199735449735448</v>
      </c>
      <c r="K15" t="s">
        <v>41</v>
      </c>
      <c r="L15" t="s">
        <v>45</v>
      </c>
    </row>
    <row r="16" spans="1:12" x14ac:dyDescent="0.3">
      <c r="A16" t="s">
        <v>17</v>
      </c>
      <c r="B16" s="49">
        <v>45458</v>
      </c>
      <c r="C16" s="49">
        <v>45488</v>
      </c>
      <c r="D16" t="s">
        <v>651</v>
      </c>
      <c r="E16">
        <v>150000</v>
      </c>
      <c r="F16" t="s">
        <v>30</v>
      </c>
      <c r="G16" t="s">
        <v>39</v>
      </c>
      <c r="H16" t="s">
        <v>632</v>
      </c>
      <c r="I16">
        <v>4029</v>
      </c>
      <c r="J16">
        <v>0.10977802753582468</v>
      </c>
      <c r="K16" t="s">
        <v>48</v>
      </c>
      <c r="L16" t="s">
        <v>208</v>
      </c>
    </row>
    <row r="17" spans="1:12" x14ac:dyDescent="0.3">
      <c r="A17" t="s">
        <v>17</v>
      </c>
      <c r="B17" s="49">
        <v>45458</v>
      </c>
      <c r="C17" s="49">
        <v>45488</v>
      </c>
      <c r="D17" t="s">
        <v>651</v>
      </c>
      <c r="E17">
        <v>150000</v>
      </c>
      <c r="F17" t="s">
        <v>30</v>
      </c>
      <c r="G17" t="s">
        <v>39</v>
      </c>
      <c r="H17" t="s">
        <v>632</v>
      </c>
      <c r="I17">
        <v>2615</v>
      </c>
      <c r="J17">
        <v>0.11307081114118571</v>
      </c>
      <c r="K17" t="s">
        <v>32</v>
      </c>
      <c r="L17" t="s">
        <v>33</v>
      </c>
    </row>
    <row r="18" spans="1:12" x14ac:dyDescent="0.3">
      <c r="A18" t="s">
        <v>17</v>
      </c>
      <c r="B18" s="49">
        <v>45458</v>
      </c>
      <c r="C18" s="49">
        <v>45488</v>
      </c>
      <c r="D18" t="s">
        <v>651</v>
      </c>
      <c r="E18">
        <v>150000</v>
      </c>
      <c r="F18" t="s">
        <v>30</v>
      </c>
      <c r="G18" t="s">
        <v>39</v>
      </c>
      <c r="H18" t="s">
        <v>632</v>
      </c>
      <c r="I18">
        <v>5034</v>
      </c>
      <c r="J18">
        <v>0.11369088028965829</v>
      </c>
      <c r="K18" t="s">
        <v>41</v>
      </c>
      <c r="L18" t="s">
        <v>45</v>
      </c>
    </row>
    <row r="19" spans="1:12" x14ac:dyDescent="0.3">
      <c r="A19" t="s">
        <v>17</v>
      </c>
      <c r="B19" s="49">
        <v>45458</v>
      </c>
      <c r="C19" s="49">
        <v>45488</v>
      </c>
      <c r="D19" t="s">
        <v>651</v>
      </c>
      <c r="E19">
        <v>150000</v>
      </c>
      <c r="F19" t="s">
        <v>30</v>
      </c>
      <c r="G19" t="s">
        <v>39</v>
      </c>
      <c r="H19" t="s">
        <v>632</v>
      </c>
      <c r="I19">
        <v>5221</v>
      </c>
      <c r="J19">
        <v>0.12942500000000001</v>
      </c>
      <c r="K19" t="s">
        <v>32</v>
      </c>
      <c r="L19" t="s">
        <v>144</v>
      </c>
    </row>
    <row r="20" spans="1:12" x14ac:dyDescent="0.3">
      <c r="A20" t="s">
        <v>17</v>
      </c>
      <c r="B20" s="49">
        <v>45458</v>
      </c>
      <c r="C20" s="49">
        <v>45488</v>
      </c>
      <c r="D20" t="s">
        <v>651</v>
      </c>
      <c r="E20">
        <v>150000</v>
      </c>
      <c r="F20" t="s">
        <v>30</v>
      </c>
      <c r="G20" t="s">
        <v>39</v>
      </c>
      <c r="H20" t="s">
        <v>632</v>
      </c>
      <c r="I20">
        <v>4396</v>
      </c>
      <c r="J20">
        <v>5.7332570758993957E-2</v>
      </c>
      <c r="K20" t="s">
        <v>41</v>
      </c>
      <c r="L20" t="s">
        <v>84</v>
      </c>
    </row>
    <row r="21" spans="1:12" x14ac:dyDescent="0.3">
      <c r="A21" t="s">
        <v>17</v>
      </c>
      <c r="B21" s="49">
        <v>45458</v>
      </c>
      <c r="C21" s="49">
        <v>45488</v>
      </c>
      <c r="D21" t="s">
        <v>651</v>
      </c>
      <c r="E21">
        <v>150000</v>
      </c>
      <c r="F21" t="s">
        <v>30</v>
      </c>
      <c r="G21" t="s">
        <v>39</v>
      </c>
      <c r="H21" t="s">
        <v>632</v>
      </c>
      <c r="I21">
        <v>1751</v>
      </c>
      <c r="J21">
        <v>0.33618012422360249</v>
      </c>
      <c r="K21" t="s">
        <v>41</v>
      </c>
      <c r="L21" t="s">
        <v>64</v>
      </c>
    </row>
    <row r="22" spans="1:12" x14ac:dyDescent="0.3">
      <c r="A22" t="s">
        <v>17</v>
      </c>
      <c r="B22" s="49">
        <v>45458</v>
      </c>
      <c r="C22" s="49">
        <v>45488</v>
      </c>
      <c r="D22" t="s">
        <v>651</v>
      </c>
      <c r="E22">
        <v>150000</v>
      </c>
      <c r="F22" t="s">
        <v>30</v>
      </c>
      <c r="G22" t="s">
        <v>39</v>
      </c>
      <c r="H22" t="s">
        <v>632</v>
      </c>
      <c r="I22">
        <v>4084</v>
      </c>
      <c r="J22">
        <v>7.1133744304476013E-2</v>
      </c>
      <c r="K22" t="s">
        <v>15</v>
      </c>
      <c r="L22" t="s">
        <v>16</v>
      </c>
    </row>
    <row r="23" spans="1:12" x14ac:dyDescent="0.3">
      <c r="A23" t="s">
        <v>17</v>
      </c>
      <c r="B23" s="49">
        <v>45458</v>
      </c>
      <c r="C23" s="49">
        <v>45488</v>
      </c>
      <c r="D23" t="s">
        <v>651</v>
      </c>
      <c r="E23">
        <v>150000</v>
      </c>
      <c r="F23" t="s">
        <v>30</v>
      </c>
      <c r="G23" t="s">
        <v>39</v>
      </c>
      <c r="H23" t="s">
        <v>632</v>
      </c>
      <c r="I23">
        <v>3252</v>
      </c>
      <c r="J23">
        <v>9.422796795338674E-2</v>
      </c>
      <c r="K23" t="s">
        <v>20</v>
      </c>
      <c r="L23" t="s">
        <v>99</v>
      </c>
    </row>
    <row r="24" spans="1:12" x14ac:dyDescent="0.3">
      <c r="A24" t="s">
        <v>17</v>
      </c>
      <c r="B24" s="49">
        <v>45458</v>
      </c>
      <c r="C24" s="49">
        <v>45488</v>
      </c>
      <c r="D24" t="s">
        <v>651</v>
      </c>
      <c r="E24">
        <v>150000</v>
      </c>
      <c r="F24" t="s">
        <v>30</v>
      </c>
      <c r="G24" t="s">
        <v>39</v>
      </c>
      <c r="H24" t="s">
        <v>632</v>
      </c>
      <c r="I24">
        <v>2707</v>
      </c>
      <c r="J24">
        <v>7.7291421856639245E-2</v>
      </c>
      <c r="K24" t="s">
        <v>70</v>
      </c>
      <c r="L24" t="s">
        <v>140</v>
      </c>
    </row>
    <row r="25" spans="1:12" x14ac:dyDescent="0.3">
      <c r="A25" t="s">
        <v>17</v>
      </c>
      <c r="B25" s="49">
        <v>45458</v>
      </c>
      <c r="C25" s="49">
        <v>45488</v>
      </c>
      <c r="D25" t="s">
        <v>651</v>
      </c>
      <c r="E25">
        <v>150000</v>
      </c>
      <c r="F25" t="s">
        <v>30</v>
      </c>
      <c r="G25" t="s">
        <v>39</v>
      </c>
      <c r="H25" t="s">
        <v>632</v>
      </c>
      <c r="I25">
        <v>6095</v>
      </c>
      <c r="J25">
        <v>8.1808097615085965E-2</v>
      </c>
      <c r="K25" t="s">
        <v>32</v>
      </c>
      <c r="L25" t="s">
        <v>33</v>
      </c>
    </row>
    <row r="26" spans="1:12" x14ac:dyDescent="0.3">
      <c r="A26" t="s">
        <v>17</v>
      </c>
      <c r="B26" s="49">
        <v>45458</v>
      </c>
      <c r="C26" s="49">
        <v>45488</v>
      </c>
      <c r="D26" t="s">
        <v>651</v>
      </c>
      <c r="E26">
        <v>150000</v>
      </c>
      <c r="F26" t="s">
        <v>30</v>
      </c>
      <c r="G26" t="s">
        <v>39</v>
      </c>
      <c r="H26" t="s">
        <v>632</v>
      </c>
      <c r="I26">
        <v>2090</v>
      </c>
      <c r="J26">
        <v>8.5734265734265735E-2</v>
      </c>
      <c r="K26" t="s">
        <v>20</v>
      </c>
      <c r="L26" t="s">
        <v>108</v>
      </c>
    </row>
    <row r="27" spans="1:12" x14ac:dyDescent="0.3">
      <c r="A27" t="s">
        <v>17</v>
      </c>
      <c r="B27" s="49">
        <v>45458</v>
      </c>
      <c r="C27" s="49">
        <v>45488</v>
      </c>
      <c r="D27" t="s">
        <v>651</v>
      </c>
      <c r="E27">
        <v>150000</v>
      </c>
      <c r="F27" t="s">
        <v>30</v>
      </c>
      <c r="G27" t="s">
        <v>39</v>
      </c>
      <c r="H27" t="s">
        <v>632</v>
      </c>
      <c r="I27">
        <v>1799</v>
      </c>
      <c r="J27">
        <v>0.14320716458262928</v>
      </c>
      <c r="K27" t="s">
        <v>15</v>
      </c>
      <c r="L27" t="s">
        <v>16</v>
      </c>
    </row>
    <row r="28" spans="1:12" x14ac:dyDescent="0.3">
      <c r="A28" t="s">
        <v>17</v>
      </c>
      <c r="B28" s="49">
        <v>45458</v>
      </c>
      <c r="C28" s="49">
        <v>45488</v>
      </c>
      <c r="D28" t="s">
        <v>651</v>
      </c>
      <c r="E28">
        <v>150000</v>
      </c>
      <c r="F28" t="s">
        <v>30</v>
      </c>
      <c r="G28" t="s">
        <v>39</v>
      </c>
      <c r="H28" t="s">
        <v>632</v>
      </c>
      <c r="I28">
        <v>4892</v>
      </c>
      <c r="J28">
        <v>6.7234398994834563E-2</v>
      </c>
      <c r="K28" t="s">
        <v>32</v>
      </c>
      <c r="L28" t="s">
        <v>33</v>
      </c>
    </row>
    <row r="29" spans="1:12" x14ac:dyDescent="0.3">
      <c r="A29" t="s">
        <v>17</v>
      </c>
      <c r="B29" s="49">
        <v>45458</v>
      </c>
      <c r="C29" s="49">
        <v>45488</v>
      </c>
      <c r="D29" t="s">
        <v>651</v>
      </c>
      <c r="E29">
        <v>150000</v>
      </c>
      <c r="F29" t="s">
        <v>30</v>
      </c>
      <c r="G29" t="s">
        <v>39</v>
      </c>
      <c r="H29" t="s">
        <v>632</v>
      </c>
      <c r="I29">
        <v>4365</v>
      </c>
      <c r="J29">
        <v>0.12490884163239112</v>
      </c>
      <c r="K29" t="s">
        <v>70</v>
      </c>
      <c r="L29" t="s">
        <v>211</v>
      </c>
    </row>
    <row r="30" spans="1:12" x14ac:dyDescent="0.3">
      <c r="A30" t="s">
        <v>17</v>
      </c>
      <c r="B30" s="49">
        <v>45458</v>
      </c>
      <c r="C30" s="49">
        <v>45488</v>
      </c>
      <c r="D30" t="s">
        <v>651</v>
      </c>
      <c r="E30">
        <v>150000</v>
      </c>
      <c r="F30" t="s">
        <v>30</v>
      </c>
      <c r="G30" t="s">
        <v>39</v>
      </c>
      <c r="H30" t="s">
        <v>632</v>
      </c>
      <c r="I30">
        <v>6200</v>
      </c>
      <c r="J30">
        <v>8.2835359571399134E-2</v>
      </c>
      <c r="K30" t="s">
        <v>48</v>
      </c>
      <c r="L30" t="s">
        <v>208</v>
      </c>
    </row>
    <row r="31" spans="1:12" x14ac:dyDescent="0.3">
      <c r="A31" t="s">
        <v>17</v>
      </c>
      <c r="B31" s="49">
        <v>45458</v>
      </c>
      <c r="C31" s="49">
        <v>45488</v>
      </c>
      <c r="D31" t="s">
        <v>651</v>
      </c>
      <c r="E31">
        <v>150000</v>
      </c>
      <c r="F31" t="s">
        <v>30</v>
      </c>
      <c r="G31" t="s">
        <v>39</v>
      </c>
      <c r="H31" t="s">
        <v>632</v>
      </c>
      <c r="I31">
        <v>4364</v>
      </c>
      <c r="J31">
        <v>9.023070704558174E-2</v>
      </c>
      <c r="K31" t="s">
        <v>20</v>
      </c>
      <c r="L31" t="s">
        <v>99</v>
      </c>
    </row>
    <row r="32" spans="1:12" x14ac:dyDescent="0.3">
      <c r="A32" t="s">
        <v>17</v>
      </c>
      <c r="B32" s="49">
        <v>45458</v>
      </c>
      <c r="C32" s="49">
        <v>45488</v>
      </c>
      <c r="D32" t="s">
        <v>651</v>
      </c>
      <c r="E32">
        <v>150000</v>
      </c>
      <c r="F32" t="s">
        <v>30</v>
      </c>
      <c r="G32" t="s">
        <v>39</v>
      </c>
      <c r="H32" t="s">
        <v>632</v>
      </c>
      <c r="I32">
        <v>4628</v>
      </c>
      <c r="J32">
        <v>0.13614307931570763</v>
      </c>
      <c r="K32" t="s">
        <v>48</v>
      </c>
      <c r="L32" t="s">
        <v>127</v>
      </c>
    </row>
    <row r="33" spans="1:12" x14ac:dyDescent="0.3">
      <c r="A33" t="s">
        <v>17</v>
      </c>
      <c r="B33" s="49">
        <v>45458</v>
      </c>
      <c r="C33" s="49">
        <v>45488</v>
      </c>
      <c r="D33" t="s">
        <v>651</v>
      </c>
      <c r="E33">
        <v>150000</v>
      </c>
      <c r="F33" t="s">
        <v>30</v>
      </c>
      <c r="G33" t="s">
        <v>39</v>
      </c>
      <c r="H33" t="s">
        <v>632</v>
      </c>
      <c r="I33">
        <v>5273</v>
      </c>
      <c r="J33">
        <v>8.4062694239588759E-2</v>
      </c>
      <c r="K33" t="s">
        <v>15</v>
      </c>
      <c r="L33" t="s">
        <v>78</v>
      </c>
    </row>
    <row r="34" spans="1:12" x14ac:dyDescent="0.3">
      <c r="A34" t="s">
        <v>17</v>
      </c>
      <c r="B34" s="49">
        <v>45458</v>
      </c>
      <c r="C34" s="49">
        <v>45488</v>
      </c>
      <c r="D34" t="s">
        <v>651</v>
      </c>
      <c r="E34">
        <v>150000</v>
      </c>
      <c r="F34" t="s">
        <v>30</v>
      </c>
      <c r="G34" t="s">
        <v>39</v>
      </c>
      <c r="H34" t="s">
        <v>632</v>
      </c>
      <c r="I34">
        <v>5323</v>
      </c>
      <c r="J34">
        <v>8.4203612479474554E-2</v>
      </c>
      <c r="K34" t="s">
        <v>32</v>
      </c>
      <c r="L34" t="s">
        <v>149</v>
      </c>
    </row>
    <row r="35" spans="1:12" x14ac:dyDescent="0.3">
      <c r="A35" t="s">
        <v>17</v>
      </c>
      <c r="B35" s="49">
        <v>45458</v>
      </c>
      <c r="C35" s="49">
        <v>45488</v>
      </c>
      <c r="D35" t="s">
        <v>651</v>
      </c>
      <c r="E35">
        <v>150000</v>
      </c>
      <c r="F35" t="s">
        <v>30</v>
      </c>
      <c r="G35" t="s">
        <v>39</v>
      </c>
      <c r="H35" t="s">
        <v>632</v>
      </c>
      <c r="I35">
        <v>5604</v>
      </c>
      <c r="J35">
        <v>6.4884520656164318E-2</v>
      </c>
      <c r="K35" t="s">
        <v>15</v>
      </c>
      <c r="L35" t="s">
        <v>16</v>
      </c>
    </row>
    <row r="36" spans="1:12" x14ac:dyDescent="0.3">
      <c r="A36" t="s">
        <v>17</v>
      </c>
      <c r="B36" s="49">
        <v>45458</v>
      </c>
      <c r="C36" s="49">
        <v>45488</v>
      </c>
      <c r="D36" t="s">
        <v>651</v>
      </c>
      <c r="E36">
        <v>150000</v>
      </c>
      <c r="F36" t="s">
        <v>30</v>
      </c>
      <c r="G36" t="s">
        <v>39</v>
      </c>
      <c r="H36" t="s">
        <v>632</v>
      </c>
      <c r="I36">
        <v>1357</v>
      </c>
      <c r="J36">
        <v>9.0606816292601824E-2</v>
      </c>
      <c r="K36" t="s">
        <v>15</v>
      </c>
      <c r="L36" t="s">
        <v>16</v>
      </c>
    </row>
    <row r="37" spans="1:12" x14ac:dyDescent="0.3">
      <c r="A37" t="s">
        <v>17</v>
      </c>
      <c r="B37" s="49">
        <v>45458</v>
      </c>
      <c r="C37" s="49">
        <v>45488</v>
      </c>
      <c r="D37" t="s">
        <v>651</v>
      </c>
      <c r="E37">
        <v>150000</v>
      </c>
      <c r="F37" t="s">
        <v>30</v>
      </c>
      <c r="G37" t="s">
        <v>39</v>
      </c>
      <c r="H37" t="s">
        <v>632</v>
      </c>
      <c r="I37">
        <v>2186</v>
      </c>
      <c r="J37">
        <v>0.30126002290950743</v>
      </c>
      <c r="K37" t="s">
        <v>15</v>
      </c>
      <c r="L37" t="s">
        <v>78</v>
      </c>
    </row>
    <row r="38" spans="1:12" x14ac:dyDescent="0.3">
      <c r="A38" t="s">
        <v>17</v>
      </c>
      <c r="B38" s="49">
        <v>45458</v>
      </c>
      <c r="C38" s="49">
        <v>45488</v>
      </c>
      <c r="D38" t="s">
        <v>651</v>
      </c>
      <c r="E38">
        <v>150000</v>
      </c>
      <c r="F38" t="s">
        <v>30</v>
      </c>
      <c r="G38" t="s">
        <v>39</v>
      </c>
      <c r="H38" t="s">
        <v>632</v>
      </c>
      <c r="I38">
        <v>1607</v>
      </c>
      <c r="J38">
        <v>0.10768685795253277</v>
      </c>
      <c r="K38" t="s">
        <v>20</v>
      </c>
      <c r="L38" t="s">
        <v>21</v>
      </c>
    </row>
    <row r="39" spans="1:12" x14ac:dyDescent="0.3">
      <c r="A39" t="s">
        <v>17</v>
      </c>
      <c r="B39" s="49">
        <v>45458</v>
      </c>
      <c r="C39" s="49">
        <v>45488</v>
      </c>
      <c r="D39" t="s">
        <v>651</v>
      </c>
      <c r="E39">
        <v>150000</v>
      </c>
      <c r="F39" t="s">
        <v>30</v>
      </c>
      <c r="G39" t="s">
        <v>39</v>
      </c>
      <c r="H39" t="s">
        <v>632</v>
      </c>
      <c r="I39">
        <v>1908</v>
      </c>
      <c r="J39">
        <v>0.48518407662376534</v>
      </c>
      <c r="K39" t="s">
        <v>48</v>
      </c>
      <c r="L39" t="s">
        <v>49</v>
      </c>
    </row>
    <row r="40" spans="1:12" x14ac:dyDescent="0.3">
      <c r="A40" t="s">
        <v>17</v>
      </c>
      <c r="B40" s="49">
        <v>45458</v>
      </c>
      <c r="C40" s="49">
        <v>45488</v>
      </c>
      <c r="D40" t="s">
        <v>651</v>
      </c>
      <c r="E40">
        <v>150000</v>
      </c>
      <c r="F40" t="s">
        <v>30</v>
      </c>
      <c r="G40" t="s">
        <v>39</v>
      </c>
      <c r="H40" t="s">
        <v>632</v>
      </c>
      <c r="I40">
        <v>5447</v>
      </c>
      <c r="J40">
        <v>8.3539958039290485E-2</v>
      </c>
      <c r="K40" t="s">
        <v>41</v>
      </c>
      <c r="L40" t="s">
        <v>45</v>
      </c>
    </row>
    <row r="41" spans="1:12" x14ac:dyDescent="0.3">
      <c r="A41" t="s">
        <v>17</v>
      </c>
      <c r="B41" s="49">
        <v>45458</v>
      </c>
      <c r="C41" s="49">
        <v>45488</v>
      </c>
      <c r="D41" t="s">
        <v>651</v>
      </c>
      <c r="E41">
        <v>150000</v>
      </c>
      <c r="F41" t="s">
        <v>30</v>
      </c>
      <c r="G41" t="s">
        <v>39</v>
      </c>
      <c r="H41" t="s">
        <v>632</v>
      </c>
      <c r="I41">
        <v>5447</v>
      </c>
      <c r="J41">
        <v>8.3539958039290485E-2</v>
      </c>
      <c r="K41" t="s">
        <v>41</v>
      </c>
      <c r="L41" t="s">
        <v>45</v>
      </c>
    </row>
    <row r="42" spans="1:12" x14ac:dyDescent="0.3">
      <c r="A42" t="s">
        <v>17</v>
      </c>
      <c r="B42" s="49">
        <v>45458</v>
      </c>
      <c r="C42" s="49">
        <v>45488</v>
      </c>
      <c r="D42" t="s">
        <v>651</v>
      </c>
      <c r="E42">
        <v>150000</v>
      </c>
      <c r="F42" t="s">
        <v>30</v>
      </c>
      <c r="G42" t="s">
        <v>39</v>
      </c>
      <c r="H42" t="s">
        <v>632</v>
      </c>
      <c r="I42">
        <v>5447</v>
      </c>
      <c r="J42">
        <v>8.3539958039290485E-2</v>
      </c>
      <c r="K42" t="s">
        <v>41</v>
      </c>
      <c r="L42" t="s">
        <v>45</v>
      </c>
    </row>
    <row r="43" spans="1:12" x14ac:dyDescent="0.3">
      <c r="A43" t="s">
        <v>17</v>
      </c>
      <c r="B43" s="49">
        <v>45458</v>
      </c>
      <c r="C43" s="49">
        <v>45488</v>
      </c>
      <c r="D43" t="s">
        <v>651</v>
      </c>
      <c r="E43">
        <v>150000</v>
      </c>
      <c r="F43" t="s">
        <v>30</v>
      </c>
      <c r="G43" t="s">
        <v>39</v>
      </c>
      <c r="H43" t="s">
        <v>632</v>
      </c>
      <c r="I43">
        <v>4640</v>
      </c>
      <c r="J43">
        <v>5.941358024691358E-2</v>
      </c>
      <c r="K43" t="s">
        <v>70</v>
      </c>
      <c r="L43" t="s">
        <v>71</v>
      </c>
    </row>
    <row r="44" spans="1:12" x14ac:dyDescent="0.3">
      <c r="A44" t="s">
        <v>17</v>
      </c>
      <c r="B44" s="49">
        <v>45458</v>
      </c>
      <c r="C44" s="49">
        <v>45488</v>
      </c>
      <c r="D44" t="s">
        <v>651</v>
      </c>
      <c r="E44">
        <v>150000</v>
      </c>
      <c r="F44" t="s">
        <v>30</v>
      </c>
      <c r="G44" t="s">
        <v>39</v>
      </c>
      <c r="H44" t="s">
        <v>632</v>
      </c>
      <c r="I44">
        <v>2271</v>
      </c>
      <c r="J44">
        <v>0.12781331438047855</v>
      </c>
      <c r="K44" t="s">
        <v>48</v>
      </c>
      <c r="L44" t="s">
        <v>55</v>
      </c>
    </row>
    <row r="45" spans="1:12" x14ac:dyDescent="0.3">
      <c r="A45" t="s">
        <v>17</v>
      </c>
      <c r="B45" s="49">
        <v>45458</v>
      </c>
      <c r="C45" s="49">
        <v>45488</v>
      </c>
      <c r="D45" t="s">
        <v>651</v>
      </c>
      <c r="E45">
        <v>150000</v>
      </c>
      <c r="F45" t="s">
        <v>30</v>
      </c>
      <c r="G45" t="s">
        <v>39</v>
      </c>
      <c r="H45" t="s">
        <v>632</v>
      </c>
      <c r="I45">
        <v>3980</v>
      </c>
      <c r="J45">
        <v>7.5229902106199939E-2</v>
      </c>
      <c r="K45" t="s">
        <v>70</v>
      </c>
      <c r="L45" t="s">
        <v>71</v>
      </c>
    </row>
    <row r="46" spans="1:12" x14ac:dyDescent="0.3">
      <c r="A46" t="s">
        <v>17</v>
      </c>
      <c r="B46" s="49">
        <v>45458</v>
      </c>
      <c r="C46" s="49">
        <v>45488</v>
      </c>
      <c r="D46" t="s">
        <v>651</v>
      </c>
      <c r="E46">
        <v>150000</v>
      </c>
      <c r="F46" t="s">
        <v>30</v>
      </c>
      <c r="G46" t="s">
        <v>39</v>
      </c>
      <c r="H46" t="s">
        <v>632</v>
      </c>
      <c r="I46">
        <v>3408</v>
      </c>
      <c r="J46">
        <v>7.412002573292896E-2</v>
      </c>
      <c r="K46" t="s">
        <v>20</v>
      </c>
      <c r="L46" t="s">
        <v>52</v>
      </c>
    </row>
    <row r="47" spans="1:12" x14ac:dyDescent="0.3">
      <c r="A47" t="s">
        <v>17</v>
      </c>
      <c r="B47" s="49">
        <v>45458</v>
      </c>
      <c r="C47" s="49">
        <v>45488</v>
      </c>
      <c r="D47" t="s">
        <v>651</v>
      </c>
      <c r="E47">
        <v>150000</v>
      </c>
      <c r="F47" t="s">
        <v>30</v>
      </c>
      <c r="G47" t="s">
        <v>39</v>
      </c>
      <c r="H47" t="s">
        <v>632</v>
      </c>
      <c r="I47">
        <v>4374</v>
      </c>
      <c r="J47">
        <v>5.4081095313322801E-2</v>
      </c>
      <c r="K47" t="s">
        <v>70</v>
      </c>
      <c r="L47" t="s">
        <v>71</v>
      </c>
    </row>
    <row r="48" spans="1:12" x14ac:dyDescent="0.3">
      <c r="A48" t="s">
        <v>17</v>
      </c>
      <c r="B48" s="49">
        <v>45458</v>
      </c>
      <c r="C48" s="49">
        <v>45488</v>
      </c>
      <c r="D48" t="s">
        <v>651</v>
      </c>
      <c r="E48">
        <v>150000</v>
      </c>
      <c r="F48" t="s">
        <v>30</v>
      </c>
      <c r="G48" t="s">
        <v>39</v>
      </c>
      <c r="H48" t="s">
        <v>632</v>
      </c>
      <c r="I48">
        <v>4577</v>
      </c>
      <c r="J48">
        <v>7.2503306878306875E-2</v>
      </c>
      <c r="K48" t="s">
        <v>15</v>
      </c>
      <c r="L48" t="s">
        <v>61</v>
      </c>
    </row>
    <row r="49" spans="1:12" x14ac:dyDescent="0.3">
      <c r="A49" t="s">
        <v>17</v>
      </c>
      <c r="B49" s="49">
        <v>45458</v>
      </c>
      <c r="C49" s="49">
        <v>45488</v>
      </c>
      <c r="D49" t="s">
        <v>651</v>
      </c>
      <c r="E49">
        <v>150000</v>
      </c>
      <c r="F49" t="s">
        <v>30</v>
      </c>
      <c r="G49" t="s">
        <v>39</v>
      </c>
      <c r="H49" t="s">
        <v>632</v>
      </c>
      <c r="I49">
        <v>2869</v>
      </c>
      <c r="J49">
        <v>0.11143487163332809</v>
      </c>
      <c r="K49" t="s">
        <v>15</v>
      </c>
      <c r="L49" t="s">
        <v>61</v>
      </c>
    </row>
    <row r="50" spans="1:12" x14ac:dyDescent="0.3">
      <c r="A50" t="s">
        <v>17</v>
      </c>
      <c r="B50" s="49">
        <v>45458</v>
      </c>
      <c r="C50" s="49">
        <v>45488</v>
      </c>
      <c r="D50" t="s">
        <v>651</v>
      </c>
      <c r="E50">
        <v>150000</v>
      </c>
      <c r="F50" t="s">
        <v>30</v>
      </c>
      <c r="G50" t="s">
        <v>39</v>
      </c>
      <c r="H50" t="s">
        <v>632</v>
      </c>
      <c r="I50">
        <v>2869</v>
      </c>
      <c r="J50">
        <v>0.11143487163332809</v>
      </c>
      <c r="K50" t="s">
        <v>15</v>
      </c>
      <c r="L50" t="s">
        <v>61</v>
      </c>
    </row>
    <row r="51" spans="1:12" x14ac:dyDescent="0.3">
      <c r="A51" t="s">
        <v>17</v>
      </c>
      <c r="B51" s="49">
        <v>45458</v>
      </c>
      <c r="C51" s="49">
        <v>45488</v>
      </c>
      <c r="D51" t="s">
        <v>651</v>
      </c>
      <c r="E51">
        <v>150000</v>
      </c>
      <c r="F51" t="s">
        <v>30</v>
      </c>
      <c r="G51" t="s">
        <v>39</v>
      </c>
      <c r="H51" t="s">
        <v>632</v>
      </c>
      <c r="I51">
        <v>5234</v>
      </c>
      <c r="J51">
        <v>0.12232704402515723</v>
      </c>
      <c r="K51" t="s">
        <v>15</v>
      </c>
      <c r="L51" t="s">
        <v>61</v>
      </c>
    </row>
    <row r="52" spans="1:12" x14ac:dyDescent="0.3">
      <c r="A52" t="s">
        <v>17</v>
      </c>
      <c r="B52" s="49">
        <v>45458</v>
      </c>
      <c r="C52" s="49">
        <v>45488</v>
      </c>
      <c r="D52" t="s">
        <v>651</v>
      </c>
      <c r="E52">
        <v>150000</v>
      </c>
      <c r="F52" t="s">
        <v>30</v>
      </c>
      <c r="G52" t="s">
        <v>39</v>
      </c>
      <c r="H52" t="s">
        <v>632</v>
      </c>
      <c r="I52">
        <v>962</v>
      </c>
      <c r="J52">
        <v>0.25771055753262156</v>
      </c>
      <c r="K52" t="s">
        <v>20</v>
      </c>
      <c r="L52" t="s">
        <v>52</v>
      </c>
    </row>
    <row r="53" spans="1:12" x14ac:dyDescent="0.3">
      <c r="A53" t="s">
        <v>17</v>
      </c>
      <c r="B53" s="49">
        <v>45458</v>
      </c>
      <c r="C53" s="49">
        <v>45488</v>
      </c>
      <c r="D53" t="s">
        <v>651</v>
      </c>
      <c r="E53">
        <v>150000</v>
      </c>
      <c r="F53" t="s">
        <v>30</v>
      </c>
      <c r="G53" t="s">
        <v>39</v>
      </c>
      <c r="H53" t="s">
        <v>632</v>
      </c>
      <c r="I53">
        <v>5483</v>
      </c>
      <c r="J53">
        <v>0.24763928234183191</v>
      </c>
      <c r="K53" t="s">
        <v>48</v>
      </c>
      <c r="L53" t="s">
        <v>55</v>
      </c>
    </row>
    <row r="54" spans="1:12" x14ac:dyDescent="0.3">
      <c r="A54" t="s">
        <v>17</v>
      </c>
      <c r="B54" s="49">
        <v>45458</v>
      </c>
      <c r="C54" s="49">
        <v>45488</v>
      </c>
      <c r="D54" t="s">
        <v>651</v>
      </c>
      <c r="E54">
        <v>150000</v>
      </c>
      <c r="F54" t="s">
        <v>30</v>
      </c>
      <c r="G54" t="s">
        <v>39</v>
      </c>
      <c r="H54" t="s">
        <v>632</v>
      </c>
      <c r="I54">
        <v>3878</v>
      </c>
      <c r="J54">
        <v>0.12428384068475185</v>
      </c>
      <c r="K54" t="s">
        <v>20</v>
      </c>
      <c r="L54" t="s">
        <v>52</v>
      </c>
    </row>
    <row r="55" spans="1:12" x14ac:dyDescent="0.3">
      <c r="A55" t="s">
        <v>28</v>
      </c>
      <c r="B55" s="49">
        <v>45651</v>
      </c>
      <c r="C55" s="49">
        <v>45667</v>
      </c>
      <c r="D55" t="s">
        <v>654</v>
      </c>
      <c r="E55">
        <v>250000</v>
      </c>
      <c r="F55" t="s">
        <v>39</v>
      </c>
      <c r="G55" t="s">
        <v>13</v>
      </c>
      <c r="H55" t="s">
        <v>552</v>
      </c>
      <c r="I55">
        <v>2942</v>
      </c>
      <c r="J55">
        <v>0.21208106001558846</v>
      </c>
      <c r="K55" t="s">
        <v>41</v>
      </c>
      <c r="L55" t="s">
        <v>84</v>
      </c>
    </row>
    <row r="56" spans="1:12" x14ac:dyDescent="0.3">
      <c r="A56" t="s">
        <v>28</v>
      </c>
      <c r="B56" s="49">
        <v>45651</v>
      </c>
      <c r="C56" s="49">
        <v>45667</v>
      </c>
      <c r="D56" t="s">
        <v>654</v>
      </c>
      <c r="E56">
        <v>250000</v>
      </c>
      <c r="F56" t="s">
        <v>39</v>
      </c>
      <c r="G56" t="s">
        <v>13</v>
      </c>
      <c r="H56" t="s">
        <v>552</v>
      </c>
      <c r="I56">
        <v>2984</v>
      </c>
      <c r="J56">
        <v>0.21826126954921804</v>
      </c>
      <c r="K56" t="s">
        <v>41</v>
      </c>
      <c r="L56" t="s">
        <v>84</v>
      </c>
    </row>
    <row r="57" spans="1:12" x14ac:dyDescent="0.3">
      <c r="A57" t="s">
        <v>28</v>
      </c>
      <c r="B57" s="49">
        <v>45651</v>
      </c>
      <c r="C57" s="49">
        <v>45667</v>
      </c>
      <c r="D57" t="s">
        <v>654</v>
      </c>
      <c r="E57">
        <v>250000</v>
      </c>
      <c r="F57" t="s">
        <v>39</v>
      </c>
      <c r="G57" t="s">
        <v>13</v>
      </c>
      <c r="H57" t="s">
        <v>552</v>
      </c>
      <c r="I57">
        <v>2024</v>
      </c>
      <c r="J57">
        <v>0.1650782845473111</v>
      </c>
      <c r="K57" t="s">
        <v>70</v>
      </c>
      <c r="L57" t="s">
        <v>81</v>
      </c>
    </row>
    <row r="58" spans="1:12" x14ac:dyDescent="0.3">
      <c r="A58" t="s">
        <v>28</v>
      </c>
      <c r="B58" s="49">
        <v>45651</v>
      </c>
      <c r="C58" s="49">
        <v>45667</v>
      </c>
      <c r="D58" t="s">
        <v>654</v>
      </c>
      <c r="E58">
        <v>250000</v>
      </c>
      <c r="F58" t="s">
        <v>39</v>
      </c>
      <c r="G58" t="s">
        <v>13</v>
      </c>
      <c r="H58" t="s">
        <v>552</v>
      </c>
      <c r="I58">
        <v>2024</v>
      </c>
      <c r="J58">
        <v>0.1650782845473111</v>
      </c>
      <c r="K58" t="s">
        <v>70</v>
      </c>
      <c r="L58" t="s">
        <v>81</v>
      </c>
    </row>
    <row r="59" spans="1:12" x14ac:dyDescent="0.3">
      <c r="A59" t="s">
        <v>28</v>
      </c>
      <c r="B59" s="49">
        <v>45651</v>
      </c>
      <c r="C59" s="49">
        <v>45667</v>
      </c>
      <c r="D59" t="s">
        <v>654</v>
      </c>
      <c r="E59">
        <v>250000</v>
      </c>
      <c r="F59" t="s">
        <v>39</v>
      </c>
      <c r="G59" t="s">
        <v>13</v>
      </c>
      <c r="H59" t="s">
        <v>552</v>
      </c>
      <c r="I59">
        <v>2024</v>
      </c>
      <c r="J59">
        <v>0.1650782845473111</v>
      </c>
      <c r="K59" t="s">
        <v>70</v>
      </c>
      <c r="L59" t="s">
        <v>81</v>
      </c>
    </row>
    <row r="60" spans="1:12" x14ac:dyDescent="0.3">
      <c r="A60" t="s">
        <v>28</v>
      </c>
      <c r="B60" s="49">
        <v>45651</v>
      </c>
      <c r="C60" s="49">
        <v>45667</v>
      </c>
      <c r="D60" t="s">
        <v>654</v>
      </c>
      <c r="E60">
        <v>250000</v>
      </c>
      <c r="F60" t="s">
        <v>39</v>
      </c>
      <c r="G60" t="s">
        <v>13</v>
      </c>
      <c r="H60" t="s">
        <v>552</v>
      </c>
      <c r="I60">
        <v>2169</v>
      </c>
      <c r="J60">
        <v>9.4413295955146179E-2</v>
      </c>
      <c r="K60" t="s">
        <v>32</v>
      </c>
      <c r="L60" t="s">
        <v>33</v>
      </c>
    </row>
    <row r="61" spans="1:12" x14ac:dyDescent="0.3">
      <c r="A61" t="s">
        <v>28</v>
      </c>
      <c r="B61" s="49">
        <v>45651</v>
      </c>
      <c r="C61" s="49">
        <v>45667</v>
      </c>
      <c r="D61" t="s">
        <v>654</v>
      </c>
      <c r="E61">
        <v>250000</v>
      </c>
      <c r="F61" t="s">
        <v>39</v>
      </c>
      <c r="G61" t="s">
        <v>13</v>
      </c>
      <c r="H61" t="s">
        <v>552</v>
      </c>
      <c r="I61">
        <v>1441</v>
      </c>
      <c r="J61">
        <v>8.558620689655172E-2</v>
      </c>
      <c r="K61" t="s">
        <v>48</v>
      </c>
      <c r="L61" t="s">
        <v>208</v>
      </c>
    </row>
    <row r="62" spans="1:12" x14ac:dyDescent="0.3">
      <c r="A62" t="s">
        <v>28</v>
      </c>
      <c r="B62" s="49">
        <v>45651</v>
      </c>
      <c r="C62" s="49">
        <v>45667</v>
      </c>
      <c r="D62" t="s">
        <v>654</v>
      </c>
      <c r="E62">
        <v>250000</v>
      </c>
      <c r="F62" t="s">
        <v>39</v>
      </c>
      <c r="G62" t="s">
        <v>13</v>
      </c>
      <c r="H62" t="s">
        <v>552</v>
      </c>
      <c r="I62">
        <v>1441</v>
      </c>
      <c r="J62">
        <v>8.558620689655172E-2</v>
      </c>
      <c r="K62" t="s">
        <v>48</v>
      </c>
      <c r="L62" t="s">
        <v>208</v>
      </c>
    </row>
    <row r="63" spans="1:12" x14ac:dyDescent="0.3">
      <c r="A63" t="s">
        <v>28</v>
      </c>
      <c r="B63" s="49">
        <v>45651</v>
      </c>
      <c r="C63" s="49">
        <v>45667</v>
      </c>
      <c r="D63" t="s">
        <v>654</v>
      </c>
      <c r="E63">
        <v>250000</v>
      </c>
      <c r="F63" t="s">
        <v>39</v>
      </c>
      <c r="G63" t="s">
        <v>13</v>
      </c>
      <c r="H63" t="s">
        <v>552</v>
      </c>
      <c r="I63">
        <v>1441</v>
      </c>
      <c r="J63">
        <v>8.558620689655172E-2</v>
      </c>
      <c r="K63" t="s">
        <v>48</v>
      </c>
      <c r="L63" t="s">
        <v>208</v>
      </c>
    </row>
    <row r="64" spans="1:12" x14ac:dyDescent="0.3">
      <c r="A64" t="s">
        <v>28</v>
      </c>
      <c r="B64" s="49">
        <v>45651</v>
      </c>
      <c r="C64" s="49">
        <v>45667</v>
      </c>
      <c r="D64" t="s">
        <v>654</v>
      </c>
      <c r="E64">
        <v>250000</v>
      </c>
      <c r="F64" t="s">
        <v>39</v>
      </c>
      <c r="G64" t="s">
        <v>13</v>
      </c>
      <c r="H64" t="s">
        <v>552</v>
      </c>
      <c r="I64">
        <v>2558</v>
      </c>
      <c r="J64">
        <v>0.28045655718611695</v>
      </c>
      <c r="K64" t="s">
        <v>70</v>
      </c>
      <c r="L64" t="s">
        <v>81</v>
      </c>
    </row>
    <row r="65" spans="1:12" x14ac:dyDescent="0.3">
      <c r="A65" t="s">
        <v>28</v>
      </c>
      <c r="B65" s="49">
        <v>45651</v>
      </c>
      <c r="C65" s="49">
        <v>45667</v>
      </c>
      <c r="D65" t="s">
        <v>654</v>
      </c>
      <c r="E65">
        <v>250000</v>
      </c>
      <c r="F65" t="s">
        <v>39</v>
      </c>
      <c r="G65" t="s">
        <v>13</v>
      </c>
      <c r="H65" t="s">
        <v>552</v>
      </c>
      <c r="I65">
        <v>3167</v>
      </c>
      <c r="J65">
        <v>0.16843866371633656</v>
      </c>
      <c r="K65" t="s">
        <v>48</v>
      </c>
      <c r="L65" t="s">
        <v>208</v>
      </c>
    </row>
    <row r="66" spans="1:12" x14ac:dyDescent="0.3">
      <c r="A66" t="s">
        <v>28</v>
      </c>
      <c r="B66" s="49">
        <v>45651</v>
      </c>
      <c r="C66" s="49">
        <v>45667</v>
      </c>
      <c r="D66" t="s">
        <v>654</v>
      </c>
      <c r="E66">
        <v>250000</v>
      </c>
      <c r="F66" t="s">
        <v>39</v>
      </c>
      <c r="G66" t="s">
        <v>13</v>
      </c>
      <c r="H66" t="s">
        <v>552</v>
      </c>
      <c r="I66">
        <v>5766</v>
      </c>
      <c r="J66">
        <v>0.13106060606060607</v>
      </c>
      <c r="K66" t="s">
        <v>15</v>
      </c>
      <c r="L66" t="s">
        <v>78</v>
      </c>
    </row>
    <row r="67" spans="1:12" x14ac:dyDescent="0.3">
      <c r="A67" t="s">
        <v>28</v>
      </c>
      <c r="B67" s="49">
        <v>45651</v>
      </c>
      <c r="C67" s="49">
        <v>45667</v>
      </c>
      <c r="D67" t="s">
        <v>654</v>
      </c>
      <c r="E67">
        <v>250000</v>
      </c>
      <c r="F67" t="s">
        <v>39</v>
      </c>
      <c r="G67" t="s">
        <v>13</v>
      </c>
      <c r="H67" t="s">
        <v>552</v>
      </c>
      <c r="I67">
        <v>3153</v>
      </c>
      <c r="J67">
        <v>5.5531494209584788E-2</v>
      </c>
      <c r="K67" t="s">
        <v>15</v>
      </c>
      <c r="L67" t="s">
        <v>26</v>
      </c>
    </row>
    <row r="68" spans="1:12" x14ac:dyDescent="0.3">
      <c r="A68" t="s">
        <v>28</v>
      </c>
      <c r="B68" s="49">
        <v>45651</v>
      </c>
      <c r="C68" s="49">
        <v>45667</v>
      </c>
      <c r="D68" t="s">
        <v>654</v>
      </c>
      <c r="E68">
        <v>250000</v>
      </c>
      <c r="F68" t="s">
        <v>39</v>
      </c>
      <c r="G68" t="s">
        <v>13</v>
      </c>
      <c r="H68" t="s">
        <v>552</v>
      </c>
      <c r="I68">
        <v>4016</v>
      </c>
      <c r="J68">
        <v>9.1365878393951966E-2</v>
      </c>
      <c r="K68" t="s">
        <v>41</v>
      </c>
      <c r="L68" t="s">
        <v>84</v>
      </c>
    </row>
    <row r="69" spans="1:12" x14ac:dyDescent="0.3">
      <c r="A69" t="s">
        <v>28</v>
      </c>
      <c r="B69" s="49">
        <v>45651</v>
      </c>
      <c r="C69" s="49">
        <v>45667</v>
      </c>
      <c r="D69" t="s">
        <v>654</v>
      </c>
      <c r="E69">
        <v>250000</v>
      </c>
      <c r="F69" t="s">
        <v>39</v>
      </c>
      <c r="G69" t="s">
        <v>13</v>
      </c>
      <c r="H69" t="s">
        <v>552</v>
      </c>
      <c r="I69">
        <v>2593</v>
      </c>
      <c r="J69">
        <v>0.12575841147269717</v>
      </c>
      <c r="K69" t="s">
        <v>20</v>
      </c>
      <c r="L69" t="s">
        <v>108</v>
      </c>
    </row>
    <row r="70" spans="1:12" x14ac:dyDescent="0.3">
      <c r="A70" t="s">
        <v>28</v>
      </c>
      <c r="B70" s="49">
        <v>45651</v>
      </c>
      <c r="C70" s="49">
        <v>45667</v>
      </c>
      <c r="D70" t="s">
        <v>654</v>
      </c>
      <c r="E70">
        <v>250000</v>
      </c>
      <c r="F70" t="s">
        <v>39</v>
      </c>
      <c r="G70" t="s">
        <v>13</v>
      </c>
      <c r="H70" t="s">
        <v>552</v>
      </c>
      <c r="I70">
        <v>3517</v>
      </c>
      <c r="J70">
        <v>0.29713518352730528</v>
      </c>
      <c r="K70" t="s">
        <v>41</v>
      </c>
      <c r="L70" t="s">
        <v>84</v>
      </c>
    </row>
    <row r="71" spans="1:12" x14ac:dyDescent="0.3">
      <c r="A71" t="s">
        <v>28</v>
      </c>
      <c r="B71" s="49">
        <v>45651</v>
      </c>
      <c r="C71" s="49">
        <v>45667</v>
      </c>
      <c r="D71" t="s">
        <v>654</v>
      </c>
      <c r="E71">
        <v>250000</v>
      </c>
      <c r="F71" t="s">
        <v>39</v>
      </c>
      <c r="G71" t="s">
        <v>13</v>
      </c>
      <c r="H71" t="s">
        <v>552</v>
      </c>
      <c r="I71">
        <v>742</v>
      </c>
      <c r="J71">
        <v>0.11232349165596919</v>
      </c>
      <c r="K71" t="s">
        <v>20</v>
      </c>
      <c r="L71" t="s">
        <v>108</v>
      </c>
    </row>
    <row r="72" spans="1:12" x14ac:dyDescent="0.3">
      <c r="A72" t="s">
        <v>28</v>
      </c>
      <c r="B72" s="49">
        <v>45651</v>
      </c>
      <c r="C72" s="49">
        <v>45667</v>
      </c>
      <c r="D72" t="s">
        <v>654</v>
      </c>
      <c r="E72">
        <v>250000</v>
      </c>
      <c r="F72" t="s">
        <v>39</v>
      </c>
      <c r="G72" t="s">
        <v>13</v>
      </c>
      <c r="H72" t="s">
        <v>552</v>
      </c>
      <c r="I72">
        <v>5332</v>
      </c>
      <c r="J72">
        <v>8.7752275425405618E-2</v>
      </c>
      <c r="K72" t="s">
        <v>32</v>
      </c>
      <c r="L72" t="s">
        <v>33</v>
      </c>
    </row>
    <row r="73" spans="1:12" x14ac:dyDescent="0.3">
      <c r="A73" t="s">
        <v>28</v>
      </c>
      <c r="B73" s="49">
        <v>45651</v>
      </c>
      <c r="C73" s="49">
        <v>45667</v>
      </c>
      <c r="D73" t="s">
        <v>654</v>
      </c>
      <c r="E73">
        <v>250000</v>
      </c>
      <c r="F73" t="s">
        <v>39</v>
      </c>
      <c r="G73" t="s">
        <v>13</v>
      </c>
      <c r="H73" t="s">
        <v>552</v>
      </c>
      <c r="I73">
        <v>5332</v>
      </c>
      <c r="J73">
        <v>8.7752275425405618E-2</v>
      </c>
      <c r="K73" t="s">
        <v>32</v>
      </c>
      <c r="L73" t="s">
        <v>33</v>
      </c>
    </row>
    <row r="74" spans="1:12" x14ac:dyDescent="0.3">
      <c r="A74" t="s">
        <v>28</v>
      </c>
      <c r="B74" s="49">
        <v>45651</v>
      </c>
      <c r="C74" s="49">
        <v>45667</v>
      </c>
      <c r="D74" t="s">
        <v>654</v>
      </c>
      <c r="E74">
        <v>250000</v>
      </c>
      <c r="F74" t="s">
        <v>39</v>
      </c>
      <c r="G74" t="s">
        <v>13</v>
      </c>
      <c r="H74" t="s">
        <v>552</v>
      </c>
      <c r="I74">
        <v>3086</v>
      </c>
      <c r="J74">
        <v>0.13498547567175018</v>
      </c>
      <c r="K74" t="s">
        <v>32</v>
      </c>
      <c r="L74" t="s">
        <v>149</v>
      </c>
    </row>
    <row r="75" spans="1:12" x14ac:dyDescent="0.3">
      <c r="A75" t="s">
        <v>28</v>
      </c>
      <c r="B75" s="49">
        <v>45651</v>
      </c>
      <c r="C75" s="49">
        <v>45667</v>
      </c>
      <c r="D75" t="s">
        <v>654</v>
      </c>
      <c r="E75">
        <v>250000</v>
      </c>
      <c r="F75" t="s">
        <v>39</v>
      </c>
      <c r="G75" t="s">
        <v>13</v>
      </c>
      <c r="H75" t="s">
        <v>552</v>
      </c>
      <c r="I75">
        <v>5332</v>
      </c>
      <c r="J75">
        <v>8.7752275425405618E-2</v>
      </c>
      <c r="K75" t="s">
        <v>32</v>
      </c>
      <c r="L75" t="s">
        <v>33</v>
      </c>
    </row>
    <row r="76" spans="1:12" x14ac:dyDescent="0.3">
      <c r="A76" t="s">
        <v>28</v>
      </c>
      <c r="B76" s="49">
        <v>45651</v>
      </c>
      <c r="C76" s="49">
        <v>45667</v>
      </c>
      <c r="D76" t="s">
        <v>654</v>
      </c>
      <c r="E76">
        <v>250000</v>
      </c>
      <c r="F76" t="s">
        <v>39</v>
      </c>
      <c r="G76" t="s">
        <v>13</v>
      </c>
      <c r="H76" t="s">
        <v>552</v>
      </c>
      <c r="I76">
        <v>5838</v>
      </c>
      <c r="J76">
        <v>0.14220299534507186</v>
      </c>
      <c r="K76" t="s">
        <v>20</v>
      </c>
      <c r="L76" t="s">
        <v>108</v>
      </c>
    </row>
    <row r="77" spans="1:12" x14ac:dyDescent="0.3">
      <c r="A77" t="s">
        <v>28</v>
      </c>
      <c r="B77" s="49">
        <v>45651</v>
      </c>
      <c r="C77" s="49">
        <v>45667</v>
      </c>
      <c r="D77" t="s">
        <v>654</v>
      </c>
      <c r="E77">
        <v>250000</v>
      </c>
      <c r="F77" t="s">
        <v>39</v>
      </c>
      <c r="G77" t="s">
        <v>13</v>
      </c>
      <c r="H77" t="s">
        <v>552</v>
      </c>
      <c r="I77">
        <v>2103</v>
      </c>
      <c r="J77">
        <v>0.1071650124069479</v>
      </c>
      <c r="K77" t="s">
        <v>70</v>
      </c>
      <c r="L77" t="s">
        <v>81</v>
      </c>
    </row>
    <row r="78" spans="1:12" x14ac:dyDescent="0.3">
      <c r="A78" t="s">
        <v>28</v>
      </c>
      <c r="B78" s="49">
        <v>45651</v>
      </c>
      <c r="C78" s="49">
        <v>45667</v>
      </c>
      <c r="D78" t="s">
        <v>654</v>
      </c>
      <c r="E78">
        <v>250000</v>
      </c>
      <c r="F78" t="s">
        <v>39</v>
      </c>
      <c r="G78" t="s">
        <v>13</v>
      </c>
      <c r="H78" t="s">
        <v>552</v>
      </c>
      <c r="I78">
        <v>661</v>
      </c>
      <c r="J78">
        <v>0.53773584905660377</v>
      </c>
      <c r="K78" t="s">
        <v>41</v>
      </c>
      <c r="L78" t="s">
        <v>45</v>
      </c>
    </row>
    <row r="79" spans="1:12" x14ac:dyDescent="0.3">
      <c r="A79" t="s">
        <v>28</v>
      </c>
      <c r="B79" s="49">
        <v>45651</v>
      </c>
      <c r="C79" s="49">
        <v>45667</v>
      </c>
      <c r="D79" t="s">
        <v>654</v>
      </c>
      <c r="E79">
        <v>250000</v>
      </c>
      <c r="F79" t="s">
        <v>39</v>
      </c>
      <c r="G79" t="s">
        <v>13</v>
      </c>
      <c r="H79" t="s">
        <v>552</v>
      </c>
      <c r="I79">
        <v>4862</v>
      </c>
      <c r="J79">
        <v>5.2551586421122697E-2</v>
      </c>
      <c r="K79" t="s">
        <v>41</v>
      </c>
      <c r="L79" t="s">
        <v>45</v>
      </c>
    </row>
    <row r="80" spans="1:12" x14ac:dyDescent="0.3">
      <c r="A80" t="s">
        <v>28</v>
      </c>
      <c r="B80" s="49">
        <v>45651</v>
      </c>
      <c r="C80" s="49">
        <v>45667</v>
      </c>
      <c r="D80" t="s">
        <v>654</v>
      </c>
      <c r="E80">
        <v>250000</v>
      </c>
      <c r="F80" t="s">
        <v>39</v>
      </c>
      <c r="G80" t="s">
        <v>13</v>
      </c>
      <c r="H80" t="s">
        <v>552</v>
      </c>
      <c r="I80">
        <v>2563</v>
      </c>
      <c r="J80">
        <v>9.3421052631578946E-2</v>
      </c>
      <c r="K80" t="s">
        <v>20</v>
      </c>
      <c r="L80" t="s">
        <v>21</v>
      </c>
    </row>
    <row r="81" spans="1:12" x14ac:dyDescent="0.3">
      <c r="A81" t="s">
        <v>28</v>
      </c>
      <c r="B81" s="49">
        <v>45651</v>
      </c>
      <c r="C81" s="49">
        <v>45667</v>
      </c>
      <c r="D81" t="s">
        <v>654</v>
      </c>
      <c r="E81">
        <v>250000</v>
      </c>
      <c r="F81" t="s">
        <v>39</v>
      </c>
      <c r="G81" t="s">
        <v>13</v>
      </c>
      <c r="H81" t="s">
        <v>552</v>
      </c>
      <c r="I81">
        <v>2352</v>
      </c>
      <c r="J81">
        <v>0.13351302785265048</v>
      </c>
      <c r="K81" t="s">
        <v>15</v>
      </c>
      <c r="L81" t="s">
        <v>26</v>
      </c>
    </row>
    <row r="82" spans="1:12" x14ac:dyDescent="0.3">
      <c r="A82" t="s">
        <v>28</v>
      </c>
      <c r="B82" s="49">
        <v>45651</v>
      </c>
      <c r="C82" s="49">
        <v>45667</v>
      </c>
      <c r="D82" t="s">
        <v>654</v>
      </c>
      <c r="E82">
        <v>250000</v>
      </c>
      <c r="F82" t="s">
        <v>39</v>
      </c>
      <c r="G82" t="s">
        <v>13</v>
      </c>
      <c r="H82" t="s">
        <v>552</v>
      </c>
      <c r="I82">
        <v>2894</v>
      </c>
      <c r="J82">
        <v>0.20868152274837512</v>
      </c>
      <c r="K82" t="s">
        <v>70</v>
      </c>
      <c r="L82" t="s">
        <v>140</v>
      </c>
    </row>
    <row r="83" spans="1:12" x14ac:dyDescent="0.3">
      <c r="A83" t="s">
        <v>28</v>
      </c>
      <c r="B83" s="49">
        <v>45651</v>
      </c>
      <c r="C83" s="49">
        <v>45667</v>
      </c>
      <c r="D83" t="s">
        <v>654</v>
      </c>
      <c r="E83">
        <v>250000</v>
      </c>
      <c r="F83" t="s">
        <v>39</v>
      </c>
      <c r="G83" t="s">
        <v>13</v>
      </c>
      <c r="H83" t="s">
        <v>552</v>
      </c>
      <c r="I83">
        <v>5405</v>
      </c>
      <c r="J83">
        <v>0.13599052880820836</v>
      </c>
      <c r="K83" t="s">
        <v>32</v>
      </c>
      <c r="L83" t="s">
        <v>144</v>
      </c>
    </row>
    <row r="84" spans="1:12" x14ac:dyDescent="0.3">
      <c r="A84" t="s">
        <v>28</v>
      </c>
      <c r="B84" s="49">
        <v>45651</v>
      </c>
      <c r="C84" s="49">
        <v>45667</v>
      </c>
      <c r="D84" t="s">
        <v>654</v>
      </c>
      <c r="E84">
        <v>250000</v>
      </c>
      <c r="F84" t="s">
        <v>39</v>
      </c>
      <c r="G84" t="s">
        <v>13</v>
      </c>
      <c r="H84" t="s">
        <v>552</v>
      </c>
      <c r="I84">
        <v>4978</v>
      </c>
      <c r="J84">
        <v>7.2000119875329657E-2</v>
      </c>
      <c r="K84" t="s">
        <v>41</v>
      </c>
      <c r="L84" t="s">
        <v>64</v>
      </c>
    </row>
    <row r="85" spans="1:12" x14ac:dyDescent="0.3">
      <c r="A85" t="s">
        <v>28</v>
      </c>
      <c r="B85" s="49">
        <v>45651</v>
      </c>
      <c r="C85" s="49">
        <v>45667</v>
      </c>
      <c r="D85" t="s">
        <v>654</v>
      </c>
      <c r="E85">
        <v>250000</v>
      </c>
      <c r="F85" t="s">
        <v>39</v>
      </c>
      <c r="G85" t="s">
        <v>13</v>
      </c>
      <c r="H85" t="s">
        <v>552</v>
      </c>
      <c r="I85">
        <v>5588</v>
      </c>
      <c r="J85">
        <v>7.3707865168539333E-2</v>
      </c>
      <c r="K85" t="s">
        <v>70</v>
      </c>
      <c r="L85" t="s">
        <v>211</v>
      </c>
    </row>
    <row r="86" spans="1:12" x14ac:dyDescent="0.3">
      <c r="A86" t="s">
        <v>28</v>
      </c>
      <c r="B86" s="49">
        <v>45651</v>
      </c>
      <c r="C86" s="49">
        <v>45667</v>
      </c>
      <c r="D86" t="s">
        <v>654</v>
      </c>
      <c r="E86">
        <v>250000</v>
      </c>
      <c r="F86" t="s">
        <v>39</v>
      </c>
      <c r="G86" t="s">
        <v>13</v>
      </c>
      <c r="H86" t="s">
        <v>552</v>
      </c>
      <c r="I86">
        <v>4708</v>
      </c>
      <c r="J86">
        <v>0.13707250341997265</v>
      </c>
      <c r="K86" t="s">
        <v>32</v>
      </c>
      <c r="L86" t="s">
        <v>149</v>
      </c>
    </row>
    <row r="87" spans="1:12" x14ac:dyDescent="0.3">
      <c r="A87" t="s">
        <v>28</v>
      </c>
      <c r="B87" s="49">
        <v>45651</v>
      </c>
      <c r="C87" s="49">
        <v>45667</v>
      </c>
      <c r="D87" t="s">
        <v>654</v>
      </c>
      <c r="E87">
        <v>250000</v>
      </c>
      <c r="F87" t="s">
        <v>39</v>
      </c>
      <c r="G87" t="s">
        <v>13</v>
      </c>
      <c r="H87" t="s">
        <v>552</v>
      </c>
      <c r="I87">
        <v>4444</v>
      </c>
      <c r="J87">
        <v>0.16744313510550835</v>
      </c>
      <c r="K87" t="s">
        <v>32</v>
      </c>
      <c r="L87" t="s">
        <v>144</v>
      </c>
    </row>
    <row r="88" spans="1:12" x14ac:dyDescent="0.3">
      <c r="A88" t="s">
        <v>28</v>
      </c>
      <c r="B88" s="49">
        <v>45651</v>
      </c>
      <c r="C88" s="49">
        <v>45667</v>
      </c>
      <c r="D88" t="s">
        <v>654</v>
      </c>
      <c r="E88">
        <v>250000</v>
      </c>
      <c r="F88" t="s">
        <v>39</v>
      </c>
      <c r="G88" t="s">
        <v>13</v>
      </c>
      <c r="H88" t="s">
        <v>552</v>
      </c>
      <c r="I88">
        <v>3369</v>
      </c>
      <c r="J88">
        <v>0.17441662408448305</v>
      </c>
      <c r="K88" t="s">
        <v>32</v>
      </c>
      <c r="L88" t="s">
        <v>144</v>
      </c>
    </row>
    <row r="89" spans="1:12" x14ac:dyDescent="0.3">
      <c r="A89" t="s">
        <v>28</v>
      </c>
      <c r="B89" s="49">
        <v>45651</v>
      </c>
      <c r="C89" s="49">
        <v>45667</v>
      </c>
      <c r="D89" t="s">
        <v>654</v>
      </c>
      <c r="E89">
        <v>250000</v>
      </c>
      <c r="F89" t="s">
        <v>39</v>
      </c>
      <c r="G89" t="s">
        <v>13</v>
      </c>
      <c r="H89" t="s">
        <v>552</v>
      </c>
      <c r="I89">
        <v>969</v>
      </c>
      <c r="J89">
        <v>0.16065573770491803</v>
      </c>
      <c r="K89" t="s">
        <v>48</v>
      </c>
      <c r="L89" t="s">
        <v>127</v>
      </c>
    </row>
    <row r="90" spans="1:12" x14ac:dyDescent="0.3">
      <c r="A90" t="s">
        <v>28</v>
      </c>
      <c r="B90" s="49">
        <v>45651</v>
      </c>
      <c r="C90" s="49">
        <v>45667</v>
      </c>
      <c r="D90" t="s">
        <v>654</v>
      </c>
      <c r="E90">
        <v>250000</v>
      </c>
      <c r="F90" t="s">
        <v>39</v>
      </c>
      <c r="G90" t="s">
        <v>13</v>
      </c>
      <c r="H90" t="s">
        <v>552</v>
      </c>
      <c r="I90">
        <v>639</v>
      </c>
      <c r="J90">
        <v>0.50192307692307692</v>
      </c>
      <c r="K90" t="s">
        <v>41</v>
      </c>
      <c r="L90" t="s">
        <v>64</v>
      </c>
    </row>
    <row r="91" spans="1:12" x14ac:dyDescent="0.3">
      <c r="A91" t="s">
        <v>28</v>
      </c>
      <c r="B91" s="49">
        <v>45651</v>
      </c>
      <c r="C91" s="49">
        <v>45667</v>
      </c>
      <c r="D91" t="s">
        <v>654</v>
      </c>
      <c r="E91">
        <v>250000</v>
      </c>
      <c r="F91" t="s">
        <v>39</v>
      </c>
      <c r="G91" t="s">
        <v>13</v>
      </c>
      <c r="H91" t="s">
        <v>552</v>
      </c>
      <c r="I91">
        <v>1420</v>
      </c>
      <c r="J91">
        <v>0.17801355732390214</v>
      </c>
      <c r="K91" t="s">
        <v>70</v>
      </c>
      <c r="L91" t="s">
        <v>140</v>
      </c>
    </row>
    <row r="92" spans="1:12" x14ac:dyDescent="0.3">
      <c r="A92" t="s">
        <v>28</v>
      </c>
      <c r="B92" s="49">
        <v>45651</v>
      </c>
      <c r="C92" s="49">
        <v>45667</v>
      </c>
      <c r="D92" t="s">
        <v>654</v>
      </c>
      <c r="E92">
        <v>250000</v>
      </c>
      <c r="F92" t="s">
        <v>39</v>
      </c>
      <c r="G92" t="s">
        <v>13</v>
      </c>
      <c r="H92" t="s">
        <v>552</v>
      </c>
      <c r="I92">
        <v>4719</v>
      </c>
      <c r="J92">
        <v>6.8655003457763777E-2</v>
      </c>
      <c r="K92" t="s">
        <v>20</v>
      </c>
      <c r="L92" t="s">
        <v>21</v>
      </c>
    </row>
    <row r="93" spans="1:12" x14ac:dyDescent="0.3">
      <c r="A93" t="s">
        <v>28</v>
      </c>
      <c r="B93" s="49">
        <v>45651</v>
      </c>
      <c r="C93" s="49">
        <v>45667</v>
      </c>
      <c r="D93" t="s">
        <v>654</v>
      </c>
      <c r="E93">
        <v>250000</v>
      </c>
      <c r="F93" t="s">
        <v>39</v>
      </c>
      <c r="G93" t="s">
        <v>13</v>
      </c>
      <c r="H93" t="s">
        <v>552</v>
      </c>
      <c r="I93">
        <v>2519</v>
      </c>
      <c r="J93">
        <v>0.14348370927318296</v>
      </c>
      <c r="K93" t="s">
        <v>70</v>
      </c>
      <c r="L93" t="s">
        <v>140</v>
      </c>
    </row>
    <row r="94" spans="1:12" x14ac:dyDescent="0.3">
      <c r="A94" t="s">
        <v>28</v>
      </c>
      <c r="B94" s="49">
        <v>45651</v>
      </c>
      <c r="C94" s="49">
        <v>45667</v>
      </c>
      <c r="D94" t="s">
        <v>654</v>
      </c>
      <c r="E94">
        <v>250000</v>
      </c>
      <c r="F94" t="s">
        <v>39</v>
      </c>
      <c r="G94" t="s">
        <v>13</v>
      </c>
      <c r="H94" t="s">
        <v>552</v>
      </c>
      <c r="I94">
        <v>2104</v>
      </c>
      <c r="J94">
        <v>0.23673521198273673</v>
      </c>
      <c r="K94" t="s">
        <v>48</v>
      </c>
      <c r="L94" t="s">
        <v>49</v>
      </c>
    </row>
    <row r="95" spans="1:12" x14ac:dyDescent="0.3">
      <c r="A95" t="s">
        <v>28</v>
      </c>
      <c r="B95" s="49">
        <v>45651</v>
      </c>
      <c r="C95" s="49">
        <v>45667</v>
      </c>
      <c r="D95" t="s">
        <v>654</v>
      </c>
      <c r="E95">
        <v>250000</v>
      </c>
      <c r="F95" t="s">
        <v>39</v>
      </c>
      <c r="G95" t="s">
        <v>13</v>
      </c>
      <c r="H95" t="s">
        <v>552</v>
      </c>
      <c r="I95">
        <v>2640</v>
      </c>
      <c r="J95">
        <v>8.3726921425504502E-2</v>
      </c>
      <c r="K95" t="s">
        <v>15</v>
      </c>
      <c r="L95" t="s">
        <v>16</v>
      </c>
    </row>
    <row r="96" spans="1:12" x14ac:dyDescent="0.3">
      <c r="A96" t="s">
        <v>28</v>
      </c>
      <c r="B96" s="49">
        <v>45651</v>
      </c>
      <c r="C96" s="49">
        <v>45667</v>
      </c>
      <c r="D96" t="s">
        <v>654</v>
      </c>
      <c r="E96">
        <v>250000</v>
      </c>
      <c r="F96" t="s">
        <v>39</v>
      </c>
      <c r="G96" t="s">
        <v>13</v>
      </c>
      <c r="H96" t="s">
        <v>552</v>
      </c>
      <c r="I96">
        <v>5598</v>
      </c>
      <c r="J96">
        <v>9.9578134817341346E-2</v>
      </c>
      <c r="K96" t="s">
        <v>32</v>
      </c>
      <c r="L96" t="s">
        <v>149</v>
      </c>
    </row>
    <row r="97" spans="1:12" x14ac:dyDescent="0.3">
      <c r="A97" t="s">
        <v>28</v>
      </c>
      <c r="B97" s="49">
        <v>45651</v>
      </c>
      <c r="C97" s="49">
        <v>45667</v>
      </c>
      <c r="D97" t="s">
        <v>654</v>
      </c>
      <c r="E97">
        <v>250000</v>
      </c>
      <c r="F97" t="s">
        <v>39</v>
      </c>
      <c r="G97" t="s">
        <v>13</v>
      </c>
      <c r="H97" t="s">
        <v>552</v>
      </c>
      <c r="I97">
        <v>5527</v>
      </c>
      <c r="J97">
        <v>9.9255211647142488E-2</v>
      </c>
      <c r="K97" t="s">
        <v>48</v>
      </c>
      <c r="L97" t="s">
        <v>127</v>
      </c>
    </row>
    <row r="98" spans="1:12" x14ac:dyDescent="0.3">
      <c r="A98" t="s">
        <v>28</v>
      </c>
      <c r="B98" s="49">
        <v>45651</v>
      </c>
      <c r="C98" s="49">
        <v>45667</v>
      </c>
      <c r="D98" t="s">
        <v>654</v>
      </c>
      <c r="E98">
        <v>250000</v>
      </c>
      <c r="F98" t="s">
        <v>39</v>
      </c>
      <c r="G98" t="s">
        <v>13</v>
      </c>
      <c r="H98" t="s">
        <v>552</v>
      </c>
      <c r="I98">
        <v>2030</v>
      </c>
      <c r="J98">
        <v>0.19847328244274809</v>
      </c>
      <c r="K98" t="s">
        <v>48</v>
      </c>
      <c r="L98" t="s">
        <v>127</v>
      </c>
    </row>
    <row r="99" spans="1:12" x14ac:dyDescent="0.3">
      <c r="A99" t="s">
        <v>28</v>
      </c>
      <c r="B99" s="49">
        <v>45651</v>
      </c>
      <c r="C99" s="49">
        <v>45667</v>
      </c>
      <c r="D99" t="s">
        <v>654</v>
      </c>
      <c r="E99">
        <v>250000</v>
      </c>
      <c r="F99" t="s">
        <v>39</v>
      </c>
      <c r="G99" t="s">
        <v>13</v>
      </c>
      <c r="H99" t="s">
        <v>552</v>
      </c>
      <c r="I99">
        <v>5024</v>
      </c>
      <c r="J99">
        <v>0.14316214319138981</v>
      </c>
      <c r="K99" t="s">
        <v>41</v>
      </c>
      <c r="L99" t="s">
        <v>45</v>
      </c>
    </row>
    <row r="100" spans="1:12" x14ac:dyDescent="0.3">
      <c r="A100" t="s">
        <v>28</v>
      </c>
      <c r="B100" s="49">
        <v>45651</v>
      </c>
      <c r="C100" s="49">
        <v>45667</v>
      </c>
      <c r="D100" t="s">
        <v>654</v>
      </c>
      <c r="E100">
        <v>250000</v>
      </c>
      <c r="F100" t="s">
        <v>39</v>
      </c>
      <c r="G100" t="s">
        <v>13</v>
      </c>
      <c r="H100" t="s">
        <v>552</v>
      </c>
      <c r="I100">
        <v>5024</v>
      </c>
      <c r="J100">
        <v>0.14316214319138981</v>
      </c>
      <c r="K100" t="s">
        <v>41</v>
      </c>
      <c r="L100" t="s">
        <v>45</v>
      </c>
    </row>
    <row r="101" spans="1:12" x14ac:dyDescent="0.3">
      <c r="A101" t="s">
        <v>28</v>
      </c>
      <c r="B101" s="49">
        <v>45651</v>
      </c>
      <c r="C101" s="49">
        <v>45667</v>
      </c>
      <c r="D101" t="s">
        <v>654</v>
      </c>
      <c r="E101">
        <v>250000</v>
      </c>
      <c r="F101" t="s">
        <v>39</v>
      </c>
      <c r="G101" t="s">
        <v>13</v>
      </c>
      <c r="H101" t="s">
        <v>552</v>
      </c>
      <c r="I101">
        <v>1588</v>
      </c>
      <c r="J101">
        <v>8.6293505561535699E-2</v>
      </c>
      <c r="K101" t="s">
        <v>41</v>
      </c>
      <c r="L101" t="s">
        <v>45</v>
      </c>
    </row>
    <row r="102" spans="1:12" x14ac:dyDescent="0.3">
      <c r="A102" t="s">
        <v>28</v>
      </c>
      <c r="B102" s="49">
        <v>45651</v>
      </c>
      <c r="C102" s="49">
        <v>45667</v>
      </c>
      <c r="D102" t="s">
        <v>654</v>
      </c>
      <c r="E102">
        <v>250000</v>
      </c>
      <c r="F102" t="s">
        <v>39</v>
      </c>
      <c r="G102" t="s">
        <v>13</v>
      </c>
      <c r="H102" t="s">
        <v>552</v>
      </c>
      <c r="I102">
        <v>1588</v>
      </c>
      <c r="J102">
        <v>8.6293505561535699E-2</v>
      </c>
      <c r="K102" t="s">
        <v>41</v>
      </c>
      <c r="L102" t="s">
        <v>45</v>
      </c>
    </row>
    <row r="103" spans="1:12" x14ac:dyDescent="0.3">
      <c r="A103" t="s">
        <v>28</v>
      </c>
      <c r="B103" s="49">
        <v>45651</v>
      </c>
      <c r="C103" s="49">
        <v>45667</v>
      </c>
      <c r="D103" t="s">
        <v>654</v>
      </c>
      <c r="E103">
        <v>250000</v>
      </c>
      <c r="F103" t="s">
        <v>39</v>
      </c>
      <c r="G103" t="s">
        <v>13</v>
      </c>
      <c r="H103" t="s">
        <v>552</v>
      </c>
      <c r="I103">
        <v>1588</v>
      </c>
      <c r="J103">
        <v>8.6293505561535699E-2</v>
      </c>
      <c r="K103" t="s">
        <v>41</v>
      </c>
      <c r="L103" t="s">
        <v>45</v>
      </c>
    </row>
    <row r="104" spans="1:12" x14ac:dyDescent="0.3">
      <c r="A104" t="s">
        <v>28</v>
      </c>
      <c r="B104" s="49">
        <v>45651</v>
      </c>
      <c r="C104" s="49">
        <v>45667</v>
      </c>
      <c r="D104" t="s">
        <v>654</v>
      </c>
      <c r="E104">
        <v>250000</v>
      </c>
      <c r="F104" t="s">
        <v>39</v>
      </c>
      <c r="G104" t="s">
        <v>13</v>
      </c>
      <c r="H104" t="s">
        <v>552</v>
      </c>
      <c r="I104">
        <v>6092</v>
      </c>
      <c r="J104">
        <v>0.25869984981763572</v>
      </c>
      <c r="K104" t="s">
        <v>70</v>
      </c>
      <c r="L104" t="s">
        <v>211</v>
      </c>
    </row>
    <row r="105" spans="1:12" x14ac:dyDescent="0.3">
      <c r="A105" t="s">
        <v>28</v>
      </c>
      <c r="B105" s="49">
        <v>45651</v>
      </c>
      <c r="C105" s="49">
        <v>45667</v>
      </c>
      <c r="D105" t="s">
        <v>654</v>
      </c>
      <c r="E105">
        <v>250000</v>
      </c>
      <c r="F105" t="s">
        <v>39</v>
      </c>
      <c r="G105" t="s">
        <v>13</v>
      </c>
      <c r="H105" t="s">
        <v>552</v>
      </c>
      <c r="I105">
        <v>4293</v>
      </c>
      <c r="J105">
        <v>6.7103868574456813E-2</v>
      </c>
      <c r="K105" t="s">
        <v>15</v>
      </c>
      <c r="L105" t="s">
        <v>26</v>
      </c>
    </row>
    <row r="106" spans="1:12" x14ac:dyDescent="0.3">
      <c r="A106" t="s">
        <v>28</v>
      </c>
      <c r="B106" s="49">
        <v>45651</v>
      </c>
      <c r="C106" s="49">
        <v>45667</v>
      </c>
      <c r="D106" t="s">
        <v>654</v>
      </c>
      <c r="E106">
        <v>250000</v>
      </c>
      <c r="F106" t="s">
        <v>39</v>
      </c>
      <c r="G106" t="s">
        <v>13</v>
      </c>
      <c r="H106" t="s">
        <v>552</v>
      </c>
      <c r="I106">
        <v>4190</v>
      </c>
      <c r="J106">
        <v>0.19484607062063539</v>
      </c>
      <c r="K106" t="s">
        <v>70</v>
      </c>
      <c r="L106" t="s">
        <v>211</v>
      </c>
    </row>
    <row r="107" spans="1:12" x14ac:dyDescent="0.3">
      <c r="A107" t="s">
        <v>28</v>
      </c>
      <c r="B107" s="49">
        <v>45651</v>
      </c>
      <c r="C107" s="49">
        <v>45667</v>
      </c>
      <c r="D107" t="s">
        <v>654</v>
      </c>
      <c r="E107">
        <v>250000</v>
      </c>
      <c r="F107" t="s">
        <v>39</v>
      </c>
      <c r="G107" t="s">
        <v>13</v>
      </c>
      <c r="H107" t="s">
        <v>552</v>
      </c>
      <c r="I107">
        <v>6113</v>
      </c>
      <c r="J107">
        <v>6.800325430032543E-2</v>
      </c>
      <c r="K107" t="s">
        <v>41</v>
      </c>
      <c r="L107" t="s">
        <v>64</v>
      </c>
    </row>
    <row r="108" spans="1:12" x14ac:dyDescent="0.3">
      <c r="A108" t="s">
        <v>28</v>
      </c>
      <c r="B108" s="49">
        <v>45651</v>
      </c>
      <c r="C108" s="49">
        <v>45667</v>
      </c>
      <c r="D108" t="s">
        <v>654</v>
      </c>
      <c r="E108">
        <v>250000</v>
      </c>
      <c r="F108" t="s">
        <v>39</v>
      </c>
      <c r="G108" t="s">
        <v>13</v>
      </c>
      <c r="H108" t="s">
        <v>552</v>
      </c>
      <c r="I108">
        <v>3222</v>
      </c>
      <c r="J108">
        <v>0.12885405960945528</v>
      </c>
      <c r="K108" t="s">
        <v>15</v>
      </c>
      <c r="L108" t="s">
        <v>61</v>
      </c>
    </row>
    <row r="109" spans="1:12" x14ac:dyDescent="0.3">
      <c r="A109" t="s">
        <v>28</v>
      </c>
      <c r="B109" s="49">
        <v>45651</v>
      </c>
      <c r="C109" s="49">
        <v>45667</v>
      </c>
      <c r="D109" t="s">
        <v>654</v>
      </c>
      <c r="E109">
        <v>250000</v>
      </c>
      <c r="F109" t="s">
        <v>39</v>
      </c>
      <c r="G109" t="s">
        <v>13</v>
      </c>
      <c r="H109" t="s">
        <v>552</v>
      </c>
      <c r="I109">
        <v>4276</v>
      </c>
      <c r="J109">
        <v>7.5843713789107758E-2</v>
      </c>
      <c r="K109" t="s">
        <v>20</v>
      </c>
      <c r="L109" t="s">
        <v>52</v>
      </c>
    </row>
    <row r="110" spans="1:12" x14ac:dyDescent="0.3">
      <c r="A110" t="s">
        <v>28</v>
      </c>
      <c r="B110" s="49">
        <v>45651</v>
      </c>
      <c r="C110" s="49">
        <v>45667</v>
      </c>
      <c r="D110" t="s">
        <v>654</v>
      </c>
      <c r="E110">
        <v>250000</v>
      </c>
      <c r="F110" t="s">
        <v>39</v>
      </c>
      <c r="G110" t="s">
        <v>13</v>
      </c>
      <c r="H110" t="s">
        <v>552</v>
      </c>
      <c r="I110">
        <v>5014</v>
      </c>
      <c r="J110">
        <v>7.2070332803659209E-2</v>
      </c>
      <c r="K110" t="s">
        <v>70</v>
      </c>
      <c r="L110" t="s">
        <v>71</v>
      </c>
    </row>
    <row r="111" spans="1:12" x14ac:dyDescent="0.3">
      <c r="A111" t="s">
        <v>28</v>
      </c>
      <c r="B111" s="49">
        <v>45651</v>
      </c>
      <c r="C111" s="49">
        <v>45667</v>
      </c>
      <c r="D111" t="s">
        <v>654</v>
      </c>
      <c r="E111">
        <v>250000</v>
      </c>
      <c r="F111" t="s">
        <v>39</v>
      </c>
      <c r="G111" t="s">
        <v>13</v>
      </c>
      <c r="H111" t="s">
        <v>552</v>
      </c>
      <c r="I111">
        <v>2313</v>
      </c>
      <c r="J111">
        <v>7.055421038471886E-2</v>
      </c>
      <c r="K111" t="s">
        <v>20</v>
      </c>
      <c r="L111" t="s">
        <v>52</v>
      </c>
    </row>
    <row r="112" spans="1:12" x14ac:dyDescent="0.3">
      <c r="A112" t="s">
        <v>28</v>
      </c>
      <c r="B112" s="49">
        <v>45651</v>
      </c>
      <c r="C112" s="49">
        <v>45667</v>
      </c>
      <c r="D112" t="s">
        <v>654</v>
      </c>
      <c r="E112">
        <v>250000</v>
      </c>
      <c r="F112" t="s">
        <v>39</v>
      </c>
      <c r="G112" t="s">
        <v>13</v>
      </c>
      <c r="H112" t="s">
        <v>552</v>
      </c>
      <c r="I112">
        <v>3871</v>
      </c>
      <c r="J112">
        <v>0.12936184657162253</v>
      </c>
      <c r="K112" t="s">
        <v>41</v>
      </c>
      <c r="L112" t="s">
        <v>42</v>
      </c>
    </row>
    <row r="113" spans="1:12" x14ac:dyDescent="0.3">
      <c r="A113" t="s">
        <v>28</v>
      </c>
      <c r="B113" s="49">
        <v>45651</v>
      </c>
      <c r="C113" s="49">
        <v>45667</v>
      </c>
      <c r="D113" t="s">
        <v>654</v>
      </c>
      <c r="E113">
        <v>250000</v>
      </c>
      <c r="F113" t="s">
        <v>39</v>
      </c>
      <c r="G113" t="s">
        <v>13</v>
      </c>
      <c r="H113" t="s">
        <v>552</v>
      </c>
      <c r="I113">
        <v>3617</v>
      </c>
      <c r="J113">
        <v>8.2047718322909427E-2</v>
      </c>
      <c r="K113" t="s">
        <v>48</v>
      </c>
      <c r="L113" t="s">
        <v>55</v>
      </c>
    </row>
    <row r="114" spans="1:12" x14ac:dyDescent="0.3">
      <c r="A114" t="s">
        <v>28</v>
      </c>
      <c r="B114" s="49">
        <v>45651</v>
      </c>
      <c r="C114" s="49">
        <v>45667</v>
      </c>
      <c r="D114" t="s">
        <v>654</v>
      </c>
      <c r="E114">
        <v>250000</v>
      </c>
      <c r="F114" t="s">
        <v>39</v>
      </c>
      <c r="G114" t="s">
        <v>13</v>
      </c>
      <c r="H114" t="s">
        <v>552</v>
      </c>
      <c r="I114">
        <v>5507</v>
      </c>
      <c r="J114">
        <v>6.3749764195434822E-2</v>
      </c>
      <c r="K114" t="s">
        <v>41</v>
      </c>
      <c r="L114" t="s">
        <v>42</v>
      </c>
    </row>
    <row r="115" spans="1:12" x14ac:dyDescent="0.3">
      <c r="A115" t="s">
        <v>28</v>
      </c>
      <c r="B115" s="49">
        <v>45651</v>
      </c>
      <c r="C115" s="49">
        <v>45667</v>
      </c>
      <c r="D115" t="s">
        <v>654</v>
      </c>
      <c r="E115">
        <v>250000</v>
      </c>
      <c r="F115" t="s">
        <v>39</v>
      </c>
      <c r="G115" t="s">
        <v>13</v>
      </c>
      <c r="H115" t="s">
        <v>552</v>
      </c>
      <c r="I115">
        <v>5529</v>
      </c>
      <c r="J115">
        <v>8.0158206987475278E-2</v>
      </c>
      <c r="K115" t="s">
        <v>48</v>
      </c>
      <c r="L115" t="s">
        <v>55</v>
      </c>
    </row>
    <row r="116" spans="1:12" x14ac:dyDescent="0.3">
      <c r="A116" t="s">
        <v>28</v>
      </c>
      <c r="B116" s="49">
        <v>45651</v>
      </c>
      <c r="C116" s="49">
        <v>45667</v>
      </c>
      <c r="D116" t="s">
        <v>654</v>
      </c>
      <c r="E116">
        <v>250000</v>
      </c>
      <c r="F116" t="s">
        <v>39</v>
      </c>
      <c r="G116" t="s">
        <v>13</v>
      </c>
      <c r="H116" t="s">
        <v>552</v>
      </c>
      <c r="I116">
        <v>2100</v>
      </c>
      <c r="J116">
        <v>0.23414918414918415</v>
      </c>
      <c r="K116" t="s">
        <v>32</v>
      </c>
      <c r="L116" t="s">
        <v>67</v>
      </c>
    </row>
    <row r="117" spans="1:12" x14ac:dyDescent="0.3">
      <c r="A117" t="s">
        <v>28</v>
      </c>
      <c r="B117" s="49">
        <v>45651</v>
      </c>
      <c r="C117" s="49">
        <v>45667</v>
      </c>
      <c r="D117" t="s">
        <v>654</v>
      </c>
      <c r="E117">
        <v>250000</v>
      </c>
      <c r="F117" t="s">
        <v>39</v>
      </c>
      <c r="G117" t="s">
        <v>13</v>
      </c>
      <c r="H117" t="s">
        <v>552</v>
      </c>
      <c r="I117">
        <v>4704</v>
      </c>
      <c r="J117">
        <v>6.9311459413307311E-2</v>
      </c>
      <c r="K117" t="s">
        <v>15</v>
      </c>
      <c r="L117" t="s">
        <v>61</v>
      </c>
    </row>
    <row r="118" spans="1:12" x14ac:dyDescent="0.3">
      <c r="A118" t="s">
        <v>28</v>
      </c>
      <c r="B118" s="49">
        <v>45651</v>
      </c>
      <c r="C118" s="49">
        <v>45667</v>
      </c>
      <c r="D118" t="s">
        <v>654</v>
      </c>
      <c r="E118">
        <v>250000</v>
      </c>
      <c r="F118" t="s">
        <v>39</v>
      </c>
      <c r="G118" t="s">
        <v>13</v>
      </c>
      <c r="H118" t="s">
        <v>552</v>
      </c>
      <c r="I118">
        <v>4046</v>
      </c>
      <c r="J118">
        <v>7.2739802071170159E-2</v>
      </c>
      <c r="K118" t="s">
        <v>41</v>
      </c>
      <c r="L118" t="s">
        <v>42</v>
      </c>
    </row>
    <row r="119" spans="1:12" x14ac:dyDescent="0.3">
      <c r="A119" t="s">
        <v>28</v>
      </c>
      <c r="B119" s="49">
        <v>45651</v>
      </c>
      <c r="C119" s="49">
        <v>45667</v>
      </c>
      <c r="D119" t="s">
        <v>654</v>
      </c>
      <c r="E119">
        <v>250000</v>
      </c>
      <c r="F119" t="s">
        <v>39</v>
      </c>
      <c r="G119" t="s">
        <v>13</v>
      </c>
      <c r="H119" t="s">
        <v>552</v>
      </c>
      <c r="I119">
        <v>4999</v>
      </c>
      <c r="J119">
        <v>8.4862714173059003E-2</v>
      </c>
      <c r="K119" t="s">
        <v>41</v>
      </c>
      <c r="L119" t="s">
        <v>42</v>
      </c>
    </row>
    <row r="120" spans="1:12" x14ac:dyDescent="0.3">
      <c r="A120" t="s">
        <v>28</v>
      </c>
      <c r="B120" s="49">
        <v>45651</v>
      </c>
      <c r="C120" s="49">
        <v>45667</v>
      </c>
      <c r="D120" t="s">
        <v>654</v>
      </c>
      <c r="E120">
        <v>250000</v>
      </c>
      <c r="F120" t="s">
        <v>39</v>
      </c>
      <c r="G120" t="s">
        <v>13</v>
      </c>
      <c r="H120" t="s">
        <v>552</v>
      </c>
      <c r="I120">
        <v>2746</v>
      </c>
      <c r="J120">
        <v>8.2108498129342594E-2</v>
      </c>
      <c r="K120" t="s">
        <v>48</v>
      </c>
      <c r="L120" t="s">
        <v>55</v>
      </c>
    </row>
    <row r="121" spans="1:12" x14ac:dyDescent="0.3">
      <c r="A121" t="s">
        <v>28</v>
      </c>
      <c r="B121" s="49">
        <v>45651</v>
      </c>
      <c r="C121" s="49">
        <v>45667</v>
      </c>
      <c r="D121" t="s">
        <v>654</v>
      </c>
      <c r="E121">
        <v>250000</v>
      </c>
      <c r="F121" t="s">
        <v>39</v>
      </c>
      <c r="G121" t="s">
        <v>13</v>
      </c>
      <c r="H121" t="s">
        <v>552</v>
      </c>
      <c r="I121">
        <v>1516</v>
      </c>
      <c r="J121">
        <v>0.32083531086853345</v>
      </c>
      <c r="K121" t="s">
        <v>48</v>
      </c>
      <c r="L121" t="s">
        <v>55</v>
      </c>
    </row>
    <row r="122" spans="1:12" x14ac:dyDescent="0.3">
      <c r="A122" t="s">
        <v>28</v>
      </c>
      <c r="B122" s="49">
        <v>45651</v>
      </c>
      <c r="C122" s="49">
        <v>45667</v>
      </c>
      <c r="D122" t="s">
        <v>654</v>
      </c>
      <c r="E122">
        <v>250000</v>
      </c>
      <c r="F122" t="s">
        <v>39</v>
      </c>
      <c r="G122" t="s">
        <v>13</v>
      </c>
      <c r="H122" t="s">
        <v>552</v>
      </c>
      <c r="I122">
        <v>4059</v>
      </c>
      <c r="J122">
        <v>7.7512577512577507E-2</v>
      </c>
      <c r="K122" t="s">
        <v>15</v>
      </c>
      <c r="L122" t="s">
        <v>61</v>
      </c>
    </row>
    <row r="123" spans="1:12" x14ac:dyDescent="0.3">
      <c r="A123" t="s">
        <v>28</v>
      </c>
      <c r="B123" s="49">
        <v>45651</v>
      </c>
      <c r="C123" s="49">
        <v>45667</v>
      </c>
      <c r="D123" t="s">
        <v>654</v>
      </c>
      <c r="E123">
        <v>250000</v>
      </c>
      <c r="F123" t="s">
        <v>39</v>
      </c>
      <c r="G123" t="s">
        <v>13</v>
      </c>
      <c r="H123" t="s">
        <v>552</v>
      </c>
      <c r="I123">
        <v>4754</v>
      </c>
      <c r="J123">
        <v>0.1283706906360223</v>
      </c>
      <c r="K123" t="s">
        <v>48</v>
      </c>
      <c r="L123" t="s">
        <v>55</v>
      </c>
    </row>
    <row r="124" spans="1:12" x14ac:dyDescent="0.3">
      <c r="A124" t="s">
        <v>28</v>
      </c>
      <c r="B124" s="49">
        <v>45651</v>
      </c>
      <c r="C124" s="49">
        <v>45667</v>
      </c>
      <c r="D124" t="s">
        <v>654</v>
      </c>
      <c r="E124">
        <v>250000</v>
      </c>
      <c r="F124" t="s">
        <v>39</v>
      </c>
      <c r="G124" t="s">
        <v>13</v>
      </c>
      <c r="H124" t="s">
        <v>552</v>
      </c>
      <c r="I124">
        <v>5507</v>
      </c>
      <c r="J124">
        <v>0.18519683938186141</v>
      </c>
      <c r="K124" t="s">
        <v>15</v>
      </c>
      <c r="L124" t="s">
        <v>61</v>
      </c>
    </row>
    <row r="125" spans="1:12" x14ac:dyDescent="0.3">
      <c r="A125" t="s">
        <v>28</v>
      </c>
      <c r="B125" s="49">
        <v>45651</v>
      </c>
      <c r="C125" s="49">
        <v>45667</v>
      </c>
      <c r="D125" t="s">
        <v>654</v>
      </c>
      <c r="E125">
        <v>250000</v>
      </c>
      <c r="F125" t="s">
        <v>39</v>
      </c>
      <c r="G125" t="s">
        <v>13</v>
      </c>
      <c r="H125" t="s">
        <v>552</v>
      </c>
      <c r="I125">
        <v>2698</v>
      </c>
      <c r="J125">
        <v>0.15761129727142173</v>
      </c>
      <c r="K125" t="s">
        <v>41</v>
      </c>
      <c r="L125" t="s">
        <v>42</v>
      </c>
    </row>
    <row r="126" spans="1:12" x14ac:dyDescent="0.3">
      <c r="A126" t="s">
        <v>28</v>
      </c>
      <c r="B126" s="49">
        <v>45651</v>
      </c>
      <c r="C126" s="49">
        <v>45667</v>
      </c>
      <c r="D126" t="s">
        <v>654</v>
      </c>
      <c r="E126">
        <v>250000</v>
      </c>
      <c r="F126" t="s">
        <v>39</v>
      </c>
      <c r="G126" t="s">
        <v>13</v>
      </c>
      <c r="H126" t="s">
        <v>552</v>
      </c>
      <c r="I126">
        <v>5072</v>
      </c>
      <c r="J126">
        <v>0.10086880280567512</v>
      </c>
      <c r="K126" t="s">
        <v>32</v>
      </c>
      <c r="L126" t="s">
        <v>67</v>
      </c>
    </row>
    <row r="127" spans="1:12" x14ac:dyDescent="0.3">
      <c r="A127" t="s">
        <v>28</v>
      </c>
      <c r="B127" s="49">
        <v>45651</v>
      </c>
      <c r="C127" s="49">
        <v>45667</v>
      </c>
      <c r="D127" t="s">
        <v>654</v>
      </c>
      <c r="E127">
        <v>250000</v>
      </c>
      <c r="F127" t="s">
        <v>39</v>
      </c>
      <c r="G127" t="s">
        <v>13</v>
      </c>
      <c r="H127" t="s">
        <v>552</v>
      </c>
      <c r="I127">
        <v>2975</v>
      </c>
      <c r="J127">
        <v>0.16754738655944859</v>
      </c>
      <c r="K127" t="s">
        <v>15</v>
      </c>
      <c r="L127" t="s">
        <v>61</v>
      </c>
    </row>
    <row r="128" spans="1:12" x14ac:dyDescent="0.3">
      <c r="A128" t="s">
        <v>28</v>
      </c>
      <c r="B128" s="49">
        <v>45651</v>
      </c>
      <c r="C128" s="49">
        <v>45667</v>
      </c>
      <c r="D128" t="s">
        <v>654</v>
      </c>
      <c r="E128">
        <v>250000</v>
      </c>
      <c r="F128" t="s">
        <v>39</v>
      </c>
      <c r="G128" t="s">
        <v>13</v>
      </c>
      <c r="H128" t="s">
        <v>552</v>
      </c>
      <c r="I128">
        <v>5269</v>
      </c>
      <c r="J128">
        <v>0.18248432325794406</v>
      </c>
      <c r="K128" t="s">
        <v>41</v>
      </c>
      <c r="L128" t="s">
        <v>42</v>
      </c>
    </row>
    <row r="129" spans="1:12" x14ac:dyDescent="0.3">
      <c r="A129" t="s">
        <v>28</v>
      </c>
      <c r="B129" s="49">
        <v>45651</v>
      </c>
      <c r="C129" s="49">
        <v>45667</v>
      </c>
      <c r="D129" t="s">
        <v>654</v>
      </c>
      <c r="E129">
        <v>250000</v>
      </c>
      <c r="F129" t="s">
        <v>39</v>
      </c>
      <c r="G129" t="s">
        <v>13</v>
      </c>
      <c r="H129" t="s">
        <v>552</v>
      </c>
      <c r="I129">
        <v>5054</v>
      </c>
      <c r="J129">
        <v>5.8563792702765516E-2</v>
      </c>
      <c r="K129" t="s">
        <v>48</v>
      </c>
      <c r="L129" t="s">
        <v>55</v>
      </c>
    </row>
    <row r="130" spans="1:12" x14ac:dyDescent="0.3">
      <c r="A130" t="s">
        <v>28</v>
      </c>
      <c r="B130" s="49">
        <v>45651</v>
      </c>
      <c r="C130" s="49">
        <v>45667</v>
      </c>
      <c r="D130" t="s">
        <v>654</v>
      </c>
      <c r="E130">
        <v>250000</v>
      </c>
      <c r="F130" t="s">
        <v>39</v>
      </c>
      <c r="G130" t="s">
        <v>13</v>
      </c>
      <c r="H130" t="s">
        <v>552</v>
      </c>
      <c r="I130">
        <v>3285</v>
      </c>
      <c r="J130">
        <v>0.13840458048129492</v>
      </c>
      <c r="K130" t="s">
        <v>48</v>
      </c>
      <c r="L130" t="s">
        <v>55</v>
      </c>
    </row>
    <row r="131" spans="1:12" x14ac:dyDescent="0.3">
      <c r="A131" t="s">
        <v>22</v>
      </c>
      <c r="B131" s="49">
        <v>45566</v>
      </c>
      <c r="C131" s="49">
        <v>45596</v>
      </c>
      <c r="D131" t="s">
        <v>652</v>
      </c>
      <c r="E131">
        <v>200000</v>
      </c>
      <c r="F131" t="s">
        <v>30</v>
      </c>
      <c r="G131" t="s">
        <v>24</v>
      </c>
      <c r="H131" t="s">
        <v>653</v>
      </c>
      <c r="I131">
        <v>1148</v>
      </c>
      <c r="J131">
        <v>0.28245270711024134</v>
      </c>
      <c r="K131" t="s">
        <v>20</v>
      </c>
      <c r="L131" t="s">
        <v>108</v>
      </c>
    </row>
    <row r="132" spans="1:12" x14ac:dyDescent="0.3">
      <c r="A132" t="s">
        <v>22</v>
      </c>
      <c r="B132" s="49">
        <v>45566</v>
      </c>
      <c r="C132" s="49">
        <v>45596</v>
      </c>
      <c r="D132" t="s">
        <v>652</v>
      </c>
      <c r="E132">
        <v>200000</v>
      </c>
      <c r="F132" t="s">
        <v>30</v>
      </c>
      <c r="G132" t="s">
        <v>24</v>
      </c>
      <c r="H132" t="s">
        <v>653</v>
      </c>
      <c r="I132">
        <v>4301</v>
      </c>
      <c r="J132">
        <v>0.11861662987490802</v>
      </c>
      <c r="K132" t="s">
        <v>70</v>
      </c>
      <c r="L132" t="s">
        <v>81</v>
      </c>
    </row>
    <row r="133" spans="1:12" x14ac:dyDescent="0.3">
      <c r="A133" t="s">
        <v>22</v>
      </c>
      <c r="B133" s="49">
        <v>45566</v>
      </c>
      <c r="C133" s="49">
        <v>45596</v>
      </c>
      <c r="D133" t="s">
        <v>652</v>
      </c>
      <c r="E133">
        <v>200000</v>
      </c>
      <c r="F133" t="s">
        <v>30</v>
      </c>
      <c r="G133" t="s">
        <v>24</v>
      </c>
      <c r="H133" t="s">
        <v>653</v>
      </c>
      <c r="I133">
        <v>5217</v>
      </c>
      <c r="J133">
        <v>7.6523535487678915E-2</v>
      </c>
      <c r="K133" t="s">
        <v>32</v>
      </c>
      <c r="L133" t="s">
        <v>33</v>
      </c>
    </row>
    <row r="134" spans="1:12" x14ac:dyDescent="0.3">
      <c r="A134" t="s">
        <v>22</v>
      </c>
      <c r="B134" s="49">
        <v>45566</v>
      </c>
      <c r="C134" s="49">
        <v>45596</v>
      </c>
      <c r="D134" t="s">
        <v>652</v>
      </c>
      <c r="E134">
        <v>200000</v>
      </c>
      <c r="F134" t="s">
        <v>30</v>
      </c>
      <c r="G134" t="s">
        <v>24</v>
      </c>
      <c r="H134" t="s">
        <v>653</v>
      </c>
      <c r="I134">
        <v>3800</v>
      </c>
      <c r="J134">
        <v>8.860696018453515E-2</v>
      </c>
      <c r="K134" t="s">
        <v>41</v>
      </c>
      <c r="L134" t="s">
        <v>84</v>
      </c>
    </row>
    <row r="135" spans="1:12" x14ac:dyDescent="0.3">
      <c r="A135" t="s">
        <v>22</v>
      </c>
      <c r="B135" s="49">
        <v>45566</v>
      </c>
      <c r="C135" s="49">
        <v>45596</v>
      </c>
      <c r="D135" t="s">
        <v>652</v>
      </c>
      <c r="E135">
        <v>200000</v>
      </c>
      <c r="F135" t="s">
        <v>30</v>
      </c>
      <c r="G135" t="s">
        <v>24</v>
      </c>
      <c r="H135" t="s">
        <v>653</v>
      </c>
      <c r="I135">
        <v>5437</v>
      </c>
      <c r="J135">
        <v>8.7668609086629767E-2</v>
      </c>
      <c r="K135" t="s">
        <v>48</v>
      </c>
      <c r="L135" t="s">
        <v>208</v>
      </c>
    </row>
    <row r="136" spans="1:12" x14ac:dyDescent="0.3">
      <c r="A136" t="s">
        <v>22</v>
      </c>
      <c r="B136" s="49">
        <v>45566</v>
      </c>
      <c r="C136" s="49">
        <v>45596</v>
      </c>
      <c r="D136" t="s">
        <v>652</v>
      </c>
      <c r="E136">
        <v>200000</v>
      </c>
      <c r="F136" t="s">
        <v>30</v>
      </c>
      <c r="G136" t="s">
        <v>24</v>
      </c>
      <c r="H136" t="s">
        <v>653</v>
      </c>
      <c r="I136">
        <v>5437</v>
      </c>
      <c r="J136">
        <v>8.7668609086629767E-2</v>
      </c>
      <c r="K136" t="s">
        <v>48</v>
      </c>
      <c r="L136" t="s">
        <v>208</v>
      </c>
    </row>
    <row r="137" spans="1:12" x14ac:dyDescent="0.3">
      <c r="A137" t="s">
        <v>22</v>
      </c>
      <c r="B137" s="49">
        <v>45566</v>
      </c>
      <c r="C137" s="49">
        <v>45596</v>
      </c>
      <c r="D137" t="s">
        <v>652</v>
      </c>
      <c r="E137">
        <v>200000</v>
      </c>
      <c r="F137" t="s">
        <v>30</v>
      </c>
      <c r="G137" t="s">
        <v>24</v>
      </c>
      <c r="H137" t="s">
        <v>653</v>
      </c>
      <c r="I137">
        <v>5028</v>
      </c>
      <c r="J137">
        <v>0.12277759141227776</v>
      </c>
      <c r="K137" t="s">
        <v>15</v>
      </c>
      <c r="L137" t="s">
        <v>78</v>
      </c>
    </row>
    <row r="138" spans="1:12" x14ac:dyDescent="0.3">
      <c r="A138" t="s">
        <v>22</v>
      </c>
      <c r="B138" s="49">
        <v>45566</v>
      </c>
      <c r="C138" s="49">
        <v>45596</v>
      </c>
      <c r="D138" t="s">
        <v>652</v>
      </c>
      <c r="E138">
        <v>200000</v>
      </c>
      <c r="F138" t="s">
        <v>30</v>
      </c>
      <c r="G138" t="s">
        <v>24</v>
      </c>
      <c r="H138" t="s">
        <v>653</v>
      </c>
      <c r="I138">
        <v>4688</v>
      </c>
      <c r="J138">
        <v>8.0565268065268064E-2</v>
      </c>
      <c r="K138" t="s">
        <v>20</v>
      </c>
      <c r="L138" t="s">
        <v>108</v>
      </c>
    </row>
    <row r="139" spans="1:12" x14ac:dyDescent="0.3">
      <c r="A139" t="s">
        <v>22</v>
      </c>
      <c r="B139" s="49">
        <v>45566</v>
      </c>
      <c r="C139" s="49">
        <v>45596</v>
      </c>
      <c r="D139" t="s">
        <v>652</v>
      </c>
      <c r="E139">
        <v>200000</v>
      </c>
      <c r="F139" t="s">
        <v>30</v>
      </c>
      <c r="G139" t="s">
        <v>24</v>
      </c>
      <c r="H139" t="s">
        <v>653</v>
      </c>
      <c r="I139">
        <v>3076</v>
      </c>
      <c r="J139">
        <v>0.13493953401503478</v>
      </c>
      <c r="K139" t="s">
        <v>32</v>
      </c>
      <c r="L139" t="s">
        <v>33</v>
      </c>
    </row>
    <row r="140" spans="1:12" x14ac:dyDescent="0.3">
      <c r="A140" t="s">
        <v>22</v>
      </c>
      <c r="B140" s="49">
        <v>45566</v>
      </c>
      <c r="C140" s="49">
        <v>45596</v>
      </c>
      <c r="D140" t="s">
        <v>652</v>
      </c>
      <c r="E140">
        <v>200000</v>
      </c>
      <c r="F140" t="s">
        <v>30</v>
      </c>
      <c r="G140" t="s">
        <v>24</v>
      </c>
      <c r="H140" t="s">
        <v>653</v>
      </c>
      <c r="I140">
        <v>4124</v>
      </c>
      <c r="J140">
        <v>0.15283323095823095</v>
      </c>
      <c r="K140" t="s">
        <v>15</v>
      </c>
      <c r="L140" t="s">
        <v>78</v>
      </c>
    </row>
    <row r="141" spans="1:12" x14ac:dyDescent="0.3">
      <c r="A141" t="s">
        <v>22</v>
      </c>
      <c r="B141" s="49">
        <v>45566</v>
      </c>
      <c r="C141" s="49">
        <v>45596</v>
      </c>
      <c r="D141" t="s">
        <v>652</v>
      </c>
      <c r="E141">
        <v>200000</v>
      </c>
      <c r="F141" t="s">
        <v>30</v>
      </c>
      <c r="G141" t="s">
        <v>24</v>
      </c>
      <c r="H141" t="s">
        <v>653</v>
      </c>
      <c r="I141">
        <v>5331</v>
      </c>
      <c r="J141">
        <v>0.23101532992668297</v>
      </c>
      <c r="K141" t="s">
        <v>48</v>
      </c>
      <c r="L141" t="s">
        <v>208</v>
      </c>
    </row>
    <row r="142" spans="1:12" x14ac:dyDescent="0.3">
      <c r="A142" t="s">
        <v>22</v>
      </c>
      <c r="B142" s="49">
        <v>45566</v>
      </c>
      <c r="C142" s="49">
        <v>45596</v>
      </c>
      <c r="D142" t="s">
        <v>652</v>
      </c>
      <c r="E142">
        <v>200000</v>
      </c>
      <c r="F142" t="s">
        <v>30</v>
      </c>
      <c r="G142" t="s">
        <v>24</v>
      </c>
      <c r="H142" t="s">
        <v>653</v>
      </c>
      <c r="I142">
        <v>1551</v>
      </c>
      <c r="J142">
        <v>0.28696581196581195</v>
      </c>
      <c r="K142" t="s">
        <v>32</v>
      </c>
      <c r="L142" t="s">
        <v>33</v>
      </c>
    </row>
    <row r="143" spans="1:12" x14ac:dyDescent="0.3">
      <c r="A143" t="s">
        <v>22</v>
      </c>
      <c r="B143" s="49">
        <v>45566</v>
      </c>
      <c r="C143" s="49">
        <v>45596</v>
      </c>
      <c r="D143" t="s">
        <v>652</v>
      </c>
      <c r="E143">
        <v>200000</v>
      </c>
      <c r="F143" t="s">
        <v>30</v>
      </c>
      <c r="G143" t="s">
        <v>24</v>
      </c>
      <c r="H143" t="s">
        <v>653</v>
      </c>
      <c r="I143">
        <v>1864</v>
      </c>
      <c r="J143">
        <v>0.37955854126679461</v>
      </c>
      <c r="K143" t="s">
        <v>48</v>
      </c>
      <c r="L143" t="s">
        <v>208</v>
      </c>
    </row>
    <row r="144" spans="1:12" x14ac:dyDescent="0.3">
      <c r="A144" t="s">
        <v>22</v>
      </c>
      <c r="B144" s="49">
        <v>45566</v>
      </c>
      <c r="C144" s="49">
        <v>45596</v>
      </c>
      <c r="D144" t="s">
        <v>652</v>
      </c>
      <c r="E144">
        <v>200000</v>
      </c>
      <c r="F144" t="s">
        <v>30</v>
      </c>
      <c r="G144" t="s">
        <v>24</v>
      </c>
      <c r="H144" t="s">
        <v>653</v>
      </c>
      <c r="I144">
        <v>4543</v>
      </c>
      <c r="J144">
        <v>0.2023049153013052</v>
      </c>
      <c r="K144" t="s">
        <v>32</v>
      </c>
      <c r="L144" t="s">
        <v>33</v>
      </c>
    </row>
    <row r="145" spans="1:12" x14ac:dyDescent="0.3">
      <c r="A145" t="s">
        <v>22</v>
      </c>
      <c r="B145" s="49">
        <v>45566</v>
      </c>
      <c r="C145" s="49">
        <v>45596</v>
      </c>
      <c r="D145" t="s">
        <v>652</v>
      </c>
      <c r="E145">
        <v>200000</v>
      </c>
      <c r="F145" t="s">
        <v>30</v>
      </c>
      <c r="G145" t="s">
        <v>24</v>
      </c>
      <c r="H145" t="s">
        <v>653</v>
      </c>
      <c r="I145">
        <v>3518</v>
      </c>
      <c r="J145">
        <v>0.26876680752977333</v>
      </c>
      <c r="K145" t="s">
        <v>15</v>
      </c>
      <c r="L145" t="s">
        <v>78</v>
      </c>
    </row>
    <row r="146" spans="1:12" x14ac:dyDescent="0.3">
      <c r="A146" t="s">
        <v>22</v>
      </c>
      <c r="B146" s="49">
        <v>45566</v>
      </c>
      <c r="C146" s="49">
        <v>45596</v>
      </c>
      <c r="D146" t="s">
        <v>652</v>
      </c>
      <c r="E146">
        <v>200000</v>
      </c>
      <c r="F146" t="s">
        <v>30</v>
      </c>
      <c r="G146" t="s">
        <v>24</v>
      </c>
      <c r="H146" t="s">
        <v>653</v>
      </c>
      <c r="I146">
        <v>5098</v>
      </c>
      <c r="J146">
        <v>0.22157421618066214</v>
      </c>
      <c r="K146" t="s">
        <v>70</v>
      </c>
      <c r="L146" t="s">
        <v>81</v>
      </c>
    </row>
    <row r="147" spans="1:12" x14ac:dyDescent="0.3">
      <c r="A147" t="s">
        <v>22</v>
      </c>
      <c r="B147" s="49">
        <v>45566</v>
      </c>
      <c r="C147" s="49">
        <v>45596</v>
      </c>
      <c r="D147" t="s">
        <v>652</v>
      </c>
      <c r="E147">
        <v>200000</v>
      </c>
      <c r="F147" t="s">
        <v>30</v>
      </c>
      <c r="G147" t="s">
        <v>24</v>
      </c>
      <c r="H147" t="s">
        <v>653</v>
      </c>
      <c r="I147">
        <v>4630</v>
      </c>
      <c r="J147">
        <v>0.20675990675990677</v>
      </c>
      <c r="K147" t="s">
        <v>70</v>
      </c>
      <c r="L147" t="s">
        <v>81</v>
      </c>
    </row>
    <row r="148" spans="1:12" x14ac:dyDescent="0.3">
      <c r="A148" t="s">
        <v>22</v>
      </c>
      <c r="B148" s="49">
        <v>45566</v>
      </c>
      <c r="C148" s="49">
        <v>45596</v>
      </c>
      <c r="D148" t="s">
        <v>652</v>
      </c>
      <c r="E148">
        <v>200000</v>
      </c>
      <c r="F148" t="s">
        <v>30</v>
      </c>
      <c r="G148" t="s">
        <v>24</v>
      </c>
      <c r="H148" t="s">
        <v>653</v>
      </c>
      <c r="I148">
        <v>5053</v>
      </c>
      <c r="J148">
        <v>7.6097681302417369E-2</v>
      </c>
      <c r="K148" t="s">
        <v>20</v>
      </c>
      <c r="L148" t="s">
        <v>21</v>
      </c>
    </row>
    <row r="149" spans="1:12" x14ac:dyDescent="0.3">
      <c r="A149" t="s">
        <v>22</v>
      </c>
      <c r="B149" s="49">
        <v>45566</v>
      </c>
      <c r="C149" s="49">
        <v>45596</v>
      </c>
      <c r="D149" t="s">
        <v>652</v>
      </c>
      <c r="E149">
        <v>200000</v>
      </c>
      <c r="F149" t="s">
        <v>30</v>
      </c>
      <c r="G149" t="s">
        <v>24</v>
      </c>
      <c r="H149" t="s">
        <v>653</v>
      </c>
      <c r="I149">
        <v>5053</v>
      </c>
      <c r="J149">
        <v>7.6097681302417369E-2</v>
      </c>
      <c r="K149" t="s">
        <v>20</v>
      </c>
      <c r="L149" t="s">
        <v>21</v>
      </c>
    </row>
    <row r="150" spans="1:12" x14ac:dyDescent="0.3">
      <c r="A150" t="s">
        <v>22</v>
      </c>
      <c r="B150" s="49">
        <v>45566</v>
      </c>
      <c r="C150" s="49">
        <v>45596</v>
      </c>
      <c r="D150" t="s">
        <v>652</v>
      </c>
      <c r="E150">
        <v>200000</v>
      </c>
      <c r="F150" t="s">
        <v>30</v>
      </c>
      <c r="G150" t="s">
        <v>24</v>
      </c>
      <c r="H150" t="s">
        <v>653</v>
      </c>
      <c r="I150">
        <v>4575</v>
      </c>
      <c r="J150">
        <v>7.0272020725388601E-2</v>
      </c>
      <c r="K150" t="s">
        <v>41</v>
      </c>
      <c r="L150" t="s">
        <v>45</v>
      </c>
    </row>
    <row r="151" spans="1:12" x14ac:dyDescent="0.3">
      <c r="A151" t="s">
        <v>22</v>
      </c>
      <c r="B151" s="49">
        <v>45566</v>
      </c>
      <c r="C151" s="49">
        <v>45596</v>
      </c>
      <c r="D151" t="s">
        <v>652</v>
      </c>
      <c r="E151">
        <v>200000</v>
      </c>
      <c r="F151" t="s">
        <v>30</v>
      </c>
      <c r="G151" t="s">
        <v>24</v>
      </c>
      <c r="H151" t="s">
        <v>653</v>
      </c>
      <c r="I151">
        <v>3991</v>
      </c>
      <c r="J151">
        <v>8.9730807577268201E-2</v>
      </c>
      <c r="K151" t="s">
        <v>15</v>
      </c>
      <c r="L151" t="s">
        <v>26</v>
      </c>
    </row>
    <row r="152" spans="1:12" x14ac:dyDescent="0.3">
      <c r="A152" t="s">
        <v>22</v>
      </c>
      <c r="B152" s="49">
        <v>45566</v>
      </c>
      <c r="C152" s="49">
        <v>45596</v>
      </c>
      <c r="D152" t="s">
        <v>652</v>
      </c>
      <c r="E152">
        <v>200000</v>
      </c>
      <c r="F152" t="s">
        <v>30</v>
      </c>
      <c r="G152" t="s">
        <v>24</v>
      </c>
      <c r="H152" t="s">
        <v>653</v>
      </c>
      <c r="I152">
        <v>3114</v>
      </c>
      <c r="J152">
        <v>0.16510298716704411</v>
      </c>
      <c r="K152" t="s">
        <v>41</v>
      </c>
      <c r="L152" t="s">
        <v>64</v>
      </c>
    </row>
    <row r="153" spans="1:12" x14ac:dyDescent="0.3">
      <c r="A153" t="s">
        <v>22</v>
      </c>
      <c r="B153" s="49">
        <v>45566</v>
      </c>
      <c r="C153" s="49">
        <v>45596</v>
      </c>
      <c r="D153" t="s">
        <v>652</v>
      </c>
      <c r="E153">
        <v>200000</v>
      </c>
      <c r="F153" t="s">
        <v>30</v>
      </c>
      <c r="G153" t="s">
        <v>24</v>
      </c>
      <c r="H153" t="s">
        <v>653</v>
      </c>
      <c r="I153">
        <v>3898</v>
      </c>
      <c r="J153">
        <v>0.1199202926956749</v>
      </c>
      <c r="K153" t="s">
        <v>41</v>
      </c>
      <c r="L153" t="s">
        <v>64</v>
      </c>
    </row>
    <row r="154" spans="1:12" x14ac:dyDescent="0.3">
      <c r="A154" t="s">
        <v>22</v>
      </c>
      <c r="B154" s="49">
        <v>45566</v>
      </c>
      <c r="C154" s="49">
        <v>45596</v>
      </c>
      <c r="D154" t="s">
        <v>652</v>
      </c>
      <c r="E154">
        <v>200000</v>
      </c>
      <c r="F154" t="s">
        <v>30</v>
      </c>
      <c r="G154" t="s">
        <v>24</v>
      </c>
      <c r="H154" t="s">
        <v>653</v>
      </c>
      <c r="I154">
        <v>585</v>
      </c>
      <c r="J154">
        <v>8.837126600284495E-2</v>
      </c>
      <c r="K154" t="s">
        <v>15</v>
      </c>
      <c r="L154" t="s">
        <v>26</v>
      </c>
    </row>
    <row r="155" spans="1:12" x14ac:dyDescent="0.3">
      <c r="A155" t="s">
        <v>22</v>
      </c>
      <c r="B155" s="49">
        <v>45566</v>
      </c>
      <c r="C155" s="49">
        <v>45596</v>
      </c>
      <c r="D155" t="s">
        <v>652</v>
      </c>
      <c r="E155">
        <v>200000</v>
      </c>
      <c r="F155" t="s">
        <v>30</v>
      </c>
      <c r="G155" t="s">
        <v>24</v>
      </c>
      <c r="H155" t="s">
        <v>653</v>
      </c>
      <c r="I155">
        <v>2363</v>
      </c>
      <c r="J155">
        <v>0.35666666666666669</v>
      </c>
      <c r="K155" t="s">
        <v>15</v>
      </c>
      <c r="L155" t="s">
        <v>16</v>
      </c>
    </row>
    <row r="156" spans="1:12" x14ac:dyDescent="0.3">
      <c r="A156" t="s">
        <v>22</v>
      </c>
      <c r="B156" s="49">
        <v>45566</v>
      </c>
      <c r="C156" s="49">
        <v>45596</v>
      </c>
      <c r="D156" t="s">
        <v>652</v>
      </c>
      <c r="E156">
        <v>200000</v>
      </c>
      <c r="F156" t="s">
        <v>30</v>
      </c>
      <c r="G156" t="s">
        <v>24</v>
      </c>
      <c r="H156" t="s">
        <v>653</v>
      </c>
      <c r="I156">
        <v>5477</v>
      </c>
      <c r="J156">
        <v>0.10005698005698006</v>
      </c>
      <c r="K156" t="s">
        <v>70</v>
      </c>
      <c r="L156" t="s">
        <v>140</v>
      </c>
    </row>
    <row r="157" spans="1:12" x14ac:dyDescent="0.3">
      <c r="A157" t="s">
        <v>22</v>
      </c>
      <c r="B157" s="49">
        <v>45566</v>
      </c>
      <c r="C157" s="49">
        <v>45596</v>
      </c>
      <c r="D157" t="s">
        <v>652</v>
      </c>
      <c r="E157">
        <v>200000</v>
      </c>
      <c r="F157" t="s">
        <v>30</v>
      </c>
      <c r="G157" t="s">
        <v>24</v>
      </c>
      <c r="H157" t="s">
        <v>653</v>
      </c>
      <c r="I157">
        <v>3061</v>
      </c>
      <c r="J157">
        <v>7.4071349760941527E-2</v>
      </c>
      <c r="K157" t="s">
        <v>48</v>
      </c>
      <c r="L157" t="s">
        <v>49</v>
      </c>
    </row>
    <row r="158" spans="1:12" x14ac:dyDescent="0.3">
      <c r="A158" t="s">
        <v>22</v>
      </c>
      <c r="B158" s="49">
        <v>45566</v>
      </c>
      <c r="C158" s="49">
        <v>45596</v>
      </c>
      <c r="D158" t="s">
        <v>652</v>
      </c>
      <c r="E158">
        <v>200000</v>
      </c>
      <c r="F158" t="s">
        <v>30</v>
      </c>
      <c r="G158" t="s">
        <v>24</v>
      </c>
      <c r="H158" t="s">
        <v>653</v>
      </c>
      <c r="I158">
        <v>2766</v>
      </c>
      <c r="J158">
        <v>0.11489268506351293</v>
      </c>
      <c r="K158" t="s">
        <v>48</v>
      </c>
      <c r="L158" t="s">
        <v>49</v>
      </c>
    </row>
    <row r="159" spans="1:12" x14ac:dyDescent="0.3">
      <c r="A159" t="s">
        <v>22</v>
      </c>
      <c r="B159" s="49">
        <v>45566</v>
      </c>
      <c r="C159" s="49">
        <v>45596</v>
      </c>
      <c r="D159" t="s">
        <v>652</v>
      </c>
      <c r="E159">
        <v>200000</v>
      </c>
      <c r="F159" t="s">
        <v>30</v>
      </c>
      <c r="G159" t="s">
        <v>24</v>
      </c>
      <c r="H159" t="s">
        <v>653</v>
      </c>
      <c r="I159">
        <v>5341</v>
      </c>
      <c r="J159">
        <v>0.10793717277486911</v>
      </c>
      <c r="K159" t="s">
        <v>32</v>
      </c>
      <c r="L159" t="s">
        <v>149</v>
      </c>
    </row>
    <row r="160" spans="1:12" x14ac:dyDescent="0.3">
      <c r="A160" t="s">
        <v>22</v>
      </c>
      <c r="B160" s="49">
        <v>45566</v>
      </c>
      <c r="C160" s="49">
        <v>45596</v>
      </c>
      <c r="D160" t="s">
        <v>652</v>
      </c>
      <c r="E160">
        <v>200000</v>
      </c>
      <c r="F160" t="s">
        <v>30</v>
      </c>
      <c r="G160" t="s">
        <v>24</v>
      </c>
      <c r="H160" t="s">
        <v>653</v>
      </c>
      <c r="I160">
        <v>3723</v>
      </c>
      <c r="J160">
        <v>0.15405989502933004</v>
      </c>
      <c r="K160" t="s">
        <v>20</v>
      </c>
      <c r="L160" t="s">
        <v>21</v>
      </c>
    </row>
    <row r="161" spans="1:12" x14ac:dyDescent="0.3">
      <c r="A161" t="s">
        <v>22</v>
      </c>
      <c r="B161" s="49">
        <v>45566</v>
      </c>
      <c r="C161" s="49">
        <v>45596</v>
      </c>
      <c r="D161" t="s">
        <v>652</v>
      </c>
      <c r="E161">
        <v>200000</v>
      </c>
      <c r="F161" t="s">
        <v>30</v>
      </c>
      <c r="G161" t="s">
        <v>24</v>
      </c>
      <c r="H161" t="s">
        <v>653</v>
      </c>
      <c r="I161">
        <v>1835</v>
      </c>
      <c r="J161">
        <v>9.8068107400130972E-2</v>
      </c>
      <c r="K161" t="s">
        <v>70</v>
      </c>
      <c r="L161" t="s">
        <v>211</v>
      </c>
    </row>
    <row r="162" spans="1:12" x14ac:dyDescent="0.3">
      <c r="A162" t="s">
        <v>22</v>
      </c>
      <c r="B162" s="49">
        <v>45566</v>
      </c>
      <c r="C162" s="49">
        <v>45596</v>
      </c>
      <c r="D162" t="s">
        <v>652</v>
      </c>
      <c r="E162">
        <v>200000</v>
      </c>
      <c r="F162" t="s">
        <v>30</v>
      </c>
      <c r="G162" t="s">
        <v>24</v>
      </c>
      <c r="H162" t="s">
        <v>653</v>
      </c>
      <c r="I162">
        <v>3613</v>
      </c>
      <c r="J162">
        <v>8.4946236559139784E-2</v>
      </c>
      <c r="K162" t="s">
        <v>15</v>
      </c>
      <c r="L162" t="s">
        <v>26</v>
      </c>
    </row>
    <row r="163" spans="1:12" x14ac:dyDescent="0.3">
      <c r="A163" t="s">
        <v>22</v>
      </c>
      <c r="B163" s="49">
        <v>45566</v>
      </c>
      <c r="C163" s="49">
        <v>45596</v>
      </c>
      <c r="D163" t="s">
        <v>652</v>
      </c>
      <c r="E163">
        <v>200000</v>
      </c>
      <c r="F163" t="s">
        <v>30</v>
      </c>
      <c r="G163" t="s">
        <v>24</v>
      </c>
      <c r="H163" t="s">
        <v>653</v>
      </c>
      <c r="I163">
        <v>3281</v>
      </c>
      <c r="J163">
        <v>8.5520696919660646E-2</v>
      </c>
      <c r="K163" t="s">
        <v>41</v>
      </c>
      <c r="L163" t="s">
        <v>64</v>
      </c>
    </row>
    <row r="164" spans="1:12" x14ac:dyDescent="0.3">
      <c r="A164" t="s">
        <v>22</v>
      </c>
      <c r="B164" s="49">
        <v>45566</v>
      </c>
      <c r="C164" s="49">
        <v>45596</v>
      </c>
      <c r="D164" t="s">
        <v>652</v>
      </c>
      <c r="E164">
        <v>200000</v>
      </c>
      <c r="F164" t="s">
        <v>30</v>
      </c>
      <c r="G164" t="s">
        <v>24</v>
      </c>
      <c r="H164" t="s">
        <v>653</v>
      </c>
      <c r="I164">
        <v>3963</v>
      </c>
      <c r="J164">
        <v>8.6537809426924378E-2</v>
      </c>
      <c r="K164" t="s">
        <v>70</v>
      </c>
      <c r="L164" t="s">
        <v>211</v>
      </c>
    </row>
    <row r="165" spans="1:12" x14ac:dyDescent="0.3">
      <c r="A165" t="s">
        <v>22</v>
      </c>
      <c r="B165" s="49">
        <v>45566</v>
      </c>
      <c r="C165" s="49">
        <v>45596</v>
      </c>
      <c r="D165" t="s">
        <v>652</v>
      </c>
      <c r="E165">
        <v>200000</v>
      </c>
      <c r="F165" t="s">
        <v>30</v>
      </c>
      <c r="G165" t="s">
        <v>24</v>
      </c>
      <c r="H165" t="s">
        <v>653</v>
      </c>
      <c r="I165">
        <v>4996</v>
      </c>
      <c r="J165">
        <v>0.123309241094476</v>
      </c>
      <c r="K165" t="s">
        <v>70</v>
      </c>
      <c r="L165" t="s">
        <v>211</v>
      </c>
    </row>
    <row r="166" spans="1:12" x14ac:dyDescent="0.3">
      <c r="A166" t="s">
        <v>22</v>
      </c>
      <c r="B166" s="49">
        <v>45566</v>
      </c>
      <c r="C166" s="49">
        <v>45596</v>
      </c>
      <c r="D166" t="s">
        <v>652</v>
      </c>
      <c r="E166">
        <v>200000</v>
      </c>
      <c r="F166" t="s">
        <v>30</v>
      </c>
      <c r="G166" t="s">
        <v>24</v>
      </c>
      <c r="H166" t="s">
        <v>653</v>
      </c>
      <c r="I166">
        <v>1879</v>
      </c>
      <c r="J166">
        <v>5.8316766070245198E-2</v>
      </c>
      <c r="K166" t="s">
        <v>32</v>
      </c>
      <c r="L166" t="s">
        <v>149</v>
      </c>
    </row>
    <row r="167" spans="1:12" x14ac:dyDescent="0.3">
      <c r="A167" t="s">
        <v>22</v>
      </c>
      <c r="B167" s="49">
        <v>45566</v>
      </c>
      <c r="C167" s="49">
        <v>45596</v>
      </c>
      <c r="D167" t="s">
        <v>652</v>
      </c>
      <c r="E167">
        <v>200000</v>
      </c>
      <c r="F167" t="s">
        <v>30</v>
      </c>
      <c r="G167" t="s">
        <v>24</v>
      </c>
      <c r="H167" t="s">
        <v>653</v>
      </c>
      <c r="I167">
        <v>1560</v>
      </c>
      <c r="J167">
        <v>8.7733440816874911E-2</v>
      </c>
      <c r="K167" t="s">
        <v>48</v>
      </c>
      <c r="L167" t="s">
        <v>127</v>
      </c>
    </row>
    <row r="168" spans="1:12" x14ac:dyDescent="0.3">
      <c r="A168" t="s">
        <v>22</v>
      </c>
      <c r="B168" s="49">
        <v>45566</v>
      </c>
      <c r="C168" s="49">
        <v>45596</v>
      </c>
      <c r="D168" t="s">
        <v>652</v>
      </c>
      <c r="E168">
        <v>200000</v>
      </c>
      <c r="F168" t="s">
        <v>30</v>
      </c>
      <c r="G168" t="s">
        <v>24</v>
      </c>
      <c r="H168" t="s">
        <v>653</v>
      </c>
      <c r="I168">
        <v>3095</v>
      </c>
      <c r="J168">
        <v>0.13331166419019316</v>
      </c>
      <c r="K168" t="s">
        <v>48</v>
      </c>
      <c r="L168" t="s">
        <v>127</v>
      </c>
    </row>
    <row r="169" spans="1:12" x14ac:dyDescent="0.3">
      <c r="A169" t="s">
        <v>22</v>
      </c>
      <c r="B169" s="49">
        <v>45566</v>
      </c>
      <c r="C169" s="49">
        <v>45596</v>
      </c>
      <c r="D169" t="s">
        <v>652</v>
      </c>
      <c r="E169">
        <v>200000</v>
      </c>
      <c r="F169" t="s">
        <v>30</v>
      </c>
      <c r="G169" t="s">
        <v>24</v>
      </c>
      <c r="H169" t="s">
        <v>653</v>
      </c>
      <c r="I169">
        <v>2607</v>
      </c>
      <c r="J169">
        <v>5.7936488444630008E-2</v>
      </c>
      <c r="K169" t="s">
        <v>41</v>
      </c>
      <c r="L169" t="s">
        <v>64</v>
      </c>
    </row>
    <row r="170" spans="1:12" x14ac:dyDescent="0.3">
      <c r="A170" t="s">
        <v>22</v>
      </c>
      <c r="B170" s="49">
        <v>45566</v>
      </c>
      <c r="C170" s="49">
        <v>45596</v>
      </c>
      <c r="D170" t="s">
        <v>652</v>
      </c>
      <c r="E170">
        <v>200000</v>
      </c>
      <c r="F170" t="s">
        <v>30</v>
      </c>
      <c r="G170" t="s">
        <v>24</v>
      </c>
      <c r="H170" t="s">
        <v>653</v>
      </c>
      <c r="I170">
        <v>608</v>
      </c>
      <c r="J170">
        <v>0.53389830508474578</v>
      </c>
      <c r="K170" t="s">
        <v>48</v>
      </c>
      <c r="L170" t="s">
        <v>127</v>
      </c>
    </row>
    <row r="171" spans="1:12" x14ac:dyDescent="0.3">
      <c r="A171" t="s">
        <v>22</v>
      </c>
      <c r="B171" s="49">
        <v>45566</v>
      </c>
      <c r="C171" s="49">
        <v>45596</v>
      </c>
      <c r="D171" t="s">
        <v>652</v>
      </c>
      <c r="E171">
        <v>200000</v>
      </c>
      <c r="F171" t="s">
        <v>30</v>
      </c>
      <c r="G171" t="s">
        <v>24</v>
      </c>
      <c r="H171" t="s">
        <v>653</v>
      </c>
      <c r="I171">
        <v>2019</v>
      </c>
      <c r="J171">
        <v>0.2015852613538989</v>
      </c>
      <c r="K171" t="s">
        <v>41</v>
      </c>
      <c r="L171" t="s">
        <v>45</v>
      </c>
    </row>
    <row r="172" spans="1:12" x14ac:dyDescent="0.3">
      <c r="A172" t="s">
        <v>22</v>
      </c>
      <c r="B172" s="49">
        <v>45566</v>
      </c>
      <c r="C172" s="49">
        <v>45596</v>
      </c>
      <c r="D172" t="s">
        <v>652</v>
      </c>
      <c r="E172">
        <v>200000</v>
      </c>
      <c r="F172" t="s">
        <v>30</v>
      </c>
      <c r="G172" t="s">
        <v>24</v>
      </c>
      <c r="H172" t="s">
        <v>653</v>
      </c>
      <c r="I172">
        <v>6158</v>
      </c>
      <c r="J172">
        <v>5.9928644240570844E-2</v>
      </c>
      <c r="K172" t="s">
        <v>48</v>
      </c>
      <c r="L172" t="s">
        <v>49</v>
      </c>
    </row>
    <row r="173" spans="1:12" x14ac:dyDescent="0.3">
      <c r="A173" t="s">
        <v>22</v>
      </c>
      <c r="B173" s="49">
        <v>45566</v>
      </c>
      <c r="C173" s="49">
        <v>45596</v>
      </c>
      <c r="D173" t="s">
        <v>652</v>
      </c>
      <c r="E173">
        <v>200000</v>
      </c>
      <c r="F173" t="s">
        <v>30</v>
      </c>
      <c r="G173" t="s">
        <v>24</v>
      </c>
      <c r="H173" t="s">
        <v>653</v>
      </c>
      <c r="I173">
        <v>3732</v>
      </c>
      <c r="J173">
        <v>6.3118551273952411E-2</v>
      </c>
      <c r="K173" t="s">
        <v>48</v>
      </c>
      <c r="L173" t="s">
        <v>49</v>
      </c>
    </row>
    <row r="174" spans="1:12" x14ac:dyDescent="0.3">
      <c r="A174" t="s">
        <v>22</v>
      </c>
      <c r="B174" s="49">
        <v>45566</v>
      </c>
      <c r="C174" s="49">
        <v>45596</v>
      </c>
      <c r="D174" t="s">
        <v>652</v>
      </c>
      <c r="E174">
        <v>200000</v>
      </c>
      <c r="F174" t="s">
        <v>30</v>
      </c>
      <c r="G174" t="s">
        <v>24</v>
      </c>
      <c r="H174" t="s">
        <v>653</v>
      </c>
      <c r="I174">
        <v>3883</v>
      </c>
      <c r="J174">
        <v>5.8243321401216137E-2</v>
      </c>
      <c r="K174" t="s">
        <v>15</v>
      </c>
      <c r="L174" t="s">
        <v>16</v>
      </c>
    </row>
    <row r="175" spans="1:12" x14ac:dyDescent="0.3">
      <c r="A175" t="s">
        <v>22</v>
      </c>
      <c r="B175" s="49">
        <v>45566</v>
      </c>
      <c r="C175" s="49">
        <v>45596</v>
      </c>
      <c r="D175" t="s">
        <v>652</v>
      </c>
      <c r="E175">
        <v>200000</v>
      </c>
      <c r="F175" t="s">
        <v>30</v>
      </c>
      <c r="G175" t="s">
        <v>24</v>
      </c>
      <c r="H175" t="s">
        <v>653</v>
      </c>
      <c r="I175">
        <v>2818</v>
      </c>
      <c r="J175">
        <v>0.16540727459016394</v>
      </c>
      <c r="K175" t="s">
        <v>48</v>
      </c>
      <c r="L175" t="s">
        <v>127</v>
      </c>
    </row>
    <row r="176" spans="1:12" x14ac:dyDescent="0.3">
      <c r="A176" t="s">
        <v>22</v>
      </c>
      <c r="B176" s="49">
        <v>45566</v>
      </c>
      <c r="C176" s="49">
        <v>45596</v>
      </c>
      <c r="D176" t="s">
        <v>652</v>
      </c>
      <c r="E176">
        <v>200000</v>
      </c>
      <c r="F176" t="s">
        <v>30</v>
      </c>
      <c r="G176" t="s">
        <v>24</v>
      </c>
      <c r="H176" t="s">
        <v>653</v>
      </c>
      <c r="I176">
        <v>2818</v>
      </c>
      <c r="J176">
        <v>0.16540727459016394</v>
      </c>
      <c r="K176" t="s">
        <v>48</v>
      </c>
      <c r="L176" t="s">
        <v>127</v>
      </c>
    </row>
    <row r="177" spans="1:12" x14ac:dyDescent="0.3">
      <c r="A177" t="s">
        <v>22</v>
      </c>
      <c r="B177" s="49">
        <v>45566</v>
      </c>
      <c r="C177" s="49">
        <v>45596</v>
      </c>
      <c r="D177" t="s">
        <v>652</v>
      </c>
      <c r="E177">
        <v>200000</v>
      </c>
      <c r="F177" t="s">
        <v>30</v>
      </c>
      <c r="G177" t="s">
        <v>24</v>
      </c>
      <c r="H177" t="s">
        <v>653</v>
      </c>
      <c r="I177">
        <v>2818</v>
      </c>
      <c r="J177">
        <v>0.16540727459016394</v>
      </c>
      <c r="K177" t="s">
        <v>48</v>
      </c>
      <c r="L177" t="s">
        <v>127</v>
      </c>
    </row>
    <row r="178" spans="1:12" x14ac:dyDescent="0.3">
      <c r="A178" t="s">
        <v>22</v>
      </c>
      <c r="B178" s="49">
        <v>45566</v>
      </c>
      <c r="C178" s="49">
        <v>45596</v>
      </c>
      <c r="D178" t="s">
        <v>652</v>
      </c>
      <c r="E178">
        <v>200000</v>
      </c>
      <c r="F178" t="s">
        <v>30</v>
      </c>
      <c r="G178" t="s">
        <v>24</v>
      </c>
      <c r="H178" t="s">
        <v>653</v>
      </c>
      <c r="I178">
        <v>4486</v>
      </c>
      <c r="J178">
        <v>0.17954159592529711</v>
      </c>
      <c r="K178" t="s">
        <v>41</v>
      </c>
      <c r="L178" t="s">
        <v>42</v>
      </c>
    </row>
    <row r="179" spans="1:12" x14ac:dyDescent="0.3">
      <c r="A179" t="s">
        <v>22</v>
      </c>
      <c r="B179" s="49">
        <v>45566</v>
      </c>
      <c r="C179" s="49">
        <v>45596</v>
      </c>
      <c r="D179" t="s">
        <v>652</v>
      </c>
      <c r="E179">
        <v>200000</v>
      </c>
      <c r="F179" t="s">
        <v>30</v>
      </c>
      <c r="G179" t="s">
        <v>24</v>
      </c>
      <c r="H179" t="s">
        <v>653</v>
      </c>
      <c r="I179">
        <v>5127</v>
      </c>
      <c r="J179">
        <v>8.8019732205778717E-2</v>
      </c>
      <c r="K179" t="s">
        <v>20</v>
      </c>
      <c r="L179" t="s">
        <v>52</v>
      </c>
    </row>
    <row r="180" spans="1:12" x14ac:dyDescent="0.3">
      <c r="A180" t="s">
        <v>22</v>
      </c>
      <c r="B180" s="49">
        <v>45566</v>
      </c>
      <c r="C180" s="49">
        <v>45596</v>
      </c>
      <c r="D180" t="s">
        <v>652</v>
      </c>
      <c r="E180">
        <v>200000</v>
      </c>
      <c r="F180" t="s">
        <v>30</v>
      </c>
      <c r="G180" t="s">
        <v>24</v>
      </c>
      <c r="H180" t="s">
        <v>653</v>
      </c>
      <c r="I180">
        <v>5357</v>
      </c>
      <c r="J180">
        <v>7.198635172059864E-2</v>
      </c>
      <c r="K180" t="s">
        <v>48</v>
      </c>
      <c r="L180" t="s">
        <v>55</v>
      </c>
    </row>
    <row r="181" spans="1:12" x14ac:dyDescent="0.3">
      <c r="A181" t="s">
        <v>22</v>
      </c>
      <c r="B181" s="49">
        <v>45566</v>
      </c>
      <c r="C181" s="49">
        <v>45596</v>
      </c>
      <c r="D181" t="s">
        <v>652</v>
      </c>
      <c r="E181">
        <v>200000</v>
      </c>
      <c r="F181" t="s">
        <v>30</v>
      </c>
      <c r="G181" t="s">
        <v>24</v>
      </c>
      <c r="H181" t="s">
        <v>653</v>
      </c>
      <c r="I181">
        <v>2694</v>
      </c>
      <c r="J181">
        <v>7.6867995018679955E-2</v>
      </c>
      <c r="K181" t="s">
        <v>70</v>
      </c>
      <c r="L181" t="s">
        <v>71</v>
      </c>
    </row>
    <row r="182" spans="1:12" x14ac:dyDescent="0.3">
      <c r="A182" t="s">
        <v>22</v>
      </c>
      <c r="B182" s="49">
        <v>45566</v>
      </c>
      <c r="C182" s="49">
        <v>45596</v>
      </c>
      <c r="D182" t="s">
        <v>652</v>
      </c>
      <c r="E182">
        <v>200000</v>
      </c>
      <c r="F182" t="s">
        <v>30</v>
      </c>
      <c r="G182" t="s">
        <v>24</v>
      </c>
      <c r="H182" t="s">
        <v>653</v>
      </c>
      <c r="I182">
        <v>2694</v>
      </c>
      <c r="J182">
        <v>7.6867995018679955E-2</v>
      </c>
      <c r="K182" t="s">
        <v>70</v>
      </c>
      <c r="L182" t="s">
        <v>71</v>
      </c>
    </row>
    <row r="183" spans="1:12" x14ac:dyDescent="0.3">
      <c r="A183" t="s">
        <v>22</v>
      </c>
      <c r="B183" s="49">
        <v>45566</v>
      </c>
      <c r="C183" s="49">
        <v>45596</v>
      </c>
      <c r="D183" t="s">
        <v>652</v>
      </c>
      <c r="E183">
        <v>200000</v>
      </c>
      <c r="F183" t="s">
        <v>30</v>
      </c>
      <c r="G183" t="s">
        <v>24</v>
      </c>
      <c r="H183" t="s">
        <v>653</v>
      </c>
      <c r="I183">
        <v>4335</v>
      </c>
      <c r="J183">
        <v>0.17770337301587302</v>
      </c>
      <c r="K183" t="s">
        <v>41</v>
      </c>
      <c r="L183" t="s">
        <v>42</v>
      </c>
    </row>
    <row r="184" spans="1:12" x14ac:dyDescent="0.3">
      <c r="A184" t="s">
        <v>22</v>
      </c>
      <c r="B184" s="49">
        <v>45566</v>
      </c>
      <c r="C184" s="49">
        <v>45596</v>
      </c>
      <c r="D184" t="s">
        <v>652</v>
      </c>
      <c r="E184">
        <v>200000</v>
      </c>
      <c r="F184" t="s">
        <v>30</v>
      </c>
      <c r="G184" t="s">
        <v>24</v>
      </c>
      <c r="H184" t="s">
        <v>653</v>
      </c>
      <c r="I184">
        <v>3168</v>
      </c>
      <c r="J184">
        <v>7.8689839572192513E-2</v>
      </c>
      <c r="K184" t="s">
        <v>41</v>
      </c>
      <c r="L184" t="s">
        <v>42</v>
      </c>
    </row>
    <row r="185" spans="1:12" x14ac:dyDescent="0.3">
      <c r="A185" t="s">
        <v>22</v>
      </c>
      <c r="B185" s="49">
        <v>45566</v>
      </c>
      <c r="C185" s="49">
        <v>45596</v>
      </c>
      <c r="D185" t="s">
        <v>652</v>
      </c>
      <c r="E185">
        <v>200000</v>
      </c>
      <c r="F185" t="s">
        <v>30</v>
      </c>
      <c r="G185" t="s">
        <v>24</v>
      </c>
      <c r="H185" t="s">
        <v>653</v>
      </c>
      <c r="I185">
        <v>4255</v>
      </c>
      <c r="J185">
        <v>9.9632815002833983E-2</v>
      </c>
      <c r="K185" t="s">
        <v>48</v>
      </c>
      <c r="L185" t="s">
        <v>55</v>
      </c>
    </row>
    <row r="186" spans="1:12" x14ac:dyDescent="0.3">
      <c r="A186" t="s">
        <v>22</v>
      </c>
      <c r="B186" s="49">
        <v>45566</v>
      </c>
      <c r="C186" s="49">
        <v>45596</v>
      </c>
      <c r="D186" t="s">
        <v>652</v>
      </c>
      <c r="E186">
        <v>200000</v>
      </c>
      <c r="F186" t="s">
        <v>30</v>
      </c>
      <c r="G186" t="s">
        <v>24</v>
      </c>
      <c r="H186" t="s">
        <v>653</v>
      </c>
      <c r="I186">
        <v>2864</v>
      </c>
      <c r="J186">
        <v>0.15571802706241816</v>
      </c>
      <c r="K186" t="s">
        <v>48</v>
      </c>
      <c r="L186" t="s">
        <v>55</v>
      </c>
    </row>
    <row r="187" spans="1:12" x14ac:dyDescent="0.3">
      <c r="A187" t="s">
        <v>22</v>
      </c>
      <c r="B187" s="49">
        <v>45566</v>
      </c>
      <c r="C187" s="49">
        <v>45596</v>
      </c>
      <c r="D187" t="s">
        <v>652</v>
      </c>
      <c r="E187">
        <v>200000</v>
      </c>
      <c r="F187" t="s">
        <v>30</v>
      </c>
      <c r="G187" t="s">
        <v>24</v>
      </c>
      <c r="H187" t="s">
        <v>653</v>
      </c>
      <c r="I187">
        <v>2864</v>
      </c>
      <c r="J187">
        <v>0.15571802706241816</v>
      </c>
      <c r="K187" t="s">
        <v>48</v>
      </c>
      <c r="L187" t="s">
        <v>55</v>
      </c>
    </row>
    <row r="188" spans="1:12" x14ac:dyDescent="0.3">
      <c r="A188" t="s">
        <v>22</v>
      </c>
      <c r="B188" s="49">
        <v>45566</v>
      </c>
      <c r="C188" s="49">
        <v>45596</v>
      </c>
      <c r="D188" t="s">
        <v>652</v>
      </c>
      <c r="E188">
        <v>200000</v>
      </c>
      <c r="F188" t="s">
        <v>30</v>
      </c>
      <c r="G188" t="s">
        <v>24</v>
      </c>
      <c r="H188" t="s">
        <v>653</v>
      </c>
      <c r="I188">
        <v>5015</v>
      </c>
      <c r="J188">
        <v>0.1095786671562328</v>
      </c>
      <c r="K188" t="s">
        <v>41</v>
      </c>
      <c r="L188" t="s">
        <v>42</v>
      </c>
    </row>
    <row r="189" spans="1:12" x14ac:dyDescent="0.3">
      <c r="A189" t="s">
        <v>22</v>
      </c>
      <c r="B189" s="49">
        <v>45566</v>
      </c>
      <c r="C189" s="49">
        <v>45596</v>
      </c>
      <c r="D189" t="s">
        <v>652</v>
      </c>
      <c r="E189">
        <v>200000</v>
      </c>
      <c r="F189" t="s">
        <v>30</v>
      </c>
      <c r="G189" t="s">
        <v>24</v>
      </c>
      <c r="H189" t="s">
        <v>653</v>
      </c>
      <c r="I189">
        <v>2783</v>
      </c>
      <c r="J189">
        <v>0.21745283018867925</v>
      </c>
      <c r="K189" t="s">
        <v>32</v>
      </c>
      <c r="L189" t="s">
        <v>67</v>
      </c>
    </row>
    <row r="190" spans="1:12" x14ac:dyDescent="0.3">
      <c r="A190" t="s">
        <v>22</v>
      </c>
      <c r="B190" s="49">
        <v>45566</v>
      </c>
      <c r="C190" s="49">
        <v>45596</v>
      </c>
      <c r="D190" t="s">
        <v>652</v>
      </c>
      <c r="E190">
        <v>200000</v>
      </c>
      <c r="F190" t="s">
        <v>30</v>
      </c>
      <c r="G190" t="s">
        <v>24</v>
      </c>
      <c r="H190" t="s">
        <v>653</v>
      </c>
      <c r="I190">
        <v>4646</v>
      </c>
      <c r="J190">
        <v>6.246991874522239E-2</v>
      </c>
      <c r="K190" t="s">
        <v>15</v>
      </c>
      <c r="L190" t="s">
        <v>61</v>
      </c>
    </row>
    <row r="191" spans="1:12" x14ac:dyDescent="0.3">
      <c r="A191" t="s">
        <v>22</v>
      </c>
      <c r="B191" s="49">
        <v>45566</v>
      </c>
      <c r="C191" s="49">
        <v>45596</v>
      </c>
      <c r="D191" t="s">
        <v>652</v>
      </c>
      <c r="E191">
        <v>200000</v>
      </c>
      <c r="F191" t="s">
        <v>30</v>
      </c>
      <c r="G191" t="s">
        <v>24</v>
      </c>
      <c r="H191" t="s">
        <v>653</v>
      </c>
      <c r="I191">
        <v>6062</v>
      </c>
      <c r="J191">
        <v>7.2116777745580993E-2</v>
      </c>
      <c r="K191" t="s">
        <v>48</v>
      </c>
      <c r="L191" t="s">
        <v>55</v>
      </c>
    </row>
    <row r="192" spans="1:12" x14ac:dyDescent="0.3">
      <c r="A192" t="s">
        <v>22</v>
      </c>
      <c r="B192" s="49">
        <v>45566</v>
      </c>
      <c r="C192" s="49">
        <v>45596</v>
      </c>
      <c r="D192" t="s">
        <v>652</v>
      </c>
      <c r="E192">
        <v>200000</v>
      </c>
      <c r="F192" t="s">
        <v>30</v>
      </c>
      <c r="G192" t="s">
        <v>24</v>
      </c>
      <c r="H192" t="s">
        <v>653</v>
      </c>
      <c r="I192">
        <v>1821</v>
      </c>
      <c r="J192">
        <v>0.12943516308671441</v>
      </c>
      <c r="K192" t="s">
        <v>20</v>
      </c>
      <c r="L192" t="s">
        <v>52</v>
      </c>
    </row>
    <row r="193" spans="1:12" x14ac:dyDescent="0.3">
      <c r="A193" t="s">
        <v>22</v>
      </c>
      <c r="B193" s="49">
        <v>45566</v>
      </c>
      <c r="C193" s="49">
        <v>45596</v>
      </c>
      <c r="D193" t="s">
        <v>652</v>
      </c>
      <c r="E193">
        <v>200000</v>
      </c>
      <c r="F193" t="s">
        <v>30</v>
      </c>
      <c r="G193" t="s">
        <v>24</v>
      </c>
      <c r="H193" t="s">
        <v>653</v>
      </c>
      <c r="I193">
        <v>1821</v>
      </c>
      <c r="J193">
        <v>0.12943516308671441</v>
      </c>
      <c r="K193" t="s">
        <v>20</v>
      </c>
      <c r="L193" t="s">
        <v>52</v>
      </c>
    </row>
    <row r="194" spans="1:12" x14ac:dyDescent="0.3">
      <c r="A194" t="s">
        <v>22</v>
      </c>
      <c r="B194" s="49">
        <v>45566</v>
      </c>
      <c r="C194" s="49">
        <v>45596</v>
      </c>
      <c r="D194" t="s">
        <v>652</v>
      </c>
      <c r="E194">
        <v>200000</v>
      </c>
      <c r="F194" t="s">
        <v>30</v>
      </c>
      <c r="G194" t="s">
        <v>24</v>
      </c>
      <c r="H194" t="s">
        <v>653</v>
      </c>
      <c r="I194">
        <v>1821</v>
      </c>
      <c r="J194">
        <v>0.12943516308671441</v>
      </c>
      <c r="K194" t="s">
        <v>20</v>
      </c>
      <c r="L194" t="s">
        <v>52</v>
      </c>
    </row>
    <row r="195" spans="1:12" x14ac:dyDescent="0.3">
      <c r="A195" t="s">
        <v>22</v>
      </c>
      <c r="B195" s="49">
        <v>45566</v>
      </c>
      <c r="C195" s="49">
        <v>45596</v>
      </c>
      <c r="D195" t="s">
        <v>652</v>
      </c>
      <c r="E195">
        <v>200000</v>
      </c>
      <c r="F195" t="s">
        <v>30</v>
      </c>
      <c r="G195" t="s">
        <v>24</v>
      </c>
      <c r="H195" t="s">
        <v>653</v>
      </c>
      <c r="I195">
        <v>1674</v>
      </c>
      <c r="J195">
        <v>0.23656250000000001</v>
      </c>
      <c r="K195" t="s">
        <v>48</v>
      </c>
      <c r="L195" t="s">
        <v>55</v>
      </c>
    </row>
    <row r="196" spans="1:12" x14ac:dyDescent="0.3">
      <c r="A196" t="s">
        <v>22</v>
      </c>
      <c r="B196" s="49">
        <v>45566</v>
      </c>
      <c r="C196" s="49">
        <v>45596</v>
      </c>
      <c r="D196" t="s">
        <v>652</v>
      </c>
      <c r="E196">
        <v>200000</v>
      </c>
      <c r="F196" t="s">
        <v>30</v>
      </c>
      <c r="G196" t="s">
        <v>24</v>
      </c>
      <c r="H196" t="s">
        <v>653</v>
      </c>
      <c r="I196">
        <v>3976</v>
      </c>
      <c r="J196">
        <v>7.9915048543689318E-2</v>
      </c>
      <c r="K196" t="s">
        <v>48</v>
      </c>
      <c r="L196" t="s">
        <v>55</v>
      </c>
    </row>
    <row r="197" spans="1:12" x14ac:dyDescent="0.3">
      <c r="A197" t="s">
        <v>22</v>
      </c>
      <c r="B197" s="49">
        <v>45566</v>
      </c>
      <c r="C197" s="49">
        <v>45596</v>
      </c>
      <c r="D197" t="s">
        <v>652</v>
      </c>
      <c r="E197">
        <v>200000</v>
      </c>
      <c r="F197" t="s">
        <v>30</v>
      </c>
      <c r="G197" t="s">
        <v>24</v>
      </c>
      <c r="H197" t="s">
        <v>653</v>
      </c>
      <c r="I197">
        <v>3976</v>
      </c>
      <c r="J197">
        <v>7.9915048543689318E-2</v>
      </c>
      <c r="K197" t="s">
        <v>48</v>
      </c>
      <c r="L197" t="s">
        <v>55</v>
      </c>
    </row>
    <row r="198" spans="1:12" x14ac:dyDescent="0.3">
      <c r="A198" t="s">
        <v>22</v>
      </c>
      <c r="B198" s="49">
        <v>45566</v>
      </c>
      <c r="C198" s="49">
        <v>45596</v>
      </c>
      <c r="D198" t="s">
        <v>652</v>
      </c>
      <c r="E198">
        <v>200000</v>
      </c>
      <c r="F198" t="s">
        <v>30</v>
      </c>
      <c r="G198" t="s">
        <v>24</v>
      </c>
      <c r="H198" t="s">
        <v>653</v>
      </c>
      <c r="I198">
        <v>3976</v>
      </c>
      <c r="J198">
        <v>7.9915048543689318E-2</v>
      </c>
      <c r="K198" t="s">
        <v>48</v>
      </c>
      <c r="L198" t="s">
        <v>55</v>
      </c>
    </row>
    <row r="199" spans="1:12" x14ac:dyDescent="0.3">
      <c r="A199" t="s">
        <v>35</v>
      </c>
      <c r="B199" s="49">
        <v>45717</v>
      </c>
      <c r="C199" s="49">
        <v>45747</v>
      </c>
      <c r="D199" t="s">
        <v>655</v>
      </c>
      <c r="E199">
        <v>180000</v>
      </c>
      <c r="F199" t="s">
        <v>30</v>
      </c>
      <c r="G199" t="s">
        <v>13</v>
      </c>
      <c r="H199" t="s">
        <v>656</v>
      </c>
      <c r="I199">
        <v>3033</v>
      </c>
      <c r="J199">
        <v>0.15105033277870217</v>
      </c>
      <c r="K199" t="s">
        <v>32</v>
      </c>
      <c r="L199" t="s">
        <v>33</v>
      </c>
    </row>
    <row r="200" spans="1:12" x14ac:dyDescent="0.3">
      <c r="A200" t="s">
        <v>35</v>
      </c>
      <c r="B200" s="49">
        <v>45717</v>
      </c>
      <c r="C200" s="49">
        <v>45747</v>
      </c>
      <c r="D200" t="s">
        <v>655</v>
      </c>
      <c r="E200">
        <v>180000</v>
      </c>
      <c r="F200" t="s">
        <v>30</v>
      </c>
      <c r="G200" t="s">
        <v>13</v>
      </c>
      <c r="H200" t="s">
        <v>656</v>
      </c>
      <c r="I200">
        <v>2968</v>
      </c>
      <c r="J200">
        <v>0.11571269132653061</v>
      </c>
      <c r="K200" t="s">
        <v>32</v>
      </c>
      <c r="L200" t="s">
        <v>33</v>
      </c>
    </row>
    <row r="201" spans="1:12" x14ac:dyDescent="0.3">
      <c r="A201" t="s">
        <v>35</v>
      </c>
      <c r="B201" s="49">
        <v>45717</v>
      </c>
      <c r="C201" s="49">
        <v>45747</v>
      </c>
      <c r="D201" t="s">
        <v>655</v>
      </c>
      <c r="E201">
        <v>180000</v>
      </c>
      <c r="F201" t="s">
        <v>30</v>
      </c>
      <c r="G201" t="s">
        <v>13</v>
      </c>
      <c r="H201" t="s">
        <v>656</v>
      </c>
      <c r="I201">
        <v>1715</v>
      </c>
      <c r="J201">
        <v>0.10034235916588857</v>
      </c>
      <c r="K201" t="s">
        <v>70</v>
      </c>
      <c r="L201" t="s">
        <v>81</v>
      </c>
    </row>
    <row r="202" spans="1:12" x14ac:dyDescent="0.3">
      <c r="A202" t="s">
        <v>35</v>
      </c>
      <c r="B202" s="49">
        <v>45717</v>
      </c>
      <c r="C202" s="49">
        <v>45747</v>
      </c>
      <c r="D202" t="s">
        <v>655</v>
      </c>
      <c r="E202">
        <v>180000</v>
      </c>
      <c r="F202" t="s">
        <v>30</v>
      </c>
      <c r="G202" t="s">
        <v>13</v>
      </c>
      <c r="H202" t="s">
        <v>656</v>
      </c>
      <c r="I202">
        <v>5689</v>
      </c>
      <c r="J202">
        <v>7.7249552156538517E-2</v>
      </c>
      <c r="K202" t="s">
        <v>15</v>
      </c>
      <c r="L202" t="s">
        <v>78</v>
      </c>
    </row>
    <row r="203" spans="1:12" x14ac:dyDescent="0.3">
      <c r="A203" t="s">
        <v>35</v>
      </c>
      <c r="B203" s="49">
        <v>45717</v>
      </c>
      <c r="C203" s="49">
        <v>45747</v>
      </c>
      <c r="D203" t="s">
        <v>655</v>
      </c>
      <c r="E203">
        <v>180000</v>
      </c>
      <c r="F203" t="s">
        <v>30</v>
      </c>
      <c r="G203" t="s">
        <v>13</v>
      </c>
      <c r="H203" t="s">
        <v>656</v>
      </c>
      <c r="I203">
        <v>1258</v>
      </c>
      <c r="J203">
        <v>0.17057291666666666</v>
      </c>
      <c r="K203" t="s">
        <v>70</v>
      </c>
      <c r="L203" t="s">
        <v>81</v>
      </c>
    </row>
    <row r="204" spans="1:12" x14ac:dyDescent="0.3">
      <c r="A204" t="s">
        <v>35</v>
      </c>
      <c r="B204" s="49">
        <v>45717</v>
      </c>
      <c r="C204" s="49">
        <v>45747</v>
      </c>
      <c r="D204" t="s">
        <v>655</v>
      </c>
      <c r="E204">
        <v>180000</v>
      </c>
      <c r="F204" t="s">
        <v>30</v>
      </c>
      <c r="G204" t="s">
        <v>13</v>
      </c>
      <c r="H204" t="s">
        <v>656</v>
      </c>
      <c r="I204">
        <v>1718</v>
      </c>
      <c r="J204">
        <v>0.18433235867446393</v>
      </c>
      <c r="K204" t="s">
        <v>15</v>
      </c>
      <c r="L204" t="s">
        <v>78</v>
      </c>
    </row>
    <row r="205" spans="1:12" x14ac:dyDescent="0.3">
      <c r="A205" t="s">
        <v>35</v>
      </c>
      <c r="B205" s="49">
        <v>45717</v>
      </c>
      <c r="C205" s="49">
        <v>45747</v>
      </c>
      <c r="D205" t="s">
        <v>655</v>
      </c>
      <c r="E205">
        <v>180000</v>
      </c>
      <c r="F205" t="s">
        <v>30</v>
      </c>
      <c r="G205" t="s">
        <v>13</v>
      </c>
      <c r="H205" t="s">
        <v>656</v>
      </c>
      <c r="I205">
        <v>1154</v>
      </c>
      <c r="J205">
        <v>0.86601941747572819</v>
      </c>
      <c r="K205" t="s">
        <v>15</v>
      </c>
      <c r="L205" t="s">
        <v>78</v>
      </c>
    </row>
    <row r="206" spans="1:12" x14ac:dyDescent="0.3">
      <c r="A206" t="s">
        <v>35</v>
      </c>
      <c r="B206" s="49">
        <v>45717</v>
      </c>
      <c r="C206" s="49">
        <v>45747</v>
      </c>
      <c r="D206" t="s">
        <v>655</v>
      </c>
      <c r="E206">
        <v>180000</v>
      </c>
      <c r="F206" t="s">
        <v>30</v>
      </c>
      <c r="G206" t="s">
        <v>13</v>
      </c>
      <c r="H206" t="s">
        <v>656</v>
      </c>
      <c r="I206">
        <v>2895</v>
      </c>
      <c r="J206">
        <v>0.12131237937689551</v>
      </c>
      <c r="K206" t="s">
        <v>15</v>
      </c>
      <c r="L206" t="s">
        <v>78</v>
      </c>
    </row>
    <row r="207" spans="1:12" x14ac:dyDescent="0.3">
      <c r="A207" t="s">
        <v>35</v>
      </c>
      <c r="B207" s="49">
        <v>45717</v>
      </c>
      <c r="C207" s="49">
        <v>45747</v>
      </c>
      <c r="D207" t="s">
        <v>655</v>
      </c>
      <c r="E207">
        <v>180000</v>
      </c>
      <c r="F207" t="s">
        <v>30</v>
      </c>
      <c r="G207" t="s">
        <v>13</v>
      </c>
      <c r="H207" t="s">
        <v>656</v>
      </c>
      <c r="I207">
        <v>5219</v>
      </c>
      <c r="J207">
        <v>7.0822181933293038E-2</v>
      </c>
      <c r="K207" t="s">
        <v>48</v>
      </c>
      <c r="L207" t="s">
        <v>208</v>
      </c>
    </row>
    <row r="208" spans="1:12" x14ac:dyDescent="0.3">
      <c r="A208" t="s">
        <v>35</v>
      </c>
      <c r="B208" s="49">
        <v>45717</v>
      </c>
      <c r="C208" s="49">
        <v>45747</v>
      </c>
      <c r="D208" t="s">
        <v>655</v>
      </c>
      <c r="E208">
        <v>180000</v>
      </c>
      <c r="F208" t="s">
        <v>30</v>
      </c>
      <c r="G208" t="s">
        <v>13</v>
      </c>
      <c r="H208" t="s">
        <v>656</v>
      </c>
      <c r="I208">
        <v>4064</v>
      </c>
      <c r="J208">
        <v>6.8108806480899509E-2</v>
      </c>
      <c r="K208" t="s">
        <v>20</v>
      </c>
      <c r="L208" t="s">
        <v>108</v>
      </c>
    </row>
    <row r="209" spans="1:12" x14ac:dyDescent="0.3">
      <c r="A209" t="s">
        <v>35</v>
      </c>
      <c r="B209" s="49">
        <v>45717</v>
      </c>
      <c r="C209" s="49">
        <v>45747</v>
      </c>
      <c r="D209" t="s">
        <v>655</v>
      </c>
      <c r="E209">
        <v>180000</v>
      </c>
      <c r="F209" t="s">
        <v>30</v>
      </c>
      <c r="G209" t="s">
        <v>13</v>
      </c>
      <c r="H209" t="s">
        <v>656</v>
      </c>
      <c r="I209">
        <v>6237</v>
      </c>
      <c r="J209">
        <v>8.5718409468138843E-2</v>
      </c>
      <c r="K209" t="s">
        <v>48</v>
      </c>
      <c r="L209" t="s">
        <v>208</v>
      </c>
    </row>
    <row r="210" spans="1:12" x14ac:dyDescent="0.3">
      <c r="A210" t="s">
        <v>35</v>
      </c>
      <c r="B210" s="49">
        <v>45717</v>
      </c>
      <c r="C210" s="49">
        <v>45747</v>
      </c>
      <c r="D210" t="s">
        <v>655</v>
      </c>
      <c r="E210">
        <v>180000</v>
      </c>
      <c r="F210" t="s">
        <v>30</v>
      </c>
      <c r="G210" t="s">
        <v>13</v>
      </c>
      <c r="H210" t="s">
        <v>656</v>
      </c>
      <c r="I210">
        <v>4596</v>
      </c>
      <c r="J210">
        <v>0.20357370772176134</v>
      </c>
      <c r="K210" t="s">
        <v>20</v>
      </c>
      <c r="L210" t="s">
        <v>108</v>
      </c>
    </row>
    <row r="211" spans="1:12" x14ac:dyDescent="0.3">
      <c r="A211" t="s">
        <v>35</v>
      </c>
      <c r="B211" s="49">
        <v>45717</v>
      </c>
      <c r="C211" s="49">
        <v>45747</v>
      </c>
      <c r="D211" t="s">
        <v>655</v>
      </c>
      <c r="E211">
        <v>180000</v>
      </c>
      <c r="F211" t="s">
        <v>30</v>
      </c>
      <c r="G211" t="s">
        <v>13</v>
      </c>
      <c r="H211" t="s">
        <v>656</v>
      </c>
      <c r="I211">
        <v>2261</v>
      </c>
      <c r="J211">
        <v>5.6416400425985093E-2</v>
      </c>
      <c r="K211" t="s">
        <v>41</v>
      </c>
      <c r="L211" t="s">
        <v>84</v>
      </c>
    </row>
    <row r="212" spans="1:12" x14ac:dyDescent="0.3">
      <c r="A212" t="s">
        <v>35</v>
      </c>
      <c r="B212" s="49">
        <v>45717</v>
      </c>
      <c r="C212" s="49">
        <v>45747</v>
      </c>
      <c r="D212" t="s">
        <v>655</v>
      </c>
      <c r="E212">
        <v>180000</v>
      </c>
      <c r="F212" t="s">
        <v>30</v>
      </c>
      <c r="G212" t="s">
        <v>13</v>
      </c>
      <c r="H212" t="s">
        <v>656</v>
      </c>
      <c r="I212">
        <v>5102</v>
      </c>
      <c r="J212">
        <v>0.19864505202032423</v>
      </c>
      <c r="K212" t="s">
        <v>70</v>
      </c>
      <c r="L212" t="s">
        <v>81</v>
      </c>
    </row>
    <row r="213" spans="1:12" x14ac:dyDescent="0.3">
      <c r="A213" t="s">
        <v>35</v>
      </c>
      <c r="B213" s="49">
        <v>45717</v>
      </c>
      <c r="C213" s="49">
        <v>45747</v>
      </c>
      <c r="D213" t="s">
        <v>655</v>
      </c>
      <c r="E213">
        <v>180000</v>
      </c>
      <c r="F213" t="s">
        <v>30</v>
      </c>
      <c r="G213" t="s">
        <v>13</v>
      </c>
      <c r="H213" t="s">
        <v>656</v>
      </c>
      <c r="I213">
        <v>2268</v>
      </c>
      <c r="J213">
        <v>0.31965192168237855</v>
      </c>
      <c r="K213" t="s">
        <v>41</v>
      </c>
      <c r="L213" t="s">
        <v>84</v>
      </c>
    </row>
    <row r="214" spans="1:12" x14ac:dyDescent="0.3">
      <c r="A214" t="s">
        <v>35</v>
      </c>
      <c r="B214" s="49">
        <v>45717</v>
      </c>
      <c r="C214" s="49">
        <v>45747</v>
      </c>
      <c r="D214" t="s">
        <v>655</v>
      </c>
      <c r="E214">
        <v>180000</v>
      </c>
      <c r="F214" t="s">
        <v>30</v>
      </c>
      <c r="G214" t="s">
        <v>13</v>
      </c>
      <c r="H214" t="s">
        <v>656</v>
      </c>
      <c r="I214">
        <v>1263</v>
      </c>
      <c r="J214">
        <v>0.6508215962441315</v>
      </c>
      <c r="K214" t="s">
        <v>15</v>
      </c>
      <c r="L214" t="s">
        <v>78</v>
      </c>
    </row>
    <row r="215" spans="1:12" x14ac:dyDescent="0.3">
      <c r="A215" t="s">
        <v>35</v>
      </c>
      <c r="B215" s="49">
        <v>45717</v>
      </c>
      <c r="C215" s="49">
        <v>45747</v>
      </c>
      <c r="D215" t="s">
        <v>655</v>
      </c>
      <c r="E215">
        <v>180000</v>
      </c>
      <c r="F215" t="s">
        <v>30</v>
      </c>
      <c r="G215" t="s">
        <v>13</v>
      </c>
      <c r="H215" t="s">
        <v>656</v>
      </c>
      <c r="I215">
        <v>1146</v>
      </c>
      <c r="J215">
        <v>0.70387596899224802</v>
      </c>
      <c r="K215" t="s">
        <v>70</v>
      </c>
      <c r="L215" t="s">
        <v>81</v>
      </c>
    </row>
    <row r="216" spans="1:12" x14ac:dyDescent="0.3">
      <c r="A216" t="s">
        <v>35</v>
      </c>
      <c r="B216" s="49">
        <v>45717</v>
      </c>
      <c r="C216" s="49">
        <v>45747</v>
      </c>
      <c r="D216" t="s">
        <v>655</v>
      </c>
      <c r="E216">
        <v>180000</v>
      </c>
      <c r="F216" t="s">
        <v>30</v>
      </c>
      <c r="G216" t="s">
        <v>13</v>
      </c>
      <c r="H216" t="s">
        <v>656</v>
      </c>
      <c r="I216">
        <v>1906</v>
      </c>
      <c r="J216">
        <v>0.13667732704931829</v>
      </c>
      <c r="K216" t="s">
        <v>41</v>
      </c>
      <c r="L216" t="s">
        <v>84</v>
      </c>
    </row>
    <row r="217" spans="1:12" x14ac:dyDescent="0.3">
      <c r="A217" t="s">
        <v>35</v>
      </c>
      <c r="B217" s="49">
        <v>45717</v>
      </c>
      <c r="C217" s="49">
        <v>45747</v>
      </c>
      <c r="D217" t="s">
        <v>655</v>
      </c>
      <c r="E217">
        <v>180000</v>
      </c>
      <c r="F217" t="s">
        <v>30</v>
      </c>
      <c r="G217" t="s">
        <v>13</v>
      </c>
      <c r="H217" t="s">
        <v>656</v>
      </c>
      <c r="I217">
        <v>1906</v>
      </c>
      <c r="J217">
        <v>0.13667732704931829</v>
      </c>
      <c r="K217" t="s">
        <v>41</v>
      </c>
      <c r="L217" t="s">
        <v>84</v>
      </c>
    </row>
    <row r="218" spans="1:12" x14ac:dyDescent="0.3">
      <c r="A218" t="s">
        <v>35</v>
      </c>
      <c r="B218" s="49">
        <v>45717</v>
      </c>
      <c r="C218" s="49">
        <v>45747</v>
      </c>
      <c r="D218" t="s">
        <v>655</v>
      </c>
      <c r="E218">
        <v>180000</v>
      </c>
      <c r="F218" t="s">
        <v>30</v>
      </c>
      <c r="G218" t="s">
        <v>13</v>
      </c>
      <c r="H218" t="s">
        <v>656</v>
      </c>
      <c r="I218">
        <v>1906</v>
      </c>
      <c r="J218">
        <v>0.13667732704931829</v>
      </c>
      <c r="K218" t="s">
        <v>41</v>
      </c>
      <c r="L218" t="s">
        <v>84</v>
      </c>
    </row>
    <row r="219" spans="1:12" x14ac:dyDescent="0.3">
      <c r="A219" t="s">
        <v>35</v>
      </c>
      <c r="B219" s="49">
        <v>45717</v>
      </c>
      <c r="C219" s="49">
        <v>45747</v>
      </c>
      <c r="D219" t="s">
        <v>655</v>
      </c>
      <c r="E219">
        <v>180000</v>
      </c>
      <c r="F219" t="s">
        <v>30</v>
      </c>
      <c r="G219" t="s">
        <v>13</v>
      </c>
      <c r="H219" t="s">
        <v>656</v>
      </c>
      <c r="I219">
        <v>3197</v>
      </c>
      <c r="J219">
        <v>8.3921940869371006E-2</v>
      </c>
      <c r="K219" t="s">
        <v>41</v>
      </c>
      <c r="L219" t="s">
        <v>84</v>
      </c>
    </row>
    <row r="220" spans="1:12" x14ac:dyDescent="0.3">
      <c r="A220" t="s">
        <v>35</v>
      </c>
      <c r="B220" s="49">
        <v>45717</v>
      </c>
      <c r="C220" s="49">
        <v>45747</v>
      </c>
      <c r="D220" t="s">
        <v>655</v>
      </c>
      <c r="E220">
        <v>180000</v>
      </c>
      <c r="F220" t="s">
        <v>30</v>
      </c>
      <c r="G220" t="s">
        <v>13</v>
      </c>
      <c r="H220" t="s">
        <v>656</v>
      </c>
      <c r="I220">
        <v>4508</v>
      </c>
      <c r="J220">
        <v>0.10340359564080613</v>
      </c>
      <c r="K220" t="s">
        <v>48</v>
      </c>
      <c r="L220" t="s">
        <v>49</v>
      </c>
    </row>
    <row r="221" spans="1:12" x14ac:dyDescent="0.3">
      <c r="A221" t="s">
        <v>35</v>
      </c>
      <c r="B221" s="49">
        <v>45717</v>
      </c>
      <c r="C221" s="49">
        <v>45747</v>
      </c>
      <c r="D221" t="s">
        <v>655</v>
      </c>
      <c r="E221">
        <v>180000</v>
      </c>
      <c r="F221" t="s">
        <v>30</v>
      </c>
      <c r="G221" t="s">
        <v>13</v>
      </c>
      <c r="H221" t="s">
        <v>656</v>
      </c>
      <c r="I221">
        <v>2426</v>
      </c>
      <c r="J221">
        <v>7.1501685934489398E-2</v>
      </c>
      <c r="K221" t="s">
        <v>20</v>
      </c>
      <c r="L221" t="s">
        <v>99</v>
      </c>
    </row>
    <row r="222" spans="1:12" x14ac:dyDescent="0.3">
      <c r="A222" t="s">
        <v>35</v>
      </c>
      <c r="B222" s="49">
        <v>45717</v>
      </c>
      <c r="C222" s="49">
        <v>45747</v>
      </c>
      <c r="D222" t="s">
        <v>655</v>
      </c>
      <c r="E222">
        <v>180000</v>
      </c>
      <c r="F222" t="s">
        <v>30</v>
      </c>
      <c r="G222" t="s">
        <v>13</v>
      </c>
      <c r="H222" t="s">
        <v>656</v>
      </c>
      <c r="I222">
        <v>3639</v>
      </c>
      <c r="J222">
        <v>0.12577012959422137</v>
      </c>
      <c r="K222" t="s">
        <v>15</v>
      </c>
      <c r="L222" t="s">
        <v>26</v>
      </c>
    </row>
    <row r="223" spans="1:12" x14ac:dyDescent="0.3">
      <c r="A223" t="s">
        <v>35</v>
      </c>
      <c r="B223" s="49">
        <v>45717</v>
      </c>
      <c r="C223" s="49">
        <v>45747</v>
      </c>
      <c r="D223" t="s">
        <v>655</v>
      </c>
      <c r="E223">
        <v>180000</v>
      </c>
      <c r="F223" t="s">
        <v>30</v>
      </c>
      <c r="G223" t="s">
        <v>13</v>
      </c>
      <c r="H223" t="s">
        <v>656</v>
      </c>
      <c r="I223">
        <v>5615</v>
      </c>
      <c r="J223">
        <v>0.13989473684210527</v>
      </c>
      <c r="K223" t="s">
        <v>48</v>
      </c>
      <c r="L223" t="s">
        <v>127</v>
      </c>
    </row>
    <row r="224" spans="1:12" x14ac:dyDescent="0.3">
      <c r="A224" t="s">
        <v>35</v>
      </c>
      <c r="B224" s="49">
        <v>45717</v>
      </c>
      <c r="C224" s="49">
        <v>45747</v>
      </c>
      <c r="D224" t="s">
        <v>655</v>
      </c>
      <c r="E224">
        <v>180000</v>
      </c>
      <c r="F224" t="s">
        <v>30</v>
      </c>
      <c r="G224" t="s">
        <v>13</v>
      </c>
      <c r="H224" t="s">
        <v>656</v>
      </c>
      <c r="I224">
        <v>1594</v>
      </c>
      <c r="J224">
        <v>0.16888537906137185</v>
      </c>
      <c r="K224" t="s">
        <v>70</v>
      </c>
      <c r="L224" t="s">
        <v>140</v>
      </c>
    </row>
    <row r="225" spans="1:12" x14ac:dyDescent="0.3">
      <c r="A225" t="s">
        <v>35</v>
      </c>
      <c r="B225" s="49">
        <v>45717</v>
      </c>
      <c r="C225" s="49">
        <v>45747</v>
      </c>
      <c r="D225" t="s">
        <v>655</v>
      </c>
      <c r="E225">
        <v>180000</v>
      </c>
      <c r="F225" t="s">
        <v>30</v>
      </c>
      <c r="G225" t="s">
        <v>13</v>
      </c>
      <c r="H225" t="s">
        <v>656</v>
      </c>
      <c r="I225">
        <v>3164</v>
      </c>
      <c r="J225">
        <v>0.10617801791554102</v>
      </c>
      <c r="K225" t="s">
        <v>32</v>
      </c>
      <c r="L225" t="s">
        <v>144</v>
      </c>
    </row>
    <row r="226" spans="1:12" x14ac:dyDescent="0.3">
      <c r="A226" t="s">
        <v>35</v>
      </c>
      <c r="B226" s="49">
        <v>45717</v>
      </c>
      <c r="C226" s="49">
        <v>45747</v>
      </c>
      <c r="D226" t="s">
        <v>655</v>
      </c>
      <c r="E226">
        <v>180000</v>
      </c>
      <c r="F226" t="s">
        <v>30</v>
      </c>
      <c r="G226" t="s">
        <v>13</v>
      </c>
      <c r="H226" t="s">
        <v>656</v>
      </c>
      <c r="I226">
        <v>1373</v>
      </c>
      <c r="J226">
        <v>8.1177520071364848E-2</v>
      </c>
      <c r="K226" t="s">
        <v>32</v>
      </c>
      <c r="L226" t="s">
        <v>144</v>
      </c>
    </row>
    <row r="227" spans="1:12" x14ac:dyDescent="0.3">
      <c r="A227" t="s">
        <v>35</v>
      </c>
      <c r="B227" s="49">
        <v>45717</v>
      </c>
      <c r="C227" s="49">
        <v>45747</v>
      </c>
      <c r="D227" t="s">
        <v>655</v>
      </c>
      <c r="E227">
        <v>180000</v>
      </c>
      <c r="F227" t="s">
        <v>30</v>
      </c>
      <c r="G227" t="s">
        <v>13</v>
      </c>
      <c r="H227" t="s">
        <v>656</v>
      </c>
      <c r="I227">
        <v>1587</v>
      </c>
      <c r="J227">
        <v>8.2075471698113203E-2</v>
      </c>
      <c r="K227" t="s">
        <v>48</v>
      </c>
      <c r="L227" t="s">
        <v>127</v>
      </c>
    </row>
    <row r="228" spans="1:12" x14ac:dyDescent="0.3">
      <c r="A228" t="s">
        <v>35</v>
      </c>
      <c r="B228" s="49">
        <v>45717</v>
      </c>
      <c r="C228" s="49">
        <v>45747</v>
      </c>
      <c r="D228" t="s">
        <v>655</v>
      </c>
      <c r="E228">
        <v>180000</v>
      </c>
      <c r="F228" t="s">
        <v>30</v>
      </c>
      <c r="G228" t="s">
        <v>13</v>
      </c>
      <c r="H228" t="s">
        <v>656</v>
      </c>
      <c r="I228">
        <v>4060</v>
      </c>
      <c r="J228">
        <v>6.5515821264328367E-2</v>
      </c>
      <c r="K228" t="s">
        <v>20</v>
      </c>
      <c r="L228" t="s">
        <v>99</v>
      </c>
    </row>
    <row r="229" spans="1:12" x14ac:dyDescent="0.3">
      <c r="A229" t="s">
        <v>35</v>
      </c>
      <c r="B229" s="49">
        <v>45717</v>
      </c>
      <c r="C229" s="49">
        <v>45747</v>
      </c>
      <c r="D229" t="s">
        <v>655</v>
      </c>
      <c r="E229">
        <v>180000</v>
      </c>
      <c r="F229" t="s">
        <v>30</v>
      </c>
      <c r="G229" t="s">
        <v>13</v>
      </c>
      <c r="H229" t="s">
        <v>656</v>
      </c>
      <c r="I229">
        <v>4060</v>
      </c>
      <c r="J229">
        <v>6.5515821264328367E-2</v>
      </c>
      <c r="K229" t="s">
        <v>20</v>
      </c>
      <c r="L229" t="s">
        <v>99</v>
      </c>
    </row>
    <row r="230" spans="1:12" x14ac:dyDescent="0.3">
      <c r="A230" t="s">
        <v>35</v>
      </c>
      <c r="B230" s="49">
        <v>45717</v>
      </c>
      <c r="C230" s="49">
        <v>45747</v>
      </c>
      <c r="D230" t="s">
        <v>655</v>
      </c>
      <c r="E230">
        <v>180000</v>
      </c>
      <c r="F230" t="s">
        <v>30</v>
      </c>
      <c r="G230" t="s">
        <v>13</v>
      </c>
      <c r="H230" t="s">
        <v>656</v>
      </c>
      <c r="I230">
        <v>2849</v>
      </c>
      <c r="J230">
        <v>0.11238095238095239</v>
      </c>
      <c r="K230" t="s">
        <v>32</v>
      </c>
      <c r="L230" t="s">
        <v>144</v>
      </c>
    </row>
    <row r="231" spans="1:12" x14ac:dyDescent="0.3">
      <c r="A231" t="s">
        <v>35</v>
      </c>
      <c r="B231" s="49">
        <v>45717</v>
      </c>
      <c r="C231" s="49">
        <v>45747</v>
      </c>
      <c r="D231" t="s">
        <v>655</v>
      </c>
      <c r="E231">
        <v>180000</v>
      </c>
      <c r="F231" t="s">
        <v>30</v>
      </c>
      <c r="G231" t="s">
        <v>13</v>
      </c>
      <c r="H231" t="s">
        <v>656</v>
      </c>
      <c r="I231">
        <v>2876</v>
      </c>
      <c r="J231">
        <v>6.2150491965739366E-2</v>
      </c>
      <c r="K231" t="s">
        <v>48</v>
      </c>
      <c r="L231" t="s">
        <v>127</v>
      </c>
    </row>
    <row r="232" spans="1:12" x14ac:dyDescent="0.3">
      <c r="A232" t="s">
        <v>35</v>
      </c>
      <c r="B232" s="49">
        <v>45717</v>
      </c>
      <c r="C232" s="49">
        <v>45747</v>
      </c>
      <c r="D232" t="s">
        <v>655</v>
      </c>
      <c r="E232">
        <v>180000</v>
      </c>
      <c r="F232" t="s">
        <v>30</v>
      </c>
      <c r="G232" t="s">
        <v>13</v>
      </c>
      <c r="H232" t="s">
        <v>656</v>
      </c>
      <c r="I232">
        <v>2876</v>
      </c>
      <c r="J232">
        <v>6.2150491965739366E-2</v>
      </c>
      <c r="K232" t="s">
        <v>48</v>
      </c>
      <c r="L232" t="s">
        <v>127</v>
      </c>
    </row>
    <row r="233" spans="1:12" x14ac:dyDescent="0.3">
      <c r="A233" t="s">
        <v>35</v>
      </c>
      <c r="B233" s="49">
        <v>45717</v>
      </c>
      <c r="C233" s="49">
        <v>45747</v>
      </c>
      <c r="D233" t="s">
        <v>655</v>
      </c>
      <c r="E233">
        <v>180000</v>
      </c>
      <c r="F233" t="s">
        <v>30</v>
      </c>
      <c r="G233" t="s">
        <v>13</v>
      </c>
      <c r="H233" t="s">
        <v>656</v>
      </c>
      <c r="I233">
        <v>2681</v>
      </c>
      <c r="J233">
        <v>0.11792317271769326</v>
      </c>
      <c r="K233" t="s">
        <v>48</v>
      </c>
      <c r="L233" t="s">
        <v>127</v>
      </c>
    </row>
    <row r="234" spans="1:12" x14ac:dyDescent="0.3">
      <c r="A234" t="s">
        <v>35</v>
      </c>
      <c r="B234" s="49">
        <v>45717</v>
      </c>
      <c r="C234" s="49">
        <v>45747</v>
      </c>
      <c r="D234" t="s">
        <v>655</v>
      </c>
      <c r="E234">
        <v>180000</v>
      </c>
      <c r="F234" t="s">
        <v>30</v>
      </c>
      <c r="G234" t="s">
        <v>13</v>
      </c>
      <c r="H234" t="s">
        <v>656</v>
      </c>
      <c r="I234">
        <v>5126</v>
      </c>
      <c r="J234">
        <v>0.14265722032712325</v>
      </c>
      <c r="K234" t="s">
        <v>41</v>
      </c>
      <c r="L234" t="s">
        <v>45</v>
      </c>
    </row>
    <row r="235" spans="1:12" x14ac:dyDescent="0.3">
      <c r="A235" t="s">
        <v>35</v>
      </c>
      <c r="B235" s="49">
        <v>45717</v>
      </c>
      <c r="C235" s="49">
        <v>45747</v>
      </c>
      <c r="D235" t="s">
        <v>655</v>
      </c>
      <c r="E235">
        <v>180000</v>
      </c>
      <c r="F235" t="s">
        <v>30</v>
      </c>
      <c r="G235" t="s">
        <v>13</v>
      </c>
      <c r="H235" t="s">
        <v>656</v>
      </c>
      <c r="I235">
        <v>3441</v>
      </c>
      <c r="J235">
        <v>8.9577656675749323E-2</v>
      </c>
      <c r="K235" t="s">
        <v>15</v>
      </c>
      <c r="L235" t="s">
        <v>26</v>
      </c>
    </row>
    <row r="236" spans="1:12" x14ac:dyDescent="0.3">
      <c r="A236" t="s">
        <v>35</v>
      </c>
      <c r="B236" s="49">
        <v>45717</v>
      </c>
      <c r="C236" s="49">
        <v>45747</v>
      </c>
      <c r="D236" t="s">
        <v>655</v>
      </c>
      <c r="E236">
        <v>180000</v>
      </c>
      <c r="F236" t="s">
        <v>30</v>
      </c>
      <c r="G236" t="s">
        <v>13</v>
      </c>
      <c r="H236" t="s">
        <v>656</v>
      </c>
      <c r="I236">
        <v>5181</v>
      </c>
      <c r="J236">
        <v>9.4235532537716729E-2</v>
      </c>
      <c r="K236" t="s">
        <v>20</v>
      </c>
      <c r="L236" t="s">
        <v>52</v>
      </c>
    </row>
    <row r="237" spans="1:12" x14ac:dyDescent="0.3">
      <c r="A237" t="s">
        <v>35</v>
      </c>
      <c r="B237" s="49">
        <v>45717</v>
      </c>
      <c r="C237" s="49">
        <v>45747</v>
      </c>
      <c r="D237" t="s">
        <v>655</v>
      </c>
      <c r="E237">
        <v>180000</v>
      </c>
      <c r="F237" t="s">
        <v>30</v>
      </c>
      <c r="G237" t="s">
        <v>13</v>
      </c>
      <c r="H237" t="s">
        <v>656</v>
      </c>
      <c r="I237">
        <v>2845</v>
      </c>
      <c r="J237">
        <v>6.9438087973557078E-2</v>
      </c>
      <c r="K237" t="s">
        <v>32</v>
      </c>
      <c r="L237" t="s">
        <v>149</v>
      </c>
    </row>
    <row r="238" spans="1:12" x14ac:dyDescent="0.3">
      <c r="A238" t="s">
        <v>35</v>
      </c>
      <c r="B238" s="49">
        <v>45717</v>
      </c>
      <c r="C238" s="49">
        <v>45747</v>
      </c>
      <c r="D238" t="s">
        <v>655</v>
      </c>
      <c r="E238">
        <v>180000</v>
      </c>
      <c r="F238" t="s">
        <v>30</v>
      </c>
      <c r="G238" t="s">
        <v>13</v>
      </c>
      <c r="H238" t="s">
        <v>656</v>
      </c>
      <c r="I238">
        <v>6196</v>
      </c>
      <c r="J238">
        <v>6.5455787978772245E-2</v>
      </c>
      <c r="K238" t="s">
        <v>32</v>
      </c>
      <c r="L238" t="s">
        <v>149</v>
      </c>
    </row>
    <row r="239" spans="1:12" x14ac:dyDescent="0.3">
      <c r="A239" t="s">
        <v>35</v>
      </c>
      <c r="B239" s="49">
        <v>45717</v>
      </c>
      <c r="C239" s="49">
        <v>45747</v>
      </c>
      <c r="D239" t="s">
        <v>655</v>
      </c>
      <c r="E239">
        <v>180000</v>
      </c>
      <c r="F239" t="s">
        <v>30</v>
      </c>
      <c r="G239" t="s">
        <v>13</v>
      </c>
      <c r="H239" t="s">
        <v>656</v>
      </c>
      <c r="I239">
        <v>2150</v>
      </c>
      <c r="J239">
        <v>8.0294585987261149E-2</v>
      </c>
      <c r="K239" t="s">
        <v>20</v>
      </c>
      <c r="L239" t="s">
        <v>52</v>
      </c>
    </row>
    <row r="240" spans="1:12" x14ac:dyDescent="0.3">
      <c r="A240" t="s">
        <v>35</v>
      </c>
      <c r="B240" s="49">
        <v>45717</v>
      </c>
      <c r="C240" s="49">
        <v>45747</v>
      </c>
      <c r="D240" t="s">
        <v>655</v>
      </c>
      <c r="E240">
        <v>180000</v>
      </c>
      <c r="F240" t="s">
        <v>30</v>
      </c>
      <c r="G240" t="s">
        <v>13</v>
      </c>
      <c r="H240" t="s">
        <v>656</v>
      </c>
      <c r="I240">
        <v>1669</v>
      </c>
      <c r="J240">
        <v>0.1569549774407219</v>
      </c>
      <c r="K240" t="s">
        <v>48</v>
      </c>
      <c r="L240" t="s">
        <v>55</v>
      </c>
    </row>
    <row r="241" spans="1:12" x14ac:dyDescent="0.3">
      <c r="A241" t="s">
        <v>35</v>
      </c>
      <c r="B241" s="49">
        <v>45717</v>
      </c>
      <c r="C241" s="49">
        <v>45747</v>
      </c>
      <c r="D241" t="s">
        <v>655</v>
      </c>
      <c r="E241">
        <v>180000</v>
      </c>
      <c r="F241" t="s">
        <v>30</v>
      </c>
      <c r="G241" t="s">
        <v>13</v>
      </c>
      <c r="H241" t="s">
        <v>656</v>
      </c>
      <c r="I241">
        <v>5763</v>
      </c>
      <c r="J241">
        <v>6.3713620488940623E-2</v>
      </c>
      <c r="K241" t="s">
        <v>41</v>
      </c>
      <c r="L241" t="s">
        <v>64</v>
      </c>
    </row>
    <row r="242" spans="1:12" x14ac:dyDescent="0.3">
      <c r="A242" t="s">
        <v>35</v>
      </c>
      <c r="B242" s="49">
        <v>45717</v>
      </c>
      <c r="C242" s="49">
        <v>45747</v>
      </c>
      <c r="D242" t="s">
        <v>655</v>
      </c>
      <c r="E242">
        <v>180000</v>
      </c>
      <c r="F242" t="s">
        <v>30</v>
      </c>
      <c r="G242" t="s">
        <v>13</v>
      </c>
      <c r="H242" t="s">
        <v>656</v>
      </c>
      <c r="I242">
        <v>1475</v>
      </c>
      <c r="J242">
        <v>9.1897770527460579E-2</v>
      </c>
      <c r="K242" t="s">
        <v>48</v>
      </c>
      <c r="L242" t="s">
        <v>55</v>
      </c>
    </row>
    <row r="243" spans="1:12" x14ac:dyDescent="0.3">
      <c r="A243" t="s">
        <v>35</v>
      </c>
      <c r="B243" s="49">
        <v>45717</v>
      </c>
      <c r="C243" s="49">
        <v>45747</v>
      </c>
      <c r="D243" t="s">
        <v>655</v>
      </c>
      <c r="E243">
        <v>180000</v>
      </c>
      <c r="F243" t="s">
        <v>30</v>
      </c>
      <c r="G243" t="s">
        <v>13</v>
      </c>
      <c r="H243" t="s">
        <v>656</v>
      </c>
      <c r="I243">
        <v>5126</v>
      </c>
      <c r="J243">
        <v>6.4265122330790625E-2</v>
      </c>
      <c r="K243" t="s">
        <v>32</v>
      </c>
      <c r="L243" t="s">
        <v>67</v>
      </c>
    </row>
    <row r="244" spans="1:12" x14ac:dyDescent="0.3">
      <c r="A244" t="s">
        <v>35</v>
      </c>
      <c r="B244" s="49">
        <v>45717</v>
      </c>
      <c r="C244" s="49">
        <v>45747</v>
      </c>
      <c r="D244" t="s">
        <v>655</v>
      </c>
      <c r="E244">
        <v>180000</v>
      </c>
      <c r="F244" t="s">
        <v>30</v>
      </c>
      <c r="G244" t="s">
        <v>13</v>
      </c>
      <c r="H244" t="s">
        <v>656</v>
      </c>
      <c r="I244">
        <v>6158</v>
      </c>
      <c r="J244">
        <v>0.11508145034156594</v>
      </c>
      <c r="K244" t="s">
        <v>20</v>
      </c>
      <c r="L244" t="s">
        <v>21</v>
      </c>
    </row>
    <row r="245" spans="1:12" x14ac:dyDescent="0.3">
      <c r="A245" t="s">
        <v>35</v>
      </c>
      <c r="B245" s="49">
        <v>45717</v>
      </c>
      <c r="C245" s="49">
        <v>45747</v>
      </c>
      <c r="D245" t="s">
        <v>655</v>
      </c>
      <c r="E245">
        <v>180000</v>
      </c>
      <c r="F245" t="s">
        <v>30</v>
      </c>
      <c r="G245" t="s">
        <v>13</v>
      </c>
      <c r="H245" t="s">
        <v>656</v>
      </c>
      <c r="I245">
        <v>6230</v>
      </c>
      <c r="J245">
        <v>0.15355188488042157</v>
      </c>
      <c r="K245" t="s">
        <v>20</v>
      </c>
      <c r="L245" t="s">
        <v>99</v>
      </c>
    </row>
    <row r="246" spans="1:12" x14ac:dyDescent="0.3">
      <c r="A246" t="s">
        <v>35</v>
      </c>
      <c r="B246" s="49">
        <v>45717</v>
      </c>
      <c r="C246" s="49">
        <v>45747</v>
      </c>
      <c r="D246" t="s">
        <v>655</v>
      </c>
      <c r="E246">
        <v>180000</v>
      </c>
      <c r="F246" t="s">
        <v>30</v>
      </c>
      <c r="G246" t="s">
        <v>13</v>
      </c>
      <c r="H246" t="s">
        <v>656</v>
      </c>
      <c r="I246">
        <v>6230</v>
      </c>
      <c r="J246">
        <v>0.15355188488042157</v>
      </c>
      <c r="K246" t="s">
        <v>20</v>
      </c>
      <c r="L246" t="s">
        <v>99</v>
      </c>
    </row>
    <row r="247" spans="1:12" x14ac:dyDescent="0.3">
      <c r="A247" t="s">
        <v>35</v>
      </c>
      <c r="B247" s="49">
        <v>45717</v>
      </c>
      <c r="C247" s="49">
        <v>45747</v>
      </c>
      <c r="D247" t="s">
        <v>655</v>
      </c>
      <c r="E247">
        <v>180000</v>
      </c>
      <c r="F247" t="s">
        <v>30</v>
      </c>
      <c r="G247" t="s">
        <v>13</v>
      </c>
      <c r="H247" t="s">
        <v>656</v>
      </c>
      <c r="I247">
        <v>3289</v>
      </c>
      <c r="J247">
        <v>8.6737756939878216E-2</v>
      </c>
      <c r="K247" t="s">
        <v>48</v>
      </c>
      <c r="L247" t="s">
        <v>55</v>
      </c>
    </row>
    <row r="248" spans="1:12" x14ac:dyDescent="0.3">
      <c r="A248" t="s">
        <v>35</v>
      </c>
      <c r="B248" s="49">
        <v>45717</v>
      </c>
      <c r="C248" s="49">
        <v>45747</v>
      </c>
      <c r="D248" t="s">
        <v>655</v>
      </c>
      <c r="E248">
        <v>180000</v>
      </c>
      <c r="F248" t="s">
        <v>30</v>
      </c>
      <c r="G248" t="s">
        <v>13</v>
      </c>
      <c r="H248" t="s">
        <v>656</v>
      </c>
      <c r="I248">
        <v>804</v>
      </c>
      <c r="J248">
        <v>0.13576158940397351</v>
      </c>
      <c r="K248" t="s">
        <v>32</v>
      </c>
      <c r="L248" t="s">
        <v>67</v>
      </c>
    </row>
    <row r="249" spans="1:12" x14ac:dyDescent="0.3">
      <c r="A249" t="s">
        <v>35</v>
      </c>
      <c r="B249" s="49">
        <v>45717</v>
      </c>
      <c r="C249" s="49">
        <v>45747</v>
      </c>
      <c r="D249" t="s">
        <v>655</v>
      </c>
      <c r="E249">
        <v>180000</v>
      </c>
      <c r="F249" t="s">
        <v>30</v>
      </c>
      <c r="G249" t="s">
        <v>13</v>
      </c>
      <c r="H249" t="s">
        <v>656</v>
      </c>
      <c r="I249">
        <v>2154</v>
      </c>
      <c r="J249">
        <v>7.984956452889945E-2</v>
      </c>
      <c r="K249" t="s">
        <v>48</v>
      </c>
      <c r="L249" t="s">
        <v>55</v>
      </c>
    </row>
    <row r="250" spans="1:12" x14ac:dyDescent="0.3">
      <c r="A250" t="s">
        <v>35</v>
      </c>
      <c r="B250" s="49">
        <v>45717</v>
      </c>
      <c r="C250" s="49">
        <v>45747</v>
      </c>
      <c r="D250" t="s">
        <v>655</v>
      </c>
      <c r="E250">
        <v>180000</v>
      </c>
      <c r="F250" t="s">
        <v>30</v>
      </c>
      <c r="G250" t="s">
        <v>13</v>
      </c>
      <c r="H250" t="s">
        <v>656</v>
      </c>
      <c r="I250">
        <v>2700</v>
      </c>
      <c r="J250">
        <v>7.172350922350923E-2</v>
      </c>
      <c r="K250" t="s">
        <v>48</v>
      </c>
      <c r="L250" t="s">
        <v>55</v>
      </c>
    </row>
    <row r="251" spans="1:12" x14ac:dyDescent="0.3">
      <c r="A251" t="s">
        <v>35</v>
      </c>
      <c r="B251" s="49">
        <v>45717</v>
      </c>
      <c r="C251" s="49">
        <v>45747</v>
      </c>
      <c r="D251" t="s">
        <v>655</v>
      </c>
      <c r="E251">
        <v>180000</v>
      </c>
      <c r="F251" t="s">
        <v>30</v>
      </c>
      <c r="G251" t="s">
        <v>13</v>
      </c>
      <c r="H251" t="s">
        <v>656</v>
      </c>
      <c r="I251">
        <v>5172</v>
      </c>
      <c r="J251">
        <v>6.461481657304112E-2</v>
      </c>
      <c r="K251" t="s">
        <v>20</v>
      </c>
      <c r="L251" t="s">
        <v>52</v>
      </c>
    </row>
    <row r="252" spans="1:12" x14ac:dyDescent="0.3">
      <c r="A252" t="s">
        <v>35</v>
      </c>
      <c r="B252" s="49">
        <v>45717</v>
      </c>
      <c r="C252" s="49">
        <v>45747</v>
      </c>
      <c r="D252" t="s">
        <v>655</v>
      </c>
      <c r="E252">
        <v>180000</v>
      </c>
      <c r="F252" t="s">
        <v>30</v>
      </c>
      <c r="G252" t="s">
        <v>13</v>
      </c>
      <c r="H252" t="s">
        <v>656</v>
      </c>
      <c r="I252">
        <v>5671</v>
      </c>
      <c r="J252">
        <v>0.19511518179295032</v>
      </c>
      <c r="K252" t="s">
        <v>48</v>
      </c>
      <c r="L252" t="s">
        <v>55</v>
      </c>
    </row>
    <row r="253" spans="1:12" x14ac:dyDescent="0.3">
      <c r="A253" t="s">
        <v>35</v>
      </c>
      <c r="B253" s="49">
        <v>45717</v>
      </c>
      <c r="C253" s="49">
        <v>45747</v>
      </c>
      <c r="D253" t="s">
        <v>655</v>
      </c>
      <c r="E253">
        <v>180000</v>
      </c>
      <c r="F253" t="s">
        <v>30</v>
      </c>
      <c r="G253" t="s">
        <v>13</v>
      </c>
      <c r="H253" t="s">
        <v>656</v>
      </c>
      <c r="I253">
        <v>4956</v>
      </c>
      <c r="J253">
        <v>0.1043848167539267</v>
      </c>
      <c r="K253" t="s">
        <v>70</v>
      </c>
      <c r="L253" t="s">
        <v>140</v>
      </c>
    </row>
    <row r="254" spans="1:12" x14ac:dyDescent="0.3">
      <c r="A254" t="s">
        <v>35</v>
      </c>
      <c r="B254" s="49">
        <v>45717</v>
      </c>
      <c r="C254" s="49">
        <v>45747</v>
      </c>
      <c r="D254" t="s">
        <v>655</v>
      </c>
      <c r="E254">
        <v>180000</v>
      </c>
      <c r="F254" t="s">
        <v>30</v>
      </c>
      <c r="G254" t="s">
        <v>13</v>
      </c>
      <c r="H254" t="s">
        <v>656</v>
      </c>
      <c r="I254">
        <v>4956</v>
      </c>
      <c r="J254">
        <v>0.1043848167539267</v>
      </c>
      <c r="K254" t="s">
        <v>70</v>
      </c>
      <c r="L254" t="s">
        <v>140</v>
      </c>
    </row>
    <row r="255" spans="1:12" x14ac:dyDescent="0.3">
      <c r="A255" t="s">
        <v>35</v>
      </c>
      <c r="B255" s="49">
        <v>45717</v>
      </c>
      <c r="C255" s="49">
        <v>45747</v>
      </c>
      <c r="D255" t="s">
        <v>655</v>
      </c>
      <c r="E255">
        <v>180000</v>
      </c>
      <c r="F255" t="s">
        <v>30</v>
      </c>
      <c r="G255" t="s">
        <v>13</v>
      </c>
      <c r="H255" t="s">
        <v>656</v>
      </c>
      <c r="I255">
        <v>3710</v>
      </c>
      <c r="J255">
        <v>8.2753164556962022E-2</v>
      </c>
      <c r="K255" t="s">
        <v>70</v>
      </c>
      <c r="L255" t="s">
        <v>140</v>
      </c>
    </row>
    <row r="256" spans="1:12" x14ac:dyDescent="0.3">
      <c r="A256" t="s">
        <v>35</v>
      </c>
      <c r="B256" s="49">
        <v>45717</v>
      </c>
      <c r="C256" s="49">
        <v>45747</v>
      </c>
      <c r="D256" t="s">
        <v>655</v>
      </c>
      <c r="E256">
        <v>180000</v>
      </c>
      <c r="F256" t="s">
        <v>30</v>
      </c>
      <c r="G256" t="s">
        <v>13</v>
      </c>
      <c r="H256" t="s">
        <v>656</v>
      </c>
      <c r="I256">
        <v>3710</v>
      </c>
      <c r="J256">
        <v>8.2753164556962022E-2</v>
      </c>
      <c r="K256" t="s">
        <v>70</v>
      </c>
      <c r="L256" t="s">
        <v>140</v>
      </c>
    </row>
    <row r="257" spans="1:12" x14ac:dyDescent="0.3">
      <c r="A257" t="s">
        <v>35</v>
      </c>
      <c r="B257" s="49">
        <v>45717</v>
      </c>
      <c r="C257" s="49">
        <v>45747</v>
      </c>
      <c r="D257" t="s">
        <v>655</v>
      </c>
      <c r="E257">
        <v>180000</v>
      </c>
      <c r="F257" t="s">
        <v>30</v>
      </c>
      <c r="G257" t="s">
        <v>13</v>
      </c>
      <c r="H257" t="s">
        <v>656</v>
      </c>
      <c r="I257">
        <v>2391</v>
      </c>
      <c r="J257">
        <v>0.18632075471698112</v>
      </c>
      <c r="K257" t="s">
        <v>41</v>
      </c>
      <c r="L257" t="s">
        <v>45</v>
      </c>
    </row>
    <row r="258" spans="1:12" x14ac:dyDescent="0.3">
      <c r="A258" t="s">
        <v>35</v>
      </c>
      <c r="B258" s="49">
        <v>45717</v>
      </c>
      <c r="C258" s="49">
        <v>45747</v>
      </c>
      <c r="D258" t="s">
        <v>655</v>
      </c>
      <c r="E258">
        <v>180000</v>
      </c>
      <c r="F258" t="s">
        <v>30</v>
      </c>
      <c r="G258" t="s">
        <v>13</v>
      </c>
      <c r="H258" t="s">
        <v>656</v>
      </c>
      <c r="I258">
        <v>5399</v>
      </c>
      <c r="J258">
        <v>0.10132030477519921</v>
      </c>
      <c r="K258" t="s">
        <v>48</v>
      </c>
      <c r="L258" t="s">
        <v>55</v>
      </c>
    </row>
    <row r="259" spans="1:12" x14ac:dyDescent="0.3">
      <c r="A259" t="s">
        <v>35</v>
      </c>
      <c r="B259" s="49">
        <v>45717</v>
      </c>
      <c r="C259" s="49">
        <v>45747</v>
      </c>
      <c r="D259" t="s">
        <v>655</v>
      </c>
      <c r="E259">
        <v>180000</v>
      </c>
      <c r="F259" t="s">
        <v>30</v>
      </c>
      <c r="G259" t="s">
        <v>13</v>
      </c>
      <c r="H259" t="s">
        <v>656</v>
      </c>
      <c r="I259">
        <v>4015</v>
      </c>
      <c r="J259">
        <v>8.21914819340199E-2</v>
      </c>
      <c r="K259" t="s">
        <v>41</v>
      </c>
      <c r="L259" t="s">
        <v>42</v>
      </c>
    </row>
    <row r="260" spans="1:12" x14ac:dyDescent="0.3">
      <c r="A260" t="s">
        <v>35</v>
      </c>
      <c r="B260" s="49">
        <v>45717</v>
      </c>
      <c r="C260" s="49">
        <v>45747</v>
      </c>
      <c r="D260" t="s">
        <v>655</v>
      </c>
      <c r="E260">
        <v>180000</v>
      </c>
      <c r="F260" t="s">
        <v>30</v>
      </c>
      <c r="G260" t="s">
        <v>13</v>
      </c>
      <c r="H260" t="s">
        <v>656</v>
      </c>
      <c r="I260">
        <v>2102</v>
      </c>
      <c r="J260">
        <v>0.25701459034792368</v>
      </c>
      <c r="K260" t="s">
        <v>15</v>
      </c>
      <c r="L260" t="s">
        <v>16</v>
      </c>
    </row>
    <row r="261" spans="1:12" x14ac:dyDescent="0.3">
      <c r="A261" t="s">
        <v>35</v>
      </c>
      <c r="B261" s="49">
        <v>45717</v>
      </c>
      <c r="C261" s="49">
        <v>45747</v>
      </c>
      <c r="D261" t="s">
        <v>655</v>
      </c>
      <c r="E261">
        <v>180000</v>
      </c>
      <c r="F261" t="s">
        <v>30</v>
      </c>
      <c r="G261" t="s">
        <v>13</v>
      </c>
      <c r="H261" t="s">
        <v>656</v>
      </c>
      <c r="I261">
        <v>1272</v>
      </c>
      <c r="J261">
        <v>0.7168674698795181</v>
      </c>
      <c r="K261" t="s">
        <v>32</v>
      </c>
      <c r="L261" t="s">
        <v>144</v>
      </c>
    </row>
    <row r="262" spans="1:12" x14ac:dyDescent="0.3">
      <c r="A262" t="s">
        <v>35</v>
      </c>
      <c r="B262" s="49">
        <v>45717</v>
      </c>
      <c r="C262" s="49">
        <v>45747</v>
      </c>
      <c r="D262" t="s">
        <v>655</v>
      </c>
      <c r="E262">
        <v>180000</v>
      </c>
      <c r="F262" t="s">
        <v>30</v>
      </c>
      <c r="G262" t="s">
        <v>13</v>
      </c>
      <c r="H262" t="s">
        <v>656</v>
      </c>
      <c r="I262">
        <v>3087</v>
      </c>
      <c r="J262">
        <v>0.18806848582129482</v>
      </c>
      <c r="K262" t="s">
        <v>41</v>
      </c>
      <c r="L262" t="s">
        <v>42</v>
      </c>
    </row>
    <row r="263" spans="1:12" x14ac:dyDescent="0.3">
      <c r="A263" t="s">
        <v>35</v>
      </c>
      <c r="B263" s="49">
        <v>45717</v>
      </c>
      <c r="C263" s="49">
        <v>45747</v>
      </c>
      <c r="D263" t="s">
        <v>655</v>
      </c>
      <c r="E263">
        <v>180000</v>
      </c>
      <c r="F263" t="s">
        <v>30</v>
      </c>
      <c r="G263" t="s">
        <v>13</v>
      </c>
      <c r="H263" t="s">
        <v>656</v>
      </c>
      <c r="I263">
        <v>5530</v>
      </c>
      <c r="J263">
        <v>7.2579365079365077E-2</v>
      </c>
      <c r="K263" t="s">
        <v>20</v>
      </c>
      <c r="L263" t="s">
        <v>21</v>
      </c>
    </row>
    <row r="264" spans="1:12" x14ac:dyDescent="0.3">
      <c r="A264" t="s">
        <v>35</v>
      </c>
      <c r="B264" s="49">
        <v>45717</v>
      </c>
      <c r="C264" s="49">
        <v>45747</v>
      </c>
      <c r="D264" t="s">
        <v>655</v>
      </c>
      <c r="E264">
        <v>180000</v>
      </c>
      <c r="F264" t="s">
        <v>30</v>
      </c>
      <c r="G264" t="s">
        <v>13</v>
      </c>
      <c r="H264" t="s">
        <v>656</v>
      </c>
      <c r="I264">
        <v>3030</v>
      </c>
      <c r="J264">
        <v>7.2969143576826198E-2</v>
      </c>
      <c r="K264" t="s">
        <v>48</v>
      </c>
      <c r="L264" t="s">
        <v>55</v>
      </c>
    </row>
    <row r="265" spans="1:12" x14ac:dyDescent="0.3">
      <c r="A265" t="s">
        <v>35</v>
      </c>
      <c r="B265" s="49">
        <v>45717</v>
      </c>
      <c r="C265" s="49">
        <v>45747</v>
      </c>
      <c r="D265" t="s">
        <v>655</v>
      </c>
      <c r="E265">
        <v>180000</v>
      </c>
      <c r="F265" t="s">
        <v>30</v>
      </c>
      <c r="G265" t="s">
        <v>13</v>
      </c>
      <c r="H265" t="s">
        <v>656</v>
      </c>
      <c r="I265">
        <v>4910</v>
      </c>
      <c r="J265">
        <v>9.7001272669424113E-2</v>
      </c>
      <c r="K265" t="s">
        <v>48</v>
      </c>
      <c r="L265" t="s">
        <v>127</v>
      </c>
    </row>
    <row r="266" spans="1:12" x14ac:dyDescent="0.3">
      <c r="A266" t="s">
        <v>35</v>
      </c>
      <c r="B266" s="49">
        <v>45717</v>
      </c>
      <c r="C266" s="49">
        <v>45747</v>
      </c>
      <c r="D266" t="s">
        <v>655</v>
      </c>
      <c r="E266">
        <v>180000</v>
      </c>
      <c r="F266" t="s">
        <v>30</v>
      </c>
      <c r="G266" t="s">
        <v>13</v>
      </c>
      <c r="H266" t="s">
        <v>656</v>
      </c>
      <c r="I266">
        <v>5489</v>
      </c>
      <c r="J266">
        <v>0.17743908486792079</v>
      </c>
      <c r="K266" t="s">
        <v>32</v>
      </c>
      <c r="L266" t="s">
        <v>67</v>
      </c>
    </row>
    <row r="267" spans="1:12" x14ac:dyDescent="0.3">
      <c r="A267" t="s">
        <v>35</v>
      </c>
      <c r="B267" s="49">
        <v>45717</v>
      </c>
      <c r="C267" s="49">
        <v>45747</v>
      </c>
      <c r="D267" t="s">
        <v>655</v>
      </c>
      <c r="E267">
        <v>180000</v>
      </c>
      <c r="F267" t="s">
        <v>30</v>
      </c>
      <c r="G267" t="s">
        <v>13</v>
      </c>
      <c r="H267" t="s">
        <v>656</v>
      </c>
      <c r="I267">
        <v>2888</v>
      </c>
      <c r="J267">
        <v>0.25279701651571657</v>
      </c>
      <c r="K267" t="s">
        <v>41</v>
      </c>
      <c r="L267" t="s">
        <v>45</v>
      </c>
    </row>
    <row r="268" spans="1:12" x14ac:dyDescent="0.3">
      <c r="A268" t="s">
        <v>35</v>
      </c>
      <c r="B268" s="49">
        <v>45717</v>
      </c>
      <c r="C268" s="49">
        <v>45747</v>
      </c>
      <c r="D268" t="s">
        <v>655</v>
      </c>
      <c r="E268">
        <v>180000</v>
      </c>
      <c r="F268" t="s">
        <v>30</v>
      </c>
      <c r="G268" t="s">
        <v>13</v>
      </c>
      <c r="H268" t="s">
        <v>656</v>
      </c>
      <c r="I268">
        <v>4209</v>
      </c>
      <c r="J268">
        <v>9.7700431949264685E-2</v>
      </c>
      <c r="K268" t="s">
        <v>32</v>
      </c>
      <c r="L268" t="s">
        <v>149</v>
      </c>
    </row>
    <row r="269" spans="1:12" x14ac:dyDescent="0.3">
      <c r="A269" t="s">
        <v>35</v>
      </c>
      <c r="B269" s="49">
        <v>45717</v>
      </c>
      <c r="C269" s="49">
        <v>45747</v>
      </c>
      <c r="D269" t="s">
        <v>655</v>
      </c>
      <c r="E269">
        <v>180000</v>
      </c>
      <c r="F269" t="s">
        <v>30</v>
      </c>
      <c r="G269" t="s">
        <v>13</v>
      </c>
      <c r="H269" t="s">
        <v>656</v>
      </c>
      <c r="I269">
        <v>4225</v>
      </c>
      <c r="J269">
        <v>7.8849599245638849E-2</v>
      </c>
      <c r="K269" t="s">
        <v>41</v>
      </c>
      <c r="L269" t="s">
        <v>45</v>
      </c>
    </row>
    <row r="270" spans="1:12" x14ac:dyDescent="0.3">
      <c r="A270" t="s">
        <v>35</v>
      </c>
      <c r="B270" s="49">
        <v>45717</v>
      </c>
      <c r="C270" s="49">
        <v>45747</v>
      </c>
      <c r="D270" t="s">
        <v>655</v>
      </c>
      <c r="E270">
        <v>180000</v>
      </c>
      <c r="F270" t="s">
        <v>30</v>
      </c>
      <c r="G270" t="s">
        <v>13</v>
      </c>
      <c r="H270" t="s">
        <v>656</v>
      </c>
      <c r="I270">
        <v>5803</v>
      </c>
      <c r="J270">
        <v>0.11114018842096787</v>
      </c>
      <c r="K270" t="s">
        <v>20</v>
      </c>
      <c r="L270" t="s">
        <v>21</v>
      </c>
    </row>
    <row r="271" spans="1:12" x14ac:dyDescent="0.3">
      <c r="A271" t="s">
        <v>35</v>
      </c>
      <c r="B271" s="49">
        <v>45717</v>
      </c>
      <c r="C271" s="49">
        <v>45747</v>
      </c>
      <c r="D271" t="s">
        <v>655</v>
      </c>
      <c r="E271">
        <v>180000</v>
      </c>
      <c r="F271" t="s">
        <v>30</v>
      </c>
      <c r="G271" t="s">
        <v>13</v>
      </c>
      <c r="H271" t="s">
        <v>656</v>
      </c>
      <c r="I271">
        <v>5444</v>
      </c>
      <c r="J271">
        <v>8.3274853801169585E-2</v>
      </c>
      <c r="K271" t="s">
        <v>70</v>
      </c>
      <c r="L271" t="s">
        <v>211</v>
      </c>
    </row>
    <row r="272" spans="1:12" x14ac:dyDescent="0.3">
      <c r="A272" t="s">
        <v>35</v>
      </c>
      <c r="B272" s="49">
        <v>45717</v>
      </c>
      <c r="C272" s="49">
        <v>45747</v>
      </c>
      <c r="D272" t="s">
        <v>655</v>
      </c>
      <c r="E272">
        <v>180000</v>
      </c>
      <c r="F272" t="s">
        <v>30</v>
      </c>
      <c r="G272" t="s">
        <v>13</v>
      </c>
      <c r="H272" t="s">
        <v>656</v>
      </c>
      <c r="I272">
        <v>5444</v>
      </c>
      <c r="J272">
        <v>8.3274853801169585E-2</v>
      </c>
      <c r="K272" t="s">
        <v>70</v>
      </c>
      <c r="L272" t="s">
        <v>211</v>
      </c>
    </row>
    <row r="273" spans="1:12" x14ac:dyDescent="0.3">
      <c r="A273" t="s">
        <v>35</v>
      </c>
      <c r="B273" s="49">
        <v>45717</v>
      </c>
      <c r="C273" s="49">
        <v>45747</v>
      </c>
      <c r="D273" t="s">
        <v>655</v>
      </c>
      <c r="E273">
        <v>180000</v>
      </c>
      <c r="F273" t="s">
        <v>30</v>
      </c>
      <c r="G273" t="s">
        <v>13</v>
      </c>
      <c r="H273" t="s">
        <v>656</v>
      </c>
      <c r="I273">
        <v>5444</v>
      </c>
      <c r="J273">
        <v>8.3274853801169585E-2</v>
      </c>
      <c r="K273" t="s">
        <v>70</v>
      </c>
      <c r="L273" t="s">
        <v>211</v>
      </c>
    </row>
    <row r="274" spans="1:12" x14ac:dyDescent="0.3">
      <c r="A274" t="s">
        <v>35</v>
      </c>
      <c r="B274" s="49">
        <v>45717</v>
      </c>
      <c r="C274" s="49">
        <v>45747</v>
      </c>
      <c r="D274" t="s">
        <v>655</v>
      </c>
      <c r="E274">
        <v>180000</v>
      </c>
      <c r="F274" t="s">
        <v>30</v>
      </c>
      <c r="G274" t="s">
        <v>13</v>
      </c>
      <c r="H274" t="s">
        <v>656</v>
      </c>
      <c r="I274">
        <v>1344</v>
      </c>
      <c r="J274">
        <v>0.11465952405480581</v>
      </c>
      <c r="K274" t="s">
        <v>20</v>
      </c>
      <c r="L274" t="s">
        <v>21</v>
      </c>
    </row>
    <row r="275" spans="1:12" x14ac:dyDescent="0.3">
      <c r="A275" t="s">
        <v>35</v>
      </c>
      <c r="B275" s="49">
        <v>45717</v>
      </c>
      <c r="C275" s="49">
        <v>45747</v>
      </c>
      <c r="D275" t="s">
        <v>655</v>
      </c>
      <c r="E275">
        <v>180000</v>
      </c>
      <c r="F275" t="s">
        <v>30</v>
      </c>
      <c r="G275" t="s">
        <v>13</v>
      </c>
      <c r="H275" t="s">
        <v>656</v>
      </c>
      <c r="I275">
        <v>4745</v>
      </c>
      <c r="J275">
        <v>0.11996283514733209</v>
      </c>
      <c r="K275" t="s">
        <v>32</v>
      </c>
      <c r="L275" t="s">
        <v>67</v>
      </c>
    </row>
    <row r="276" spans="1:12" x14ac:dyDescent="0.3">
      <c r="A276" t="s">
        <v>35</v>
      </c>
      <c r="B276" s="49">
        <v>45717</v>
      </c>
      <c r="C276" s="49">
        <v>45747</v>
      </c>
      <c r="D276" t="s">
        <v>655</v>
      </c>
      <c r="E276">
        <v>180000</v>
      </c>
      <c r="F276" t="s">
        <v>30</v>
      </c>
      <c r="G276" t="s">
        <v>13</v>
      </c>
      <c r="H276" t="s">
        <v>656</v>
      </c>
      <c r="I276">
        <v>5068</v>
      </c>
      <c r="J276">
        <v>7.1956537279290869E-2</v>
      </c>
      <c r="K276" t="s">
        <v>70</v>
      </c>
      <c r="L276" t="s">
        <v>71</v>
      </c>
    </row>
    <row r="277" spans="1:12" x14ac:dyDescent="0.3">
      <c r="A277" t="s">
        <v>35</v>
      </c>
      <c r="B277" s="49">
        <v>45717</v>
      </c>
      <c r="C277" s="49">
        <v>45747</v>
      </c>
      <c r="D277" t="s">
        <v>655</v>
      </c>
      <c r="E277">
        <v>180000</v>
      </c>
      <c r="F277" t="s">
        <v>30</v>
      </c>
      <c r="G277" t="s">
        <v>13</v>
      </c>
      <c r="H277" t="s">
        <v>656</v>
      </c>
      <c r="I277">
        <v>3683</v>
      </c>
      <c r="J277">
        <v>5.9387824897400819E-2</v>
      </c>
      <c r="K277" t="s">
        <v>70</v>
      </c>
      <c r="L277" t="s">
        <v>140</v>
      </c>
    </row>
    <row r="278" spans="1:12" x14ac:dyDescent="0.3">
      <c r="A278" t="s">
        <v>35</v>
      </c>
      <c r="B278" s="49">
        <v>45717</v>
      </c>
      <c r="C278" s="49">
        <v>45747</v>
      </c>
      <c r="D278" t="s">
        <v>655</v>
      </c>
      <c r="E278">
        <v>180000</v>
      </c>
      <c r="F278" t="s">
        <v>30</v>
      </c>
      <c r="G278" t="s">
        <v>13</v>
      </c>
      <c r="H278" t="s">
        <v>656</v>
      </c>
      <c r="I278">
        <v>3683</v>
      </c>
      <c r="J278">
        <v>5.9387824897400819E-2</v>
      </c>
      <c r="K278" t="s">
        <v>70</v>
      </c>
      <c r="L278" t="s">
        <v>140</v>
      </c>
    </row>
    <row r="279" spans="1:12" x14ac:dyDescent="0.3">
      <c r="A279" t="s">
        <v>35</v>
      </c>
      <c r="B279" s="49">
        <v>45717</v>
      </c>
      <c r="C279" s="49">
        <v>45747</v>
      </c>
      <c r="D279" t="s">
        <v>655</v>
      </c>
      <c r="E279">
        <v>180000</v>
      </c>
      <c r="F279" t="s">
        <v>30</v>
      </c>
      <c r="G279" t="s">
        <v>13</v>
      </c>
      <c r="H279" t="s">
        <v>656</v>
      </c>
      <c r="I279">
        <v>2661</v>
      </c>
      <c r="J279">
        <v>0.24349030470914126</v>
      </c>
      <c r="K279" t="s">
        <v>20</v>
      </c>
      <c r="L279" t="s">
        <v>21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64926-F14D-4643-A151-C6E2182AE41A}">
  <sheetPr>
    <tabColor rgb="FF7030A0"/>
  </sheetPr>
  <dimension ref="A1:I201"/>
  <sheetViews>
    <sheetView workbookViewId="0"/>
  </sheetViews>
  <sheetFormatPr defaultRowHeight="14.4" x14ac:dyDescent="0.3"/>
  <cols>
    <col min="1" max="1" width="18" bestFit="1" customWidth="1"/>
    <col min="2" max="2" width="10.5546875" bestFit="1" customWidth="1"/>
    <col min="3" max="3" width="16" bestFit="1" customWidth="1"/>
    <col min="4" max="4" width="11.6640625" bestFit="1" customWidth="1"/>
    <col min="5" max="5" width="16.44140625" bestFit="1" customWidth="1"/>
    <col min="6" max="6" width="18.6640625" bestFit="1" customWidth="1"/>
    <col min="7" max="7" width="11.88671875" bestFit="1" customWidth="1"/>
    <col min="8" max="8" width="17.33203125" bestFit="1" customWidth="1"/>
    <col min="9" max="9" width="13.6640625" bestFit="1" customWidth="1"/>
  </cols>
  <sheetData>
    <row r="1" spans="1:9" x14ac:dyDescent="0.3">
      <c r="A1" t="s">
        <v>589</v>
      </c>
      <c r="B1" t="s">
        <v>1</v>
      </c>
      <c r="C1" t="s">
        <v>590</v>
      </c>
      <c r="D1" t="s">
        <v>591</v>
      </c>
      <c r="E1" t="s">
        <v>592</v>
      </c>
      <c r="F1" t="s">
        <v>593</v>
      </c>
      <c r="G1" t="s">
        <v>594</v>
      </c>
      <c r="H1" t="s">
        <v>613</v>
      </c>
      <c r="I1" t="s">
        <v>614</v>
      </c>
    </row>
    <row r="2" spans="1:9" x14ac:dyDescent="0.3">
      <c r="A2" s="49">
        <v>45446</v>
      </c>
      <c r="B2" t="s">
        <v>30</v>
      </c>
      <c r="C2">
        <v>1135</v>
      </c>
      <c r="D2">
        <v>88</v>
      </c>
      <c r="E2">
        <v>344084</v>
      </c>
      <c r="F2">
        <v>8.06</v>
      </c>
      <c r="G2">
        <v>5904</v>
      </c>
      <c r="H2">
        <v>1047</v>
      </c>
      <c r="I2">
        <v>3.0428616268120576E-3</v>
      </c>
    </row>
    <row r="3" spans="1:9" x14ac:dyDescent="0.3">
      <c r="A3" s="49">
        <v>45446</v>
      </c>
      <c r="B3" t="s">
        <v>39</v>
      </c>
      <c r="C3">
        <v>1312</v>
      </c>
      <c r="D3">
        <v>310</v>
      </c>
      <c r="E3">
        <v>42654</v>
      </c>
      <c r="F3">
        <v>4.9800000000000004</v>
      </c>
      <c r="G3">
        <v>9566</v>
      </c>
      <c r="H3">
        <v>1002</v>
      </c>
      <c r="I3">
        <v>2.3491348994232664E-2</v>
      </c>
    </row>
    <row r="4" spans="1:9" x14ac:dyDescent="0.3">
      <c r="A4" s="49">
        <v>45446</v>
      </c>
      <c r="B4" t="s">
        <v>13</v>
      </c>
      <c r="C4">
        <v>584</v>
      </c>
      <c r="D4">
        <v>169</v>
      </c>
      <c r="E4">
        <v>146834</v>
      </c>
      <c r="F4">
        <v>8.31</v>
      </c>
      <c r="G4">
        <v>26752</v>
      </c>
      <c r="H4">
        <v>415</v>
      </c>
      <c r="I4">
        <v>2.826320879360366E-3</v>
      </c>
    </row>
    <row r="5" spans="1:9" x14ac:dyDescent="0.3">
      <c r="A5" s="49">
        <v>45446</v>
      </c>
      <c r="B5" t="s">
        <v>24</v>
      </c>
      <c r="C5">
        <v>1535</v>
      </c>
      <c r="D5">
        <v>445</v>
      </c>
      <c r="E5">
        <v>395536</v>
      </c>
      <c r="F5">
        <v>4.1100000000000003</v>
      </c>
      <c r="G5">
        <v>30671</v>
      </c>
      <c r="H5">
        <v>1090</v>
      </c>
      <c r="I5">
        <v>2.7557542170624167E-3</v>
      </c>
    </row>
    <row r="6" spans="1:9" x14ac:dyDescent="0.3">
      <c r="A6" s="49">
        <v>45453</v>
      </c>
      <c r="B6" t="s">
        <v>30</v>
      </c>
      <c r="C6">
        <v>656</v>
      </c>
      <c r="D6">
        <v>139</v>
      </c>
      <c r="E6">
        <v>49157</v>
      </c>
      <c r="F6">
        <v>9.0500000000000007</v>
      </c>
      <c r="G6">
        <v>9920</v>
      </c>
      <c r="H6">
        <v>517</v>
      </c>
      <c r="I6">
        <v>1.0517322049758936E-2</v>
      </c>
    </row>
    <row r="7" spans="1:9" x14ac:dyDescent="0.3">
      <c r="A7" s="49">
        <v>45453</v>
      </c>
      <c r="B7" t="s">
        <v>39</v>
      </c>
      <c r="C7">
        <v>1697</v>
      </c>
      <c r="D7">
        <v>414</v>
      </c>
      <c r="E7">
        <v>316555</v>
      </c>
      <c r="F7">
        <v>2.37</v>
      </c>
      <c r="G7">
        <v>7924</v>
      </c>
      <c r="H7">
        <v>1283</v>
      </c>
      <c r="I7">
        <v>4.0530081660374974E-3</v>
      </c>
    </row>
    <row r="8" spans="1:9" x14ac:dyDescent="0.3">
      <c r="A8" s="49">
        <v>45453</v>
      </c>
      <c r="B8" t="s">
        <v>13</v>
      </c>
      <c r="C8">
        <v>436</v>
      </c>
      <c r="D8">
        <v>250</v>
      </c>
      <c r="E8">
        <v>254347</v>
      </c>
      <c r="F8">
        <v>4.01</v>
      </c>
      <c r="G8">
        <v>8912</v>
      </c>
      <c r="H8">
        <v>186</v>
      </c>
      <c r="I8">
        <v>7.3128442639386348E-4</v>
      </c>
    </row>
    <row r="9" spans="1:9" x14ac:dyDescent="0.3">
      <c r="A9" s="49">
        <v>45453</v>
      </c>
      <c r="B9" t="s">
        <v>24</v>
      </c>
      <c r="C9">
        <v>1197</v>
      </c>
      <c r="D9">
        <v>203</v>
      </c>
      <c r="E9">
        <v>413878</v>
      </c>
      <c r="F9">
        <v>3.16</v>
      </c>
      <c r="G9">
        <v>21205</v>
      </c>
      <c r="H9">
        <v>994</v>
      </c>
      <c r="I9">
        <v>2.4016739232334168E-3</v>
      </c>
    </row>
    <row r="10" spans="1:9" x14ac:dyDescent="0.3">
      <c r="A10" s="49">
        <v>45460</v>
      </c>
      <c r="B10" t="s">
        <v>30</v>
      </c>
      <c r="C10">
        <v>1048</v>
      </c>
      <c r="D10">
        <v>155</v>
      </c>
      <c r="E10">
        <v>456946</v>
      </c>
      <c r="F10">
        <v>2.46</v>
      </c>
      <c r="G10">
        <v>11329</v>
      </c>
      <c r="H10">
        <v>893</v>
      </c>
      <c r="I10">
        <v>1.9542790614208243E-3</v>
      </c>
    </row>
    <row r="11" spans="1:9" x14ac:dyDescent="0.3">
      <c r="A11" s="49">
        <v>45460</v>
      </c>
      <c r="B11" t="s">
        <v>39</v>
      </c>
      <c r="C11">
        <v>1753</v>
      </c>
      <c r="D11">
        <v>371</v>
      </c>
      <c r="E11">
        <v>169496</v>
      </c>
      <c r="F11">
        <v>8.11</v>
      </c>
      <c r="G11">
        <v>46670</v>
      </c>
      <c r="H11">
        <v>1382</v>
      </c>
      <c r="I11">
        <v>8.1535847453627231E-3</v>
      </c>
    </row>
    <row r="12" spans="1:9" x14ac:dyDescent="0.3">
      <c r="A12" s="49">
        <v>45460</v>
      </c>
      <c r="B12" t="s">
        <v>13</v>
      </c>
      <c r="C12">
        <v>1335</v>
      </c>
      <c r="D12">
        <v>40</v>
      </c>
      <c r="E12">
        <v>122732</v>
      </c>
      <c r="F12">
        <v>8.19</v>
      </c>
      <c r="G12">
        <v>22482</v>
      </c>
      <c r="H12">
        <v>1295</v>
      </c>
      <c r="I12">
        <v>1.0551445425805821E-2</v>
      </c>
    </row>
    <row r="13" spans="1:9" x14ac:dyDescent="0.3">
      <c r="A13" s="49">
        <v>45460</v>
      </c>
      <c r="B13" t="s">
        <v>24</v>
      </c>
      <c r="C13">
        <v>403</v>
      </c>
      <c r="D13">
        <v>66</v>
      </c>
      <c r="E13">
        <v>382851</v>
      </c>
      <c r="F13">
        <v>3.49</v>
      </c>
      <c r="G13">
        <v>24313</v>
      </c>
      <c r="H13">
        <v>337</v>
      </c>
      <c r="I13">
        <v>8.80238003818718E-4</v>
      </c>
    </row>
    <row r="14" spans="1:9" x14ac:dyDescent="0.3">
      <c r="A14" s="49">
        <v>45467</v>
      </c>
      <c r="B14" t="s">
        <v>30</v>
      </c>
      <c r="C14">
        <v>911</v>
      </c>
      <c r="D14">
        <v>282</v>
      </c>
      <c r="E14">
        <v>35664</v>
      </c>
      <c r="F14">
        <v>6.92</v>
      </c>
      <c r="G14">
        <v>18050</v>
      </c>
      <c r="H14">
        <v>629</v>
      </c>
      <c r="I14">
        <v>1.7636832660385824E-2</v>
      </c>
    </row>
    <row r="15" spans="1:9" x14ac:dyDescent="0.3">
      <c r="A15" s="49">
        <v>45467</v>
      </c>
      <c r="B15" t="s">
        <v>39</v>
      </c>
      <c r="C15">
        <v>1779</v>
      </c>
      <c r="D15">
        <v>109</v>
      </c>
      <c r="E15">
        <v>26295</v>
      </c>
      <c r="F15">
        <v>9.1199999999999992</v>
      </c>
      <c r="G15">
        <v>30635</v>
      </c>
      <c r="H15">
        <v>1670</v>
      </c>
      <c r="I15">
        <v>6.3510173036698994E-2</v>
      </c>
    </row>
    <row r="16" spans="1:9" x14ac:dyDescent="0.3">
      <c r="A16" s="49">
        <v>45467</v>
      </c>
      <c r="B16" t="s">
        <v>13</v>
      </c>
      <c r="C16">
        <v>1238</v>
      </c>
      <c r="D16">
        <v>403</v>
      </c>
      <c r="E16">
        <v>298421</v>
      </c>
      <c r="F16">
        <v>3.5</v>
      </c>
      <c r="G16">
        <v>31280</v>
      </c>
      <c r="H16">
        <v>835</v>
      </c>
      <c r="I16">
        <v>2.798060458211721E-3</v>
      </c>
    </row>
    <row r="17" spans="1:9" x14ac:dyDescent="0.3">
      <c r="A17" s="49">
        <v>45467</v>
      </c>
      <c r="B17" t="s">
        <v>24</v>
      </c>
      <c r="C17">
        <v>308</v>
      </c>
      <c r="D17">
        <v>431</v>
      </c>
      <c r="E17">
        <v>426184</v>
      </c>
      <c r="F17">
        <v>2.62</v>
      </c>
      <c r="G17">
        <v>1783</v>
      </c>
      <c r="H17">
        <v>-123</v>
      </c>
      <c r="I17">
        <v>-2.8860773750305035E-4</v>
      </c>
    </row>
    <row r="18" spans="1:9" x14ac:dyDescent="0.3">
      <c r="A18" s="49">
        <v>45474</v>
      </c>
      <c r="B18" t="s">
        <v>30</v>
      </c>
      <c r="C18">
        <v>226</v>
      </c>
      <c r="D18">
        <v>445</v>
      </c>
      <c r="E18">
        <v>419447</v>
      </c>
      <c r="F18">
        <v>9.36</v>
      </c>
      <c r="G18">
        <v>9566</v>
      </c>
      <c r="H18">
        <v>-219</v>
      </c>
      <c r="I18">
        <v>-5.2211602419375983E-4</v>
      </c>
    </row>
    <row r="19" spans="1:9" x14ac:dyDescent="0.3">
      <c r="A19" s="49">
        <v>45474</v>
      </c>
      <c r="B19" t="s">
        <v>39</v>
      </c>
      <c r="C19">
        <v>505</v>
      </c>
      <c r="D19">
        <v>441</v>
      </c>
      <c r="E19">
        <v>220020</v>
      </c>
      <c r="F19">
        <v>4.4800000000000004</v>
      </c>
      <c r="G19">
        <v>42307</v>
      </c>
      <c r="H19">
        <v>64</v>
      </c>
      <c r="I19">
        <v>2.9088264703208797E-4</v>
      </c>
    </row>
    <row r="20" spans="1:9" x14ac:dyDescent="0.3">
      <c r="A20" s="49">
        <v>45474</v>
      </c>
      <c r="B20" t="s">
        <v>13</v>
      </c>
      <c r="C20">
        <v>1420</v>
      </c>
      <c r="D20">
        <v>63</v>
      </c>
      <c r="E20">
        <v>315305</v>
      </c>
      <c r="F20">
        <v>6.19</v>
      </c>
      <c r="G20">
        <v>5914</v>
      </c>
      <c r="H20">
        <v>1357</v>
      </c>
      <c r="I20">
        <v>4.3037693661692649E-3</v>
      </c>
    </row>
    <row r="21" spans="1:9" x14ac:dyDescent="0.3">
      <c r="A21" s="49">
        <v>45474</v>
      </c>
      <c r="B21" t="s">
        <v>24</v>
      </c>
      <c r="C21">
        <v>144</v>
      </c>
      <c r="D21">
        <v>53</v>
      </c>
      <c r="E21">
        <v>113678</v>
      </c>
      <c r="F21">
        <v>8.7200000000000006</v>
      </c>
      <c r="G21">
        <v>30060</v>
      </c>
      <c r="H21">
        <v>91</v>
      </c>
      <c r="I21">
        <v>8.0050669434719116E-4</v>
      </c>
    </row>
    <row r="22" spans="1:9" x14ac:dyDescent="0.3">
      <c r="A22" s="49">
        <v>45481</v>
      </c>
      <c r="B22" t="s">
        <v>30</v>
      </c>
      <c r="C22">
        <v>1757</v>
      </c>
      <c r="D22">
        <v>85</v>
      </c>
      <c r="E22">
        <v>58223</v>
      </c>
      <c r="F22">
        <v>8.74</v>
      </c>
      <c r="G22">
        <v>22728</v>
      </c>
      <c r="H22">
        <v>1672</v>
      </c>
      <c r="I22">
        <v>2.8717173625543171E-2</v>
      </c>
    </row>
    <row r="23" spans="1:9" x14ac:dyDescent="0.3">
      <c r="A23" s="49">
        <v>45481</v>
      </c>
      <c r="B23" t="s">
        <v>39</v>
      </c>
      <c r="C23">
        <v>350</v>
      </c>
      <c r="D23">
        <v>41</v>
      </c>
      <c r="E23">
        <v>251694</v>
      </c>
      <c r="F23">
        <v>1.91</v>
      </c>
      <c r="G23">
        <v>38610</v>
      </c>
      <c r="H23">
        <v>309</v>
      </c>
      <c r="I23">
        <v>1.2276812319721568E-3</v>
      </c>
    </row>
    <row r="24" spans="1:9" x14ac:dyDescent="0.3">
      <c r="A24" s="49">
        <v>45481</v>
      </c>
      <c r="B24" t="s">
        <v>13</v>
      </c>
      <c r="C24">
        <v>987</v>
      </c>
      <c r="D24">
        <v>440</v>
      </c>
      <c r="E24">
        <v>389810</v>
      </c>
      <c r="F24">
        <v>4.66</v>
      </c>
      <c r="G24">
        <v>2932</v>
      </c>
      <c r="H24">
        <v>547</v>
      </c>
      <c r="I24">
        <v>1.40324773607655E-3</v>
      </c>
    </row>
    <row r="25" spans="1:9" x14ac:dyDescent="0.3">
      <c r="A25" s="49">
        <v>45481</v>
      </c>
      <c r="B25" t="s">
        <v>24</v>
      </c>
      <c r="C25">
        <v>883</v>
      </c>
      <c r="D25">
        <v>369</v>
      </c>
      <c r="E25">
        <v>233694</v>
      </c>
      <c r="F25">
        <v>2.88</v>
      </c>
      <c r="G25">
        <v>15071</v>
      </c>
      <c r="H25">
        <v>514</v>
      </c>
      <c r="I25">
        <v>2.1994574101175039E-3</v>
      </c>
    </row>
    <row r="26" spans="1:9" x14ac:dyDescent="0.3">
      <c r="A26" s="49">
        <v>45488</v>
      </c>
      <c r="B26" t="s">
        <v>30</v>
      </c>
      <c r="C26">
        <v>1960</v>
      </c>
      <c r="D26">
        <v>115</v>
      </c>
      <c r="E26">
        <v>154169</v>
      </c>
      <c r="F26">
        <v>3.74</v>
      </c>
      <c r="G26">
        <v>10740</v>
      </c>
      <c r="H26">
        <v>1845</v>
      </c>
      <c r="I26">
        <v>1.1967386439556591E-2</v>
      </c>
    </row>
    <row r="27" spans="1:9" x14ac:dyDescent="0.3">
      <c r="A27" s="49">
        <v>45488</v>
      </c>
      <c r="B27" t="s">
        <v>39</v>
      </c>
      <c r="C27">
        <v>170</v>
      </c>
      <c r="D27">
        <v>334</v>
      </c>
      <c r="E27">
        <v>334626</v>
      </c>
      <c r="F27">
        <v>6.44</v>
      </c>
      <c r="G27">
        <v>43420</v>
      </c>
      <c r="H27">
        <v>-164</v>
      </c>
      <c r="I27">
        <v>-4.9009939454794306E-4</v>
      </c>
    </row>
    <row r="28" spans="1:9" x14ac:dyDescent="0.3">
      <c r="A28" s="49">
        <v>45488</v>
      </c>
      <c r="B28" t="s">
        <v>13</v>
      </c>
      <c r="C28">
        <v>704</v>
      </c>
      <c r="D28">
        <v>275</v>
      </c>
      <c r="E28">
        <v>226002</v>
      </c>
      <c r="F28">
        <v>8.56</v>
      </c>
      <c r="G28">
        <v>32393</v>
      </c>
      <c r="H28">
        <v>429</v>
      </c>
      <c r="I28">
        <v>1.8982132901478749E-3</v>
      </c>
    </row>
    <row r="29" spans="1:9" x14ac:dyDescent="0.3">
      <c r="A29" s="49">
        <v>45488</v>
      </c>
      <c r="B29" t="s">
        <v>24</v>
      </c>
      <c r="C29">
        <v>224</v>
      </c>
      <c r="D29">
        <v>64</v>
      </c>
      <c r="E29">
        <v>156683</v>
      </c>
      <c r="F29">
        <v>4.5599999999999996</v>
      </c>
      <c r="G29">
        <v>28474</v>
      </c>
      <c r="H29">
        <v>160</v>
      </c>
      <c r="I29">
        <v>1.0211701333265254E-3</v>
      </c>
    </row>
    <row r="30" spans="1:9" x14ac:dyDescent="0.3">
      <c r="A30" s="49">
        <v>45495</v>
      </c>
      <c r="B30" t="s">
        <v>30</v>
      </c>
      <c r="C30">
        <v>508</v>
      </c>
      <c r="D30">
        <v>349</v>
      </c>
      <c r="E30">
        <v>473812</v>
      </c>
      <c r="F30">
        <v>7.88</v>
      </c>
      <c r="G30">
        <v>17328</v>
      </c>
      <c r="H30">
        <v>159</v>
      </c>
      <c r="I30">
        <v>3.3557613568250698E-4</v>
      </c>
    </row>
    <row r="31" spans="1:9" x14ac:dyDescent="0.3">
      <c r="A31" s="49">
        <v>45495</v>
      </c>
      <c r="B31" t="s">
        <v>39</v>
      </c>
      <c r="C31">
        <v>1391</v>
      </c>
      <c r="D31">
        <v>430</v>
      </c>
      <c r="E31">
        <v>295032</v>
      </c>
      <c r="F31">
        <v>7.86</v>
      </c>
      <c r="G31">
        <v>26067</v>
      </c>
      <c r="H31">
        <v>961</v>
      </c>
      <c r="I31">
        <v>3.2572737872501967E-3</v>
      </c>
    </row>
    <row r="32" spans="1:9" x14ac:dyDescent="0.3">
      <c r="A32" s="49">
        <v>45495</v>
      </c>
      <c r="B32" t="s">
        <v>13</v>
      </c>
      <c r="C32">
        <v>1701</v>
      </c>
      <c r="D32">
        <v>385</v>
      </c>
      <c r="E32">
        <v>198278</v>
      </c>
      <c r="F32">
        <v>5.34</v>
      </c>
      <c r="G32">
        <v>32763</v>
      </c>
      <c r="H32">
        <v>1316</v>
      </c>
      <c r="I32">
        <v>6.6371458255580548E-3</v>
      </c>
    </row>
    <row r="33" spans="1:9" x14ac:dyDescent="0.3">
      <c r="A33" s="49">
        <v>45495</v>
      </c>
      <c r="B33" t="s">
        <v>24</v>
      </c>
      <c r="C33">
        <v>804</v>
      </c>
      <c r="D33">
        <v>487</v>
      </c>
      <c r="E33">
        <v>306564</v>
      </c>
      <c r="F33">
        <v>5.52</v>
      </c>
      <c r="G33">
        <v>26452</v>
      </c>
      <c r="H33">
        <v>317</v>
      </c>
      <c r="I33">
        <v>1.0340418313957282E-3</v>
      </c>
    </row>
    <row r="34" spans="1:9" x14ac:dyDescent="0.3">
      <c r="A34" s="49">
        <v>45502</v>
      </c>
      <c r="B34" t="s">
        <v>30</v>
      </c>
      <c r="C34">
        <v>653</v>
      </c>
      <c r="D34">
        <v>112</v>
      </c>
      <c r="E34">
        <v>23664</v>
      </c>
      <c r="F34">
        <v>4.05</v>
      </c>
      <c r="G34">
        <v>15353</v>
      </c>
      <c r="H34">
        <v>541</v>
      </c>
      <c r="I34">
        <v>2.2861730899256253E-2</v>
      </c>
    </row>
    <row r="35" spans="1:9" x14ac:dyDescent="0.3">
      <c r="A35" s="49">
        <v>45502</v>
      </c>
      <c r="B35" t="s">
        <v>39</v>
      </c>
      <c r="C35">
        <v>160</v>
      </c>
      <c r="D35">
        <v>478</v>
      </c>
      <c r="E35">
        <v>435034</v>
      </c>
      <c r="F35">
        <v>7.73</v>
      </c>
      <c r="G35">
        <v>4839</v>
      </c>
      <c r="H35">
        <v>-318</v>
      </c>
      <c r="I35">
        <v>-7.3097734889686784E-4</v>
      </c>
    </row>
    <row r="36" spans="1:9" x14ac:dyDescent="0.3">
      <c r="A36" s="49">
        <v>45502</v>
      </c>
      <c r="B36" t="s">
        <v>13</v>
      </c>
      <c r="C36">
        <v>1756</v>
      </c>
      <c r="D36">
        <v>261</v>
      </c>
      <c r="E36">
        <v>287574</v>
      </c>
      <c r="F36">
        <v>4.3600000000000003</v>
      </c>
      <c r="G36">
        <v>39272</v>
      </c>
      <c r="H36">
        <v>1495</v>
      </c>
      <c r="I36">
        <v>5.1986619096302169E-3</v>
      </c>
    </row>
    <row r="37" spans="1:9" x14ac:dyDescent="0.3">
      <c r="A37" s="49">
        <v>45502</v>
      </c>
      <c r="B37" t="s">
        <v>24</v>
      </c>
      <c r="C37">
        <v>576</v>
      </c>
      <c r="D37">
        <v>101</v>
      </c>
      <c r="E37">
        <v>62499</v>
      </c>
      <c r="F37">
        <v>3.48</v>
      </c>
      <c r="G37">
        <v>16804</v>
      </c>
      <c r="H37">
        <v>475</v>
      </c>
      <c r="I37">
        <v>7.600121601945631E-3</v>
      </c>
    </row>
    <row r="38" spans="1:9" x14ac:dyDescent="0.3">
      <c r="A38" s="49">
        <v>45509</v>
      </c>
      <c r="B38" t="s">
        <v>30</v>
      </c>
      <c r="C38">
        <v>645</v>
      </c>
      <c r="D38">
        <v>293</v>
      </c>
      <c r="E38">
        <v>437968</v>
      </c>
      <c r="F38">
        <v>7.83</v>
      </c>
      <c r="G38">
        <v>49303</v>
      </c>
      <c r="H38">
        <v>352</v>
      </c>
      <c r="I38">
        <v>8.0371168669857163E-4</v>
      </c>
    </row>
    <row r="39" spans="1:9" x14ac:dyDescent="0.3">
      <c r="A39" s="49">
        <v>45509</v>
      </c>
      <c r="B39" t="s">
        <v>39</v>
      </c>
      <c r="C39">
        <v>214</v>
      </c>
      <c r="D39">
        <v>411</v>
      </c>
      <c r="E39">
        <v>125034</v>
      </c>
      <c r="F39">
        <v>6.11</v>
      </c>
      <c r="G39">
        <v>26455</v>
      </c>
      <c r="H39">
        <v>-197</v>
      </c>
      <c r="I39">
        <v>-1.5755714445670778E-3</v>
      </c>
    </row>
    <row r="40" spans="1:9" x14ac:dyDescent="0.3">
      <c r="A40" s="49">
        <v>45509</v>
      </c>
      <c r="B40" t="s">
        <v>13</v>
      </c>
      <c r="C40">
        <v>826</v>
      </c>
      <c r="D40">
        <v>498</v>
      </c>
      <c r="E40">
        <v>449994</v>
      </c>
      <c r="F40">
        <v>9.43</v>
      </c>
      <c r="G40">
        <v>12384</v>
      </c>
      <c r="H40">
        <v>328</v>
      </c>
      <c r="I40">
        <v>7.2889860753698943E-4</v>
      </c>
    </row>
    <row r="41" spans="1:9" x14ac:dyDescent="0.3">
      <c r="A41" s="49">
        <v>45509</v>
      </c>
      <c r="B41" t="s">
        <v>24</v>
      </c>
      <c r="C41">
        <v>460</v>
      </c>
      <c r="D41">
        <v>141</v>
      </c>
      <c r="E41">
        <v>320650</v>
      </c>
      <c r="F41">
        <v>4.04</v>
      </c>
      <c r="G41">
        <v>49372</v>
      </c>
      <c r="H41">
        <v>319</v>
      </c>
      <c r="I41">
        <v>9.9485420240137223E-4</v>
      </c>
    </row>
    <row r="42" spans="1:9" x14ac:dyDescent="0.3">
      <c r="A42" s="49">
        <v>45516</v>
      </c>
      <c r="B42" t="s">
        <v>30</v>
      </c>
      <c r="C42">
        <v>1528</v>
      </c>
      <c r="D42">
        <v>203</v>
      </c>
      <c r="E42">
        <v>489188</v>
      </c>
      <c r="F42">
        <v>6.23</v>
      </c>
      <c r="G42">
        <v>47101</v>
      </c>
      <c r="H42">
        <v>1325</v>
      </c>
      <c r="I42">
        <v>2.7085701202809553E-3</v>
      </c>
    </row>
    <row r="43" spans="1:9" x14ac:dyDescent="0.3">
      <c r="A43" s="49">
        <v>45516</v>
      </c>
      <c r="B43" t="s">
        <v>39</v>
      </c>
      <c r="C43">
        <v>1534</v>
      </c>
      <c r="D43">
        <v>200</v>
      </c>
      <c r="E43">
        <v>307612</v>
      </c>
      <c r="F43">
        <v>6.01</v>
      </c>
      <c r="G43">
        <v>37903</v>
      </c>
      <c r="H43">
        <v>1334</v>
      </c>
      <c r="I43">
        <v>4.3366318609156986E-3</v>
      </c>
    </row>
    <row r="44" spans="1:9" x14ac:dyDescent="0.3">
      <c r="A44" s="49">
        <v>45516</v>
      </c>
      <c r="B44" t="s">
        <v>13</v>
      </c>
      <c r="C44">
        <v>485</v>
      </c>
      <c r="D44">
        <v>448</v>
      </c>
      <c r="E44">
        <v>434883</v>
      </c>
      <c r="F44">
        <v>8.5500000000000007</v>
      </c>
      <c r="G44">
        <v>33258</v>
      </c>
      <c r="H44">
        <v>37</v>
      </c>
      <c r="I44">
        <v>8.5080354946042954E-5</v>
      </c>
    </row>
    <row r="45" spans="1:9" x14ac:dyDescent="0.3">
      <c r="A45" s="49">
        <v>45516</v>
      </c>
      <c r="B45" t="s">
        <v>24</v>
      </c>
      <c r="C45">
        <v>1210</v>
      </c>
      <c r="D45">
        <v>178</v>
      </c>
      <c r="E45">
        <v>102042</v>
      </c>
      <c r="F45">
        <v>5.42</v>
      </c>
      <c r="G45">
        <v>6915</v>
      </c>
      <c r="H45">
        <v>1032</v>
      </c>
      <c r="I45">
        <v>1.011348268360087E-2</v>
      </c>
    </row>
    <row r="46" spans="1:9" x14ac:dyDescent="0.3">
      <c r="A46" s="49">
        <v>45523</v>
      </c>
      <c r="B46" t="s">
        <v>30</v>
      </c>
      <c r="C46">
        <v>215</v>
      </c>
      <c r="D46">
        <v>139</v>
      </c>
      <c r="E46">
        <v>325444</v>
      </c>
      <c r="F46">
        <v>3.25</v>
      </c>
      <c r="G46">
        <v>35501</v>
      </c>
      <c r="H46">
        <v>76</v>
      </c>
      <c r="I46">
        <v>2.335271198731579E-4</v>
      </c>
    </row>
    <row r="47" spans="1:9" x14ac:dyDescent="0.3">
      <c r="A47" s="49">
        <v>45523</v>
      </c>
      <c r="B47" t="s">
        <v>39</v>
      </c>
      <c r="C47">
        <v>1078</v>
      </c>
      <c r="D47">
        <v>20</v>
      </c>
      <c r="E47">
        <v>183924</v>
      </c>
      <c r="F47">
        <v>8.84</v>
      </c>
      <c r="G47">
        <v>14203</v>
      </c>
      <c r="H47">
        <v>1058</v>
      </c>
      <c r="I47">
        <v>5.7523759813836147E-3</v>
      </c>
    </row>
    <row r="48" spans="1:9" x14ac:dyDescent="0.3">
      <c r="A48" s="49">
        <v>45523</v>
      </c>
      <c r="B48" t="s">
        <v>13</v>
      </c>
      <c r="C48">
        <v>1751</v>
      </c>
      <c r="D48">
        <v>86</v>
      </c>
      <c r="E48">
        <v>188655</v>
      </c>
      <c r="F48">
        <v>7.24</v>
      </c>
      <c r="G48">
        <v>22206</v>
      </c>
      <c r="H48">
        <v>1665</v>
      </c>
      <c r="I48">
        <v>8.825634093981077E-3</v>
      </c>
    </row>
    <row r="49" spans="1:9" x14ac:dyDescent="0.3">
      <c r="A49" s="49">
        <v>45523</v>
      </c>
      <c r="B49" t="s">
        <v>24</v>
      </c>
      <c r="C49">
        <v>221</v>
      </c>
      <c r="D49">
        <v>31</v>
      </c>
      <c r="E49">
        <v>87443</v>
      </c>
      <c r="F49">
        <v>6.19</v>
      </c>
      <c r="G49">
        <v>10283</v>
      </c>
      <c r="H49">
        <v>190</v>
      </c>
      <c r="I49">
        <v>2.1728440241071327E-3</v>
      </c>
    </row>
    <row r="50" spans="1:9" x14ac:dyDescent="0.3">
      <c r="A50" s="49">
        <v>45530</v>
      </c>
      <c r="B50" t="s">
        <v>30</v>
      </c>
      <c r="C50">
        <v>1685</v>
      </c>
      <c r="D50">
        <v>76</v>
      </c>
      <c r="E50">
        <v>453799</v>
      </c>
      <c r="F50">
        <v>5.71</v>
      </c>
      <c r="G50">
        <v>24913</v>
      </c>
      <c r="H50">
        <v>1609</v>
      </c>
      <c r="I50">
        <v>3.5456226214689766E-3</v>
      </c>
    </row>
    <row r="51" spans="1:9" x14ac:dyDescent="0.3">
      <c r="A51" s="49">
        <v>45530</v>
      </c>
      <c r="B51" t="s">
        <v>39</v>
      </c>
      <c r="C51">
        <v>248</v>
      </c>
      <c r="D51">
        <v>211</v>
      </c>
      <c r="E51">
        <v>379380</v>
      </c>
      <c r="F51">
        <v>9.0399999999999991</v>
      </c>
      <c r="G51">
        <v>26925</v>
      </c>
      <c r="H51">
        <v>37</v>
      </c>
      <c r="I51">
        <v>9.7527544941747058E-5</v>
      </c>
    </row>
    <row r="52" spans="1:9" x14ac:dyDescent="0.3">
      <c r="A52" s="49">
        <v>45530</v>
      </c>
      <c r="B52" t="s">
        <v>13</v>
      </c>
      <c r="C52">
        <v>1300</v>
      </c>
      <c r="D52">
        <v>71</v>
      </c>
      <c r="E52">
        <v>186454</v>
      </c>
      <c r="F52">
        <v>3.91</v>
      </c>
      <c r="G52">
        <v>9942</v>
      </c>
      <c r="H52">
        <v>1229</v>
      </c>
      <c r="I52">
        <v>6.5914381026955706E-3</v>
      </c>
    </row>
    <row r="53" spans="1:9" x14ac:dyDescent="0.3">
      <c r="A53" s="49">
        <v>45530</v>
      </c>
      <c r="B53" t="s">
        <v>24</v>
      </c>
      <c r="C53">
        <v>422</v>
      </c>
      <c r="D53">
        <v>394</v>
      </c>
      <c r="E53">
        <v>239044</v>
      </c>
      <c r="F53">
        <v>7.83</v>
      </c>
      <c r="G53">
        <v>32929</v>
      </c>
      <c r="H53">
        <v>28</v>
      </c>
      <c r="I53">
        <v>1.1713324743561855E-4</v>
      </c>
    </row>
    <row r="54" spans="1:9" x14ac:dyDescent="0.3">
      <c r="A54" s="49">
        <v>45537</v>
      </c>
      <c r="B54" t="s">
        <v>30</v>
      </c>
      <c r="C54">
        <v>1429</v>
      </c>
      <c r="D54">
        <v>182</v>
      </c>
      <c r="E54">
        <v>101332</v>
      </c>
      <c r="F54">
        <v>7.16</v>
      </c>
      <c r="G54">
        <v>37829</v>
      </c>
      <c r="H54">
        <v>1247</v>
      </c>
      <c r="I54">
        <v>1.2306082974775983E-2</v>
      </c>
    </row>
    <row r="55" spans="1:9" x14ac:dyDescent="0.3">
      <c r="A55" s="49">
        <v>45537</v>
      </c>
      <c r="B55" t="s">
        <v>39</v>
      </c>
      <c r="C55">
        <v>1520</v>
      </c>
      <c r="D55">
        <v>475</v>
      </c>
      <c r="E55">
        <v>496982</v>
      </c>
      <c r="F55">
        <v>6.41</v>
      </c>
      <c r="G55">
        <v>24384</v>
      </c>
      <c r="H55">
        <v>1045</v>
      </c>
      <c r="I55">
        <v>2.1026918479944948E-3</v>
      </c>
    </row>
    <row r="56" spans="1:9" x14ac:dyDescent="0.3">
      <c r="A56" s="49">
        <v>45537</v>
      </c>
      <c r="B56" t="s">
        <v>13</v>
      </c>
      <c r="C56">
        <v>557</v>
      </c>
      <c r="D56">
        <v>360</v>
      </c>
      <c r="E56">
        <v>318779</v>
      </c>
      <c r="F56">
        <v>8.02</v>
      </c>
      <c r="G56">
        <v>25797</v>
      </c>
      <c r="H56">
        <v>197</v>
      </c>
      <c r="I56">
        <v>6.1798299135137512E-4</v>
      </c>
    </row>
    <row r="57" spans="1:9" x14ac:dyDescent="0.3">
      <c r="A57" s="49">
        <v>45537</v>
      </c>
      <c r="B57" t="s">
        <v>24</v>
      </c>
      <c r="C57">
        <v>728</v>
      </c>
      <c r="D57">
        <v>395</v>
      </c>
      <c r="E57">
        <v>370971</v>
      </c>
      <c r="F57">
        <v>3.86</v>
      </c>
      <c r="G57">
        <v>12646</v>
      </c>
      <c r="H57">
        <v>333</v>
      </c>
      <c r="I57">
        <v>8.9764429025449434E-4</v>
      </c>
    </row>
    <row r="58" spans="1:9" x14ac:dyDescent="0.3">
      <c r="A58" s="49">
        <v>45544</v>
      </c>
      <c r="B58" t="s">
        <v>30</v>
      </c>
      <c r="C58">
        <v>1592</v>
      </c>
      <c r="D58">
        <v>20</v>
      </c>
      <c r="E58">
        <v>378054</v>
      </c>
      <c r="F58">
        <v>9.09</v>
      </c>
      <c r="G58">
        <v>26663</v>
      </c>
      <c r="H58">
        <v>1572</v>
      </c>
      <c r="I58">
        <v>4.1581361392816901E-3</v>
      </c>
    </row>
    <row r="59" spans="1:9" x14ac:dyDescent="0.3">
      <c r="A59" s="49">
        <v>45544</v>
      </c>
      <c r="B59" t="s">
        <v>39</v>
      </c>
      <c r="C59">
        <v>1842</v>
      </c>
      <c r="D59">
        <v>414</v>
      </c>
      <c r="E59">
        <v>307524</v>
      </c>
      <c r="F59">
        <v>1.76</v>
      </c>
      <c r="G59">
        <v>40478</v>
      </c>
      <c r="H59">
        <v>1428</v>
      </c>
      <c r="I59">
        <v>4.6435400163889647E-3</v>
      </c>
    </row>
    <row r="60" spans="1:9" x14ac:dyDescent="0.3">
      <c r="A60" s="49">
        <v>45544</v>
      </c>
      <c r="B60" t="s">
        <v>13</v>
      </c>
      <c r="C60">
        <v>751</v>
      </c>
      <c r="D60">
        <v>491</v>
      </c>
      <c r="E60">
        <v>434047</v>
      </c>
      <c r="F60">
        <v>9.24</v>
      </c>
      <c r="G60">
        <v>15476</v>
      </c>
      <c r="H60">
        <v>260</v>
      </c>
      <c r="I60">
        <v>5.990134708914012E-4</v>
      </c>
    </row>
    <row r="61" spans="1:9" x14ac:dyDescent="0.3">
      <c r="A61" s="49">
        <v>45544</v>
      </c>
      <c r="B61" t="s">
        <v>24</v>
      </c>
      <c r="C61">
        <v>1409</v>
      </c>
      <c r="D61">
        <v>309</v>
      </c>
      <c r="E61">
        <v>64583</v>
      </c>
      <c r="F61">
        <v>8.99</v>
      </c>
      <c r="G61">
        <v>10217</v>
      </c>
      <c r="H61">
        <v>1100</v>
      </c>
      <c r="I61">
        <v>1.7032345973398571E-2</v>
      </c>
    </row>
    <row r="62" spans="1:9" x14ac:dyDescent="0.3">
      <c r="A62" s="49">
        <v>45551</v>
      </c>
      <c r="B62" t="s">
        <v>30</v>
      </c>
      <c r="C62">
        <v>778</v>
      </c>
      <c r="D62">
        <v>401</v>
      </c>
      <c r="E62">
        <v>50793</v>
      </c>
      <c r="F62">
        <v>3.4</v>
      </c>
      <c r="G62">
        <v>21939</v>
      </c>
      <c r="H62">
        <v>377</v>
      </c>
      <c r="I62">
        <v>7.4222825979957871E-3</v>
      </c>
    </row>
    <row r="63" spans="1:9" x14ac:dyDescent="0.3">
      <c r="A63" s="49">
        <v>45551</v>
      </c>
      <c r="B63" t="s">
        <v>39</v>
      </c>
      <c r="C63">
        <v>443</v>
      </c>
      <c r="D63">
        <v>345</v>
      </c>
      <c r="E63">
        <v>474162</v>
      </c>
      <c r="F63">
        <v>9.1999999999999993</v>
      </c>
      <c r="G63">
        <v>47462</v>
      </c>
      <c r="H63">
        <v>98</v>
      </c>
      <c r="I63">
        <v>2.0668041724136477E-4</v>
      </c>
    </row>
    <row r="64" spans="1:9" x14ac:dyDescent="0.3">
      <c r="A64" s="49">
        <v>45551</v>
      </c>
      <c r="B64" t="s">
        <v>13</v>
      </c>
      <c r="C64">
        <v>1472</v>
      </c>
      <c r="D64">
        <v>347</v>
      </c>
      <c r="E64">
        <v>392355</v>
      </c>
      <c r="F64">
        <v>8.59</v>
      </c>
      <c r="G64">
        <v>30270</v>
      </c>
      <c r="H64">
        <v>1125</v>
      </c>
      <c r="I64">
        <v>2.8673012960201858E-3</v>
      </c>
    </row>
    <row r="65" spans="1:9" x14ac:dyDescent="0.3">
      <c r="A65" s="49">
        <v>45551</v>
      </c>
      <c r="B65" t="s">
        <v>24</v>
      </c>
      <c r="C65">
        <v>123</v>
      </c>
      <c r="D65">
        <v>155</v>
      </c>
      <c r="E65">
        <v>119934</v>
      </c>
      <c r="F65">
        <v>3.5</v>
      </c>
      <c r="G65">
        <v>5442</v>
      </c>
      <c r="H65">
        <v>-32</v>
      </c>
      <c r="I65">
        <v>-2.6681341404439108E-4</v>
      </c>
    </row>
    <row r="66" spans="1:9" x14ac:dyDescent="0.3">
      <c r="A66" s="49">
        <v>45558</v>
      </c>
      <c r="B66" t="s">
        <v>30</v>
      </c>
      <c r="C66">
        <v>817</v>
      </c>
      <c r="D66">
        <v>151</v>
      </c>
      <c r="E66">
        <v>422625</v>
      </c>
      <c r="F66">
        <v>2.36</v>
      </c>
      <c r="G66">
        <v>1083</v>
      </c>
      <c r="H66">
        <v>666</v>
      </c>
      <c r="I66">
        <v>1.5758651286601596E-3</v>
      </c>
    </row>
    <row r="67" spans="1:9" x14ac:dyDescent="0.3">
      <c r="A67" s="49">
        <v>45558</v>
      </c>
      <c r="B67" t="s">
        <v>39</v>
      </c>
      <c r="C67">
        <v>198</v>
      </c>
      <c r="D67">
        <v>217</v>
      </c>
      <c r="E67">
        <v>239753</v>
      </c>
      <c r="F67">
        <v>7.36</v>
      </c>
      <c r="G67">
        <v>11901</v>
      </c>
      <c r="H67">
        <v>-19</v>
      </c>
      <c r="I67">
        <v>-7.9248226299566635E-5</v>
      </c>
    </row>
    <row r="68" spans="1:9" x14ac:dyDescent="0.3">
      <c r="A68" s="49">
        <v>45558</v>
      </c>
      <c r="B68" t="s">
        <v>13</v>
      </c>
      <c r="C68">
        <v>1911</v>
      </c>
      <c r="D68">
        <v>231</v>
      </c>
      <c r="E68">
        <v>268516</v>
      </c>
      <c r="F68">
        <v>8.5500000000000007</v>
      </c>
      <c r="G68">
        <v>24018</v>
      </c>
      <c r="H68">
        <v>1680</v>
      </c>
      <c r="I68">
        <v>6.2566104068286429E-3</v>
      </c>
    </row>
    <row r="69" spans="1:9" x14ac:dyDescent="0.3">
      <c r="A69" s="49">
        <v>45558</v>
      </c>
      <c r="B69" t="s">
        <v>24</v>
      </c>
      <c r="C69">
        <v>1218</v>
      </c>
      <c r="D69">
        <v>212</v>
      </c>
      <c r="E69">
        <v>63177</v>
      </c>
      <c r="F69">
        <v>8.1300000000000008</v>
      </c>
      <c r="G69">
        <v>38883</v>
      </c>
      <c r="H69">
        <v>1006</v>
      </c>
      <c r="I69">
        <v>1.592351646960128E-2</v>
      </c>
    </row>
    <row r="70" spans="1:9" x14ac:dyDescent="0.3">
      <c r="A70" s="49">
        <v>45565</v>
      </c>
      <c r="B70" t="s">
        <v>30</v>
      </c>
      <c r="C70">
        <v>1433</v>
      </c>
      <c r="D70">
        <v>408</v>
      </c>
      <c r="E70">
        <v>370269</v>
      </c>
      <c r="F70">
        <v>3.3</v>
      </c>
      <c r="G70">
        <v>30575</v>
      </c>
      <c r="H70">
        <v>1025</v>
      </c>
      <c r="I70">
        <v>2.7682576721248606E-3</v>
      </c>
    </row>
    <row r="71" spans="1:9" x14ac:dyDescent="0.3">
      <c r="A71" s="49">
        <v>45565</v>
      </c>
      <c r="B71" t="s">
        <v>39</v>
      </c>
      <c r="C71">
        <v>250</v>
      </c>
      <c r="D71">
        <v>429</v>
      </c>
      <c r="E71">
        <v>453423</v>
      </c>
      <c r="F71">
        <v>1.77</v>
      </c>
      <c r="G71">
        <v>2315</v>
      </c>
      <c r="H71">
        <v>-179</v>
      </c>
      <c r="I71">
        <v>-3.9477485703195471E-4</v>
      </c>
    </row>
    <row r="72" spans="1:9" x14ac:dyDescent="0.3">
      <c r="A72" s="49">
        <v>45565</v>
      </c>
      <c r="B72" t="s">
        <v>13</v>
      </c>
      <c r="C72">
        <v>752</v>
      </c>
      <c r="D72">
        <v>153</v>
      </c>
      <c r="E72">
        <v>64906</v>
      </c>
      <c r="F72">
        <v>2.09</v>
      </c>
      <c r="G72">
        <v>12148</v>
      </c>
      <c r="H72">
        <v>599</v>
      </c>
      <c r="I72">
        <v>9.2287307798970819E-3</v>
      </c>
    </row>
    <row r="73" spans="1:9" x14ac:dyDescent="0.3">
      <c r="A73" s="49">
        <v>45565</v>
      </c>
      <c r="B73" t="s">
        <v>24</v>
      </c>
      <c r="C73">
        <v>1918</v>
      </c>
      <c r="D73">
        <v>212</v>
      </c>
      <c r="E73">
        <v>94360</v>
      </c>
      <c r="F73">
        <v>7.36</v>
      </c>
      <c r="G73">
        <v>36851</v>
      </c>
      <c r="H73">
        <v>1706</v>
      </c>
      <c r="I73">
        <v>1.8079694785926241E-2</v>
      </c>
    </row>
    <row r="74" spans="1:9" x14ac:dyDescent="0.3">
      <c r="A74" s="49">
        <v>45572</v>
      </c>
      <c r="B74" t="s">
        <v>30</v>
      </c>
      <c r="C74">
        <v>1939</v>
      </c>
      <c r="D74">
        <v>67</v>
      </c>
      <c r="E74">
        <v>187183</v>
      </c>
      <c r="F74">
        <v>6.25</v>
      </c>
      <c r="G74">
        <v>41215</v>
      </c>
      <c r="H74">
        <v>1872</v>
      </c>
      <c r="I74">
        <v>1.0000908202133741E-2</v>
      </c>
    </row>
    <row r="75" spans="1:9" x14ac:dyDescent="0.3">
      <c r="A75" s="49">
        <v>45572</v>
      </c>
      <c r="B75" t="s">
        <v>39</v>
      </c>
      <c r="C75">
        <v>1929</v>
      </c>
      <c r="D75">
        <v>267</v>
      </c>
      <c r="E75">
        <v>379363</v>
      </c>
      <c r="F75">
        <v>1.75</v>
      </c>
      <c r="G75">
        <v>43836</v>
      </c>
      <c r="H75">
        <v>1662</v>
      </c>
      <c r="I75">
        <v>4.3810281972675247E-3</v>
      </c>
    </row>
    <row r="76" spans="1:9" x14ac:dyDescent="0.3">
      <c r="A76" s="49">
        <v>45572</v>
      </c>
      <c r="B76" t="s">
        <v>13</v>
      </c>
      <c r="C76">
        <v>437</v>
      </c>
      <c r="D76">
        <v>330</v>
      </c>
      <c r="E76">
        <v>476486</v>
      </c>
      <c r="F76">
        <v>4.97</v>
      </c>
      <c r="G76">
        <v>4509</v>
      </c>
      <c r="H76">
        <v>107</v>
      </c>
      <c r="I76">
        <v>2.2456063766826309E-4</v>
      </c>
    </row>
    <row r="77" spans="1:9" x14ac:dyDescent="0.3">
      <c r="A77" s="49">
        <v>45572</v>
      </c>
      <c r="B77" t="s">
        <v>24</v>
      </c>
      <c r="C77">
        <v>307</v>
      </c>
      <c r="D77">
        <v>189</v>
      </c>
      <c r="E77">
        <v>117767</v>
      </c>
      <c r="F77">
        <v>9.3000000000000007</v>
      </c>
      <c r="G77">
        <v>27822</v>
      </c>
      <c r="H77">
        <v>118</v>
      </c>
      <c r="I77">
        <v>1.0019784829366461E-3</v>
      </c>
    </row>
    <row r="78" spans="1:9" x14ac:dyDescent="0.3">
      <c r="A78" s="49">
        <v>45579</v>
      </c>
      <c r="B78" t="s">
        <v>30</v>
      </c>
      <c r="C78">
        <v>1527</v>
      </c>
      <c r="D78">
        <v>303</v>
      </c>
      <c r="E78">
        <v>388555</v>
      </c>
      <c r="F78">
        <v>8.9</v>
      </c>
      <c r="G78">
        <v>36397</v>
      </c>
      <c r="H78">
        <v>1224</v>
      </c>
      <c r="I78">
        <v>3.1501331857780751E-3</v>
      </c>
    </row>
    <row r="79" spans="1:9" x14ac:dyDescent="0.3">
      <c r="A79" s="49">
        <v>45579</v>
      </c>
      <c r="B79" t="s">
        <v>39</v>
      </c>
      <c r="C79">
        <v>643</v>
      </c>
      <c r="D79">
        <v>358</v>
      </c>
      <c r="E79">
        <v>157599</v>
      </c>
      <c r="F79">
        <v>3.88</v>
      </c>
      <c r="G79">
        <v>7285</v>
      </c>
      <c r="H79">
        <v>285</v>
      </c>
      <c r="I79">
        <v>1.8083871090552605E-3</v>
      </c>
    </row>
    <row r="80" spans="1:9" x14ac:dyDescent="0.3">
      <c r="A80" s="49">
        <v>45579</v>
      </c>
      <c r="B80" t="s">
        <v>13</v>
      </c>
      <c r="C80">
        <v>201</v>
      </c>
      <c r="D80">
        <v>221</v>
      </c>
      <c r="E80">
        <v>309772</v>
      </c>
      <c r="F80">
        <v>5.9</v>
      </c>
      <c r="G80">
        <v>33174</v>
      </c>
      <c r="H80">
        <v>-20</v>
      </c>
      <c r="I80">
        <v>-6.456361452939582E-5</v>
      </c>
    </row>
    <row r="81" spans="1:9" x14ac:dyDescent="0.3">
      <c r="A81" s="49">
        <v>45579</v>
      </c>
      <c r="B81" t="s">
        <v>24</v>
      </c>
      <c r="C81">
        <v>414</v>
      </c>
      <c r="D81">
        <v>47</v>
      </c>
      <c r="E81">
        <v>199178</v>
      </c>
      <c r="F81">
        <v>1.53</v>
      </c>
      <c r="G81">
        <v>6742</v>
      </c>
      <c r="H81">
        <v>367</v>
      </c>
      <c r="I81">
        <v>1.8425729749269497E-3</v>
      </c>
    </row>
    <row r="82" spans="1:9" x14ac:dyDescent="0.3">
      <c r="A82" s="49">
        <v>45586</v>
      </c>
      <c r="B82" t="s">
        <v>30</v>
      </c>
      <c r="C82">
        <v>703</v>
      </c>
      <c r="D82">
        <v>441</v>
      </c>
      <c r="E82">
        <v>357089</v>
      </c>
      <c r="F82">
        <v>6.5</v>
      </c>
      <c r="G82">
        <v>32478</v>
      </c>
      <c r="H82">
        <v>262</v>
      </c>
      <c r="I82">
        <v>7.3371064356504961E-4</v>
      </c>
    </row>
    <row r="83" spans="1:9" x14ac:dyDescent="0.3">
      <c r="A83" s="49">
        <v>45586</v>
      </c>
      <c r="B83" t="s">
        <v>39</v>
      </c>
      <c r="C83">
        <v>508</v>
      </c>
      <c r="D83">
        <v>69</v>
      </c>
      <c r="E83">
        <v>23492</v>
      </c>
      <c r="F83">
        <v>3.16</v>
      </c>
      <c r="G83">
        <v>42824</v>
      </c>
      <c r="H83">
        <v>439</v>
      </c>
      <c r="I83">
        <v>1.8687212668142345E-2</v>
      </c>
    </row>
    <row r="84" spans="1:9" x14ac:dyDescent="0.3">
      <c r="A84" s="49">
        <v>45586</v>
      </c>
      <c r="B84" t="s">
        <v>13</v>
      </c>
      <c r="C84">
        <v>697</v>
      </c>
      <c r="D84">
        <v>61</v>
      </c>
      <c r="E84">
        <v>258287</v>
      </c>
      <c r="F84">
        <v>8.25</v>
      </c>
      <c r="G84">
        <v>21208</v>
      </c>
      <c r="H84">
        <v>636</v>
      </c>
      <c r="I84">
        <v>2.4623771231227277E-3</v>
      </c>
    </row>
    <row r="85" spans="1:9" x14ac:dyDescent="0.3">
      <c r="A85" s="49">
        <v>45586</v>
      </c>
      <c r="B85" t="s">
        <v>24</v>
      </c>
      <c r="C85">
        <v>1707</v>
      </c>
      <c r="D85">
        <v>223</v>
      </c>
      <c r="E85">
        <v>256910</v>
      </c>
      <c r="F85">
        <v>5.41</v>
      </c>
      <c r="G85">
        <v>44321</v>
      </c>
      <c r="H85">
        <v>1484</v>
      </c>
      <c r="I85">
        <v>5.7763419096181542E-3</v>
      </c>
    </row>
    <row r="86" spans="1:9" x14ac:dyDescent="0.3">
      <c r="A86" s="49">
        <v>45593</v>
      </c>
      <c r="B86" t="s">
        <v>30</v>
      </c>
      <c r="C86">
        <v>642</v>
      </c>
      <c r="D86">
        <v>66</v>
      </c>
      <c r="E86">
        <v>346522</v>
      </c>
      <c r="F86">
        <v>5.85</v>
      </c>
      <c r="G86">
        <v>13116</v>
      </c>
      <c r="H86">
        <v>576</v>
      </c>
      <c r="I86">
        <v>1.6622321237901201E-3</v>
      </c>
    </row>
    <row r="87" spans="1:9" x14ac:dyDescent="0.3">
      <c r="A87" s="49">
        <v>45593</v>
      </c>
      <c r="B87" t="s">
        <v>39</v>
      </c>
      <c r="C87">
        <v>859</v>
      </c>
      <c r="D87">
        <v>473</v>
      </c>
      <c r="E87">
        <v>209987</v>
      </c>
      <c r="F87">
        <v>4.46</v>
      </c>
      <c r="G87">
        <v>30214</v>
      </c>
      <c r="H87">
        <v>386</v>
      </c>
      <c r="I87">
        <v>1.8382090319876945E-3</v>
      </c>
    </row>
    <row r="88" spans="1:9" x14ac:dyDescent="0.3">
      <c r="A88" s="49">
        <v>45593</v>
      </c>
      <c r="B88" t="s">
        <v>13</v>
      </c>
      <c r="C88">
        <v>191</v>
      </c>
      <c r="D88">
        <v>154</v>
      </c>
      <c r="E88">
        <v>240550</v>
      </c>
      <c r="F88">
        <v>5.22</v>
      </c>
      <c r="G88">
        <v>15827</v>
      </c>
      <c r="H88">
        <v>37</v>
      </c>
      <c r="I88">
        <v>1.5381417584701726E-4</v>
      </c>
    </row>
    <row r="89" spans="1:9" x14ac:dyDescent="0.3">
      <c r="A89" s="49">
        <v>45593</v>
      </c>
      <c r="B89" t="s">
        <v>24</v>
      </c>
      <c r="C89">
        <v>1814</v>
      </c>
      <c r="D89">
        <v>157</v>
      </c>
      <c r="E89">
        <v>305827</v>
      </c>
      <c r="F89">
        <v>1.99</v>
      </c>
      <c r="G89">
        <v>46643</v>
      </c>
      <c r="H89">
        <v>1657</v>
      </c>
      <c r="I89">
        <v>5.4180958515762179E-3</v>
      </c>
    </row>
    <row r="90" spans="1:9" x14ac:dyDescent="0.3">
      <c r="A90" s="49">
        <v>45600</v>
      </c>
      <c r="B90" t="s">
        <v>30</v>
      </c>
      <c r="C90">
        <v>1466</v>
      </c>
      <c r="D90">
        <v>69</v>
      </c>
      <c r="E90">
        <v>54935</v>
      </c>
      <c r="F90">
        <v>6.85</v>
      </c>
      <c r="G90">
        <v>36484</v>
      </c>
      <c r="H90">
        <v>1397</v>
      </c>
      <c r="I90">
        <v>2.5430053699827069E-2</v>
      </c>
    </row>
    <row r="91" spans="1:9" x14ac:dyDescent="0.3">
      <c r="A91" s="49">
        <v>45600</v>
      </c>
      <c r="B91" t="s">
        <v>39</v>
      </c>
      <c r="C91">
        <v>947</v>
      </c>
      <c r="D91">
        <v>407</v>
      </c>
      <c r="E91">
        <v>319186</v>
      </c>
      <c r="F91">
        <v>3.32</v>
      </c>
      <c r="G91">
        <v>4996</v>
      </c>
      <c r="H91">
        <v>540</v>
      </c>
      <c r="I91">
        <v>1.6918035252172713E-3</v>
      </c>
    </row>
    <row r="92" spans="1:9" x14ac:dyDescent="0.3">
      <c r="A92" s="49">
        <v>45600</v>
      </c>
      <c r="B92" t="s">
        <v>13</v>
      </c>
      <c r="C92">
        <v>1821</v>
      </c>
      <c r="D92">
        <v>218</v>
      </c>
      <c r="E92">
        <v>439080</v>
      </c>
      <c r="F92">
        <v>5.68</v>
      </c>
      <c r="G92">
        <v>36095</v>
      </c>
      <c r="H92">
        <v>1603</v>
      </c>
      <c r="I92">
        <v>3.6508153411678964E-3</v>
      </c>
    </row>
    <row r="93" spans="1:9" x14ac:dyDescent="0.3">
      <c r="A93" s="49">
        <v>45600</v>
      </c>
      <c r="B93" t="s">
        <v>24</v>
      </c>
      <c r="C93">
        <v>1507</v>
      </c>
      <c r="D93">
        <v>463</v>
      </c>
      <c r="E93">
        <v>258944</v>
      </c>
      <c r="F93">
        <v>6.08</v>
      </c>
      <c r="G93">
        <v>16443</v>
      </c>
      <c r="H93">
        <v>1044</v>
      </c>
      <c r="I93">
        <v>4.0317597627286209E-3</v>
      </c>
    </row>
    <row r="94" spans="1:9" x14ac:dyDescent="0.3">
      <c r="A94" s="49">
        <v>45607</v>
      </c>
      <c r="B94" t="s">
        <v>30</v>
      </c>
      <c r="C94">
        <v>1075</v>
      </c>
      <c r="D94">
        <v>173</v>
      </c>
      <c r="E94">
        <v>51395</v>
      </c>
      <c r="F94">
        <v>4.66</v>
      </c>
      <c r="G94">
        <v>47812</v>
      </c>
      <c r="H94">
        <v>902</v>
      </c>
      <c r="I94">
        <v>1.7550345364335054E-2</v>
      </c>
    </row>
    <row r="95" spans="1:9" x14ac:dyDescent="0.3">
      <c r="A95" s="49">
        <v>45607</v>
      </c>
      <c r="B95" t="s">
        <v>39</v>
      </c>
      <c r="C95">
        <v>171</v>
      </c>
      <c r="D95">
        <v>277</v>
      </c>
      <c r="E95">
        <v>309483</v>
      </c>
      <c r="F95">
        <v>8.6999999999999993</v>
      </c>
      <c r="G95">
        <v>38452</v>
      </c>
      <c r="H95">
        <v>-106</v>
      </c>
      <c r="I95">
        <v>-3.4250669665215861E-4</v>
      </c>
    </row>
    <row r="96" spans="1:9" x14ac:dyDescent="0.3">
      <c r="A96" s="49">
        <v>45607</v>
      </c>
      <c r="B96" t="s">
        <v>13</v>
      </c>
      <c r="C96">
        <v>1487</v>
      </c>
      <c r="D96">
        <v>337</v>
      </c>
      <c r="E96">
        <v>87305</v>
      </c>
      <c r="F96">
        <v>2.46</v>
      </c>
      <c r="G96">
        <v>30428</v>
      </c>
      <c r="H96">
        <v>1150</v>
      </c>
      <c r="I96">
        <v>1.3172212358971423E-2</v>
      </c>
    </row>
    <row r="97" spans="1:9" x14ac:dyDescent="0.3">
      <c r="A97" s="49">
        <v>45607</v>
      </c>
      <c r="B97" t="s">
        <v>24</v>
      </c>
      <c r="C97">
        <v>454</v>
      </c>
      <c r="D97">
        <v>105</v>
      </c>
      <c r="E97">
        <v>121091</v>
      </c>
      <c r="F97">
        <v>7.97</v>
      </c>
      <c r="G97">
        <v>9269</v>
      </c>
      <c r="H97">
        <v>349</v>
      </c>
      <c r="I97">
        <v>2.8821299683708945E-3</v>
      </c>
    </row>
    <row r="98" spans="1:9" x14ac:dyDescent="0.3">
      <c r="A98" s="49">
        <v>45614</v>
      </c>
      <c r="B98" t="s">
        <v>30</v>
      </c>
      <c r="C98">
        <v>187</v>
      </c>
      <c r="D98">
        <v>236</v>
      </c>
      <c r="E98">
        <v>51087</v>
      </c>
      <c r="F98">
        <v>9.41</v>
      </c>
      <c r="G98">
        <v>29533</v>
      </c>
      <c r="H98">
        <v>-49</v>
      </c>
      <c r="I98">
        <v>-9.5914811987394058E-4</v>
      </c>
    </row>
    <row r="99" spans="1:9" x14ac:dyDescent="0.3">
      <c r="A99" s="49">
        <v>45614</v>
      </c>
      <c r="B99" t="s">
        <v>39</v>
      </c>
      <c r="C99">
        <v>513</v>
      </c>
      <c r="D99">
        <v>441</v>
      </c>
      <c r="E99">
        <v>338847</v>
      </c>
      <c r="F99">
        <v>2.68</v>
      </c>
      <c r="G99">
        <v>39997</v>
      </c>
      <c r="H99">
        <v>72</v>
      </c>
      <c r="I99">
        <v>2.1248528096751631E-4</v>
      </c>
    </row>
    <row r="100" spans="1:9" x14ac:dyDescent="0.3">
      <c r="A100" s="49">
        <v>45614</v>
      </c>
      <c r="B100" t="s">
        <v>13</v>
      </c>
      <c r="C100">
        <v>628</v>
      </c>
      <c r="D100">
        <v>183</v>
      </c>
      <c r="E100">
        <v>487523</v>
      </c>
      <c r="F100">
        <v>7.32</v>
      </c>
      <c r="G100">
        <v>5391</v>
      </c>
      <c r="H100">
        <v>445</v>
      </c>
      <c r="I100">
        <v>9.1277744844858602E-4</v>
      </c>
    </row>
    <row r="101" spans="1:9" x14ac:dyDescent="0.3">
      <c r="A101" s="49">
        <v>45614</v>
      </c>
      <c r="B101" t="s">
        <v>24</v>
      </c>
      <c r="C101">
        <v>278</v>
      </c>
      <c r="D101">
        <v>218</v>
      </c>
      <c r="E101">
        <v>301695</v>
      </c>
      <c r="F101">
        <v>4.68</v>
      </c>
      <c r="G101">
        <v>22373</v>
      </c>
      <c r="H101">
        <v>60</v>
      </c>
      <c r="I101">
        <v>1.9887634863023914E-4</v>
      </c>
    </row>
    <row r="102" spans="1:9" x14ac:dyDescent="0.3">
      <c r="A102" s="49">
        <v>45621</v>
      </c>
      <c r="B102" t="s">
        <v>30</v>
      </c>
      <c r="C102">
        <v>1854</v>
      </c>
      <c r="D102">
        <v>161</v>
      </c>
      <c r="E102">
        <v>282466</v>
      </c>
      <c r="F102">
        <v>5.17</v>
      </c>
      <c r="G102">
        <v>1810</v>
      </c>
      <c r="H102">
        <v>1693</v>
      </c>
      <c r="I102">
        <v>5.9936417126309005E-3</v>
      </c>
    </row>
    <row r="103" spans="1:9" x14ac:dyDescent="0.3">
      <c r="A103" s="49">
        <v>45621</v>
      </c>
      <c r="B103" t="s">
        <v>39</v>
      </c>
      <c r="C103">
        <v>1710</v>
      </c>
      <c r="D103">
        <v>378</v>
      </c>
      <c r="E103">
        <v>336661</v>
      </c>
      <c r="F103">
        <v>6.2</v>
      </c>
      <c r="G103">
        <v>28498</v>
      </c>
      <c r="H103">
        <v>1332</v>
      </c>
      <c r="I103">
        <v>3.9565022381564839E-3</v>
      </c>
    </row>
    <row r="104" spans="1:9" x14ac:dyDescent="0.3">
      <c r="A104" s="49">
        <v>45621</v>
      </c>
      <c r="B104" t="s">
        <v>13</v>
      </c>
      <c r="C104">
        <v>330</v>
      </c>
      <c r="D104">
        <v>232</v>
      </c>
      <c r="E104">
        <v>88455</v>
      </c>
      <c r="F104">
        <v>2.69</v>
      </c>
      <c r="G104">
        <v>39530</v>
      </c>
      <c r="H104">
        <v>98</v>
      </c>
      <c r="I104">
        <v>1.1079079758069075E-3</v>
      </c>
    </row>
    <row r="105" spans="1:9" x14ac:dyDescent="0.3">
      <c r="A105" s="49">
        <v>45621</v>
      </c>
      <c r="B105" t="s">
        <v>24</v>
      </c>
      <c r="C105">
        <v>1293</v>
      </c>
      <c r="D105">
        <v>408</v>
      </c>
      <c r="E105">
        <v>62535</v>
      </c>
      <c r="F105">
        <v>8.9</v>
      </c>
      <c r="G105">
        <v>37876</v>
      </c>
      <c r="H105">
        <v>885</v>
      </c>
      <c r="I105">
        <v>1.4152074838090669E-2</v>
      </c>
    </row>
    <row r="106" spans="1:9" x14ac:dyDescent="0.3">
      <c r="A106" s="49">
        <v>45628</v>
      </c>
      <c r="B106" t="s">
        <v>30</v>
      </c>
      <c r="C106">
        <v>1696</v>
      </c>
      <c r="D106">
        <v>71</v>
      </c>
      <c r="E106">
        <v>421957</v>
      </c>
      <c r="F106">
        <v>3.79</v>
      </c>
      <c r="G106">
        <v>36103</v>
      </c>
      <c r="H106">
        <v>1625</v>
      </c>
      <c r="I106">
        <v>3.8511033114748661E-3</v>
      </c>
    </row>
    <row r="107" spans="1:9" x14ac:dyDescent="0.3">
      <c r="A107" s="49">
        <v>45628</v>
      </c>
      <c r="B107" t="s">
        <v>39</v>
      </c>
      <c r="C107">
        <v>1902</v>
      </c>
      <c r="D107">
        <v>196</v>
      </c>
      <c r="E107">
        <v>470269</v>
      </c>
      <c r="F107">
        <v>4.79</v>
      </c>
      <c r="G107">
        <v>26103</v>
      </c>
      <c r="H107">
        <v>1706</v>
      </c>
      <c r="I107">
        <v>3.6277109484146308E-3</v>
      </c>
    </row>
    <row r="108" spans="1:9" x14ac:dyDescent="0.3">
      <c r="A108" s="49">
        <v>45628</v>
      </c>
      <c r="B108" t="s">
        <v>13</v>
      </c>
      <c r="C108">
        <v>1441</v>
      </c>
      <c r="D108">
        <v>268</v>
      </c>
      <c r="E108">
        <v>309904</v>
      </c>
      <c r="F108">
        <v>6.37</v>
      </c>
      <c r="G108">
        <v>3455</v>
      </c>
      <c r="H108">
        <v>1173</v>
      </c>
      <c r="I108">
        <v>3.7850431101244257E-3</v>
      </c>
    </row>
    <row r="109" spans="1:9" x14ac:dyDescent="0.3">
      <c r="A109" s="49">
        <v>45628</v>
      </c>
      <c r="B109" t="s">
        <v>24</v>
      </c>
      <c r="C109">
        <v>452</v>
      </c>
      <c r="D109">
        <v>161</v>
      </c>
      <c r="E109">
        <v>221274</v>
      </c>
      <c r="F109">
        <v>2.65</v>
      </c>
      <c r="G109">
        <v>40888</v>
      </c>
      <c r="H109">
        <v>291</v>
      </c>
      <c r="I109">
        <v>1.3151115811166245E-3</v>
      </c>
    </row>
    <row r="110" spans="1:9" x14ac:dyDescent="0.3">
      <c r="A110" s="49">
        <v>45635</v>
      </c>
      <c r="B110" t="s">
        <v>30</v>
      </c>
      <c r="C110">
        <v>1494</v>
      </c>
      <c r="D110">
        <v>375</v>
      </c>
      <c r="E110">
        <v>220616</v>
      </c>
      <c r="F110">
        <v>1.81</v>
      </c>
      <c r="G110">
        <v>22724</v>
      </c>
      <c r="H110">
        <v>1119</v>
      </c>
      <c r="I110">
        <v>5.0721615839286359E-3</v>
      </c>
    </row>
    <row r="111" spans="1:9" x14ac:dyDescent="0.3">
      <c r="A111" s="49">
        <v>45635</v>
      </c>
      <c r="B111" t="s">
        <v>39</v>
      </c>
      <c r="C111">
        <v>1514</v>
      </c>
      <c r="D111">
        <v>141</v>
      </c>
      <c r="E111">
        <v>35842</v>
      </c>
      <c r="F111">
        <v>7.47</v>
      </c>
      <c r="G111">
        <v>18601</v>
      </c>
      <c r="H111">
        <v>1373</v>
      </c>
      <c r="I111">
        <v>3.8307014117515761E-2</v>
      </c>
    </row>
    <row r="112" spans="1:9" x14ac:dyDescent="0.3">
      <c r="A112" s="49">
        <v>45635</v>
      </c>
      <c r="B112" t="s">
        <v>13</v>
      </c>
      <c r="C112">
        <v>1937</v>
      </c>
      <c r="D112">
        <v>210</v>
      </c>
      <c r="E112">
        <v>20607</v>
      </c>
      <c r="F112">
        <v>4.2</v>
      </c>
      <c r="G112">
        <v>20861</v>
      </c>
      <c r="H112">
        <v>1727</v>
      </c>
      <c r="I112">
        <v>8.3806473528412681E-2</v>
      </c>
    </row>
    <row r="113" spans="1:9" x14ac:dyDescent="0.3">
      <c r="A113" s="49">
        <v>45635</v>
      </c>
      <c r="B113" t="s">
        <v>24</v>
      </c>
      <c r="C113">
        <v>736</v>
      </c>
      <c r="D113">
        <v>163</v>
      </c>
      <c r="E113">
        <v>451894</v>
      </c>
      <c r="F113">
        <v>5.43</v>
      </c>
      <c r="G113">
        <v>46625</v>
      </c>
      <c r="H113">
        <v>573</v>
      </c>
      <c r="I113">
        <v>1.2679964770499277E-3</v>
      </c>
    </row>
    <row r="114" spans="1:9" x14ac:dyDescent="0.3">
      <c r="A114" s="49">
        <v>45642</v>
      </c>
      <c r="B114" t="s">
        <v>30</v>
      </c>
      <c r="C114">
        <v>1502</v>
      </c>
      <c r="D114">
        <v>70</v>
      </c>
      <c r="E114">
        <v>465553</v>
      </c>
      <c r="F114">
        <v>3.32</v>
      </c>
      <c r="G114">
        <v>20692</v>
      </c>
      <c r="H114">
        <v>1432</v>
      </c>
      <c r="I114">
        <v>3.0759118725472716E-3</v>
      </c>
    </row>
    <row r="115" spans="1:9" x14ac:dyDescent="0.3">
      <c r="A115" s="49">
        <v>45642</v>
      </c>
      <c r="B115" t="s">
        <v>39</v>
      </c>
      <c r="C115">
        <v>1623</v>
      </c>
      <c r="D115">
        <v>246</v>
      </c>
      <c r="E115">
        <v>415815</v>
      </c>
      <c r="F115">
        <v>8.11</v>
      </c>
      <c r="G115">
        <v>18656</v>
      </c>
      <c r="H115">
        <v>1377</v>
      </c>
      <c r="I115">
        <v>3.311568846722701E-3</v>
      </c>
    </row>
    <row r="116" spans="1:9" x14ac:dyDescent="0.3">
      <c r="A116" s="49">
        <v>45642</v>
      </c>
      <c r="B116" t="s">
        <v>13</v>
      </c>
      <c r="C116">
        <v>1592</v>
      </c>
      <c r="D116">
        <v>233</v>
      </c>
      <c r="E116">
        <v>327183</v>
      </c>
      <c r="F116">
        <v>6.66</v>
      </c>
      <c r="G116">
        <v>13316</v>
      </c>
      <c r="H116">
        <v>1359</v>
      </c>
      <c r="I116">
        <v>4.1536387893013997E-3</v>
      </c>
    </row>
    <row r="117" spans="1:9" x14ac:dyDescent="0.3">
      <c r="A117" s="49">
        <v>45642</v>
      </c>
      <c r="B117" t="s">
        <v>24</v>
      </c>
      <c r="C117">
        <v>1004</v>
      </c>
      <c r="D117">
        <v>128</v>
      </c>
      <c r="E117">
        <v>488901</v>
      </c>
      <c r="F117">
        <v>8.09</v>
      </c>
      <c r="G117">
        <v>49558</v>
      </c>
      <c r="H117">
        <v>876</v>
      </c>
      <c r="I117">
        <v>1.7917737946946315E-3</v>
      </c>
    </row>
    <row r="118" spans="1:9" x14ac:dyDescent="0.3">
      <c r="A118" s="49">
        <v>45649</v>
      </c>
      <c r="B118" t="s">
        <v>30</v>
      </c>
      <c r="C118">
        <v>1092</v>
      </c>
      <c r="D118">
        <v>408</v>
      </c>
      <c r="E118">
        <v>280795</v>
      </c>
      <c r="F118">
        <v>8.44</v>
      </c>
      <c r="G118">
        <v>4683</v>
      </c>
      <c r="H118">
        <v>684</v>
      </c>
      <c r="I118">
        <v>2.4359408109118751E-3</v>
      </c>
    </row>
    <row r="119" spans="1:9" x14ac:dyDescent="0.3">
      <c r="A119" s="49">
        <v>45649</v>
      </c>
      <c r="B119" t="s">
        <v>39</v>
      </c>
      <c r="C119">
        <v>1155</v>
      </c>
      <c r="D119">
        <v>425</v>
      </c>
      <c r="E119">
        <v>93347</v>
      </c>
      <c r="F119">
        <v>2.02</v>
      </c>
      <c r="G119">
        <v>47502</v>
      </c>
      <c r="H119">
        <v>730</v>
      </c>
      <c r="I119">
        <v>7.8202834584935772E-3</v>
      </c>
    </row>
    <row r="120" spans="1:9" x14ac:dyDescent="0.3">
      <c r="A120" s="49">
        <v>45649</v>
      </c>
      <c r="B120" t="s">
        <v>13</v>
      </c>
      <c r="C120">
        <v>1137</v>
      </c>
      <c r="D120">
        <v>226</v>
      </c>
      <c r="E120">
        <v>81119</v>
      </c>
      <c r="F120">
        <v>7.74</v>
      </c>
      <c r="G120">
        <v>35359</v>
      </c>
      <c r="H120">
        <v>911</v>
      </c>
      <c r="I120">
        <v>1.1230414576116569E-2</v>
      </c>
    </row>
    <row r="121" spans="1:9" x14ac:dyDescent="0.3">
      <c r="A121" s="49">
        <v>45649</v>
      </c>
      <c r="B121" t="s">
        <v>24</v>
      </c>
      <c r="C121">
        <v>1900</v>
      </c>
      <c r="D121">
        <v>311</v>
      </c>
      <c r="E121">
        <v>25177</v>
      </c>
      <c r="F121">
        <v>2.89</v>
      </c>
      <c r="G121">
        <v>14154</v>
      </c>
      <c r="H121">
        <v>1589</v>
      </c>
      <c r="I121">
        <v>6.3113158835445049E-2</v>
      </c>
    </row>
    <row r="122" spans="1:9" x14ac:dyDescent="0.3">
      <c r="A122" s="49">
        <v>45656</v>
      </c>
      <c r="B122" t="s">
        <v>30</v>
      </c>
      <c r="C122">
        <v>1814</v>
      </c>
      <c r="D122">
        <v>49</v>
      </c>
      <c r="E122">
        <v>140804</v>
      </c>
      <c r="F122">
        <v>1.76</v>
      </c>
      <c r="G122">
        <v>4313</v>
      </c>
      <c r="H122">
        <v>1765</v>
      </c>
      <c r="I122">
        <v>1.253515525127127E-2</v>
      </c>
    </row>
    <row r="123" spans="1:9" x14ac:dyDescent="0.3">
      <c r="A123" s="49">
        <v>45656</v>
      </c>
      <c r="B123" t="s">
        <v>39</v>
      </c>
      <c r="C123">
        <v>1980</v>
      </c>
      <c r="D123">
        <v>204</v>
      </c>
      <c r="E123">
        <v>379431</v>
      </c>
      <c r="F123">
        <v>3.09</v>
      </c>
      <c r="G123">
        <v>25140</v>
      </c>
      <c r="H123">
        <v>1776</v>
      </c>
      <c r="I123">
        <v>4.6806929323118035E-3</v>
      </c>
    </row>
    <row r="124" spans="1:9" x14ac:dyDescent="0.3">
      <c r="A124" s="49">
        <v>45656</v>
      </c>
      <c r="B124" t="s">
        <v>13</v>
      </c>
      <c r="C124">
        <v>1786</v>
      </c>
      <c r="D124">
        <v>257</v>
      </c>
      <c r="E124">
        <v>274831</v>
      </c>
      <c r="F124">
        <v>4.68</v>
      </c>
      <c r="G124">
        <v>9118</v>
      </c>
      <c r="H124">
        <v>1529</v>
      </c>
      <c r="I124">
        <v>5.5634189738421064E-3</v>
      </c>
    </row>
    <row r="125" spans="1:9" x14ac:dyDescent="0.3">
      <c r="A125" s="49">
        <v>45656</v>
      </c>
      <c r="B125" t="s">
        <v>24</v>
      </c>
      <c r="C125">
        <v>1495</v>
      </c>
      <c r="D125">
        <v>35</v>
      </c>
      <c r="E125">
        <v>136845</v>
      </c>
      <c r="F125">
        <v>4.4800000000000004</v>
      </c>
      <c r="G125">
        <v>39931</v>
      </c>
      <c r="H125">
        <v>1460</v>
      </c>
      <c r="I125">
        <v>1.0669005078738719E-2</v>
      </c>
    </row>
    <row r="126" spans="1:9" x14ac:dyDescent="0.3">
      <c r="A126" s="49">
        <v>45663</v>
      </c>
      <c r="B126" t="s">
        <v>30</v>
      </c>
      <c r="C126">
        <v>1013</v>
      </c>
      <c r="D126">
        <v>110</v>
      </c>
      <c r="E126">
        <v>466382</v>
      </c>
      <c r="F126">
        <v>5.3</v>
      </c>
      <c r="G126">
        <v>37132</v>
      </c>
      <c r="H126">
        <v>903</v>
      </c>
      <c r="I126">
        <v>1.9361810704529763E-3</v>
      </c>
    </row>
    <row r="127" spans="1:9" x14ac:dyDescent="0.3">
      <c r="A127" s="49">
        <v>45663</v>
      </c>
      <c r="B127" t="s">
        <v>39</v>
      </c>
      <c r="C127">
        <v>816</v>
      </c>
      <c r="D127">
        <v>196</v>
      </c>
      <c r="E127">
        <v>95728</v>
      </c>
      <c r="F127">
        <v>8.1999999999999993</v>
      </c>
      <c r="G127">
        <v>17951</v>
      </c>
      <c r="H127">
        <v>620</v>
      </c>
      <c r="I127">
        <v>6.4766839378238338E-3</v>
      </c>
    </row>
    <row r="128" spans="1:9" x14ac:dyDescent="0.3">
      <c r="A128" s="49">
        <v>45663</v>
      </c>
      <c r="B128" t="s">
        <v>13</v>
      </c>
      <c r="C128">
        <v>1633</v>
      </c>
      <c r="D128">
        <v>445</v>
      </c>
      <c r="E128">
        <v>371156</v>
      </c>
      <c r="F128">
        <v>2.2200000000000002</v>
      </c>
      <c r="G128">
        <v>2798</v>
      </c>
      <c r="H128">
        <v>1188</v>
      </c>
      <c r="I128">
        <v>3.2008104408927781E-3</v>
      </c>
    </row>
    <row r="129" spans="1:9" x14ac:dyDescent="0.3">
      <c r="A129" s="49">
        <v>45663</v>
      </c>
      <c r="B129" t="s">
        <v>24</v>
      </c>
      <c r="C129">
        <v>891</v>
      </c>
      <c r="D129">
        <v>45</v>
      </c>
      <c r="E129">
        <v>95410</v>
      </c>
      <c r="F129">
        <v>8.33</v>
      </c>
      <c r="G129">
        <v>15045</v>
      </c>
      <c r="H129">
        <v>846</v>
      </c>
      <c r="I129">
        <v>8.8669950738916262E-3</v>
      </c>
    </row>
    <row r="130" spans="1:9" x14ac:dyDescent="0.3">
      <c r="A130" s="49">
        <v>45670</v>
      </c>
      <c r="B130" t="s">
        <v>30</v>
      </c>
      <c r="C130">
        <v>1855</v>
      </c>
      <c r="D130">
        <v>133</v>
      </c>
      <c r="E130">
        <v>349413</v>
      </c>
      <c r="F130">
        <v>3.3</v>
      </c>
      <c r="G130">
        <v>14548</v>
      </c>
      <c r="H130">
        <v>1722</v>
      </c>
      <c r="I130">
        <v>4.9282654051223049E-3</v>
      </c>
    </row>
    <row r="131" spans="1:9" x14ac:dyDescent="0.3">
      <c r="A131" s="49">
        <v>45670</v>
      </c>
      <c r="B131" t="s">
        <v>39</v>
      </c>
      <c r="C131">
        <v>651</v>
      </c>
      <c r="D131">
        <v>353</v>
      </c>
      <c r="E131">
        <v>224699</v>
      </c>
      <c r="F131">
        <v>5.61</v>
      </c>
      <c r="G131">
        <v>45708</v>
      </c>
      <c r="H131">
        <v>298</v>
      </c>
      <c r="I131">
        <v>1.3262186302564765E-3</v>
      </c>
    </row>
    <row r="132" spans="1:9" x14ac:dyDescent="0.3">
      <c r="A132" s="49">
        <v>45670</v>
      </c>
      <c r="B132" t="s">
        <v>13</v>
      </c>
      <c r="C132">
        <v>118</v>
      </c>
      <c r="D132">
        <v>262</v>
      </c>
      <c r="E132">
        <v>487896</v>
      </c>
      <c r="F132">
        <v>2.56</v>
      </c>
      <c r="G132">
        <v>12350</v>
      </c>
      <c r="H132">
        <v>-144</v>
      </c>
      <c r="I132">
        <v>-2.9514486693885583E-4</v>
      </c>
    </row>
    <row r="133" spans="1:9" x14ac:dyDescent="0.3">
      <c r="A133" s="49">
        <v>45670</v>
      </c>
      <c r="B133" t="s">
        <v>24</v>
      </c>
      <c r="C133">
        <v>1331</v>
      </c>
      <c r="D133">
        <v>430</v>
      </c>
      <c r="E133">
        <v>14437</v>
      </c>
      <c r="F133">
        <v>3.29</v>
      </c>
      <c r="G133">
        <v>40868</v>
      </c>
      <c r="H133">
        <v>901</v>
      </c>
      <c r="I133">
        <v>6.2409087760615087E-2</v>
      </c>
    </row>
    <row r="134" spans="1:9" x14ac:dyDescent="0.3">
      <c r="A134" s="49">
        <v>45677</v>
      </c>
      <c r="B134" t="s">
        <v>30</v>
      </c>
      <c r="C134">
        <v>1748</v>
      </c>
      <c r="D134">
        <v>176</v>
      </c>
      <c r="E134">
        <v>383681</v>
      </c>
      <c r="F134">
        <v>9.24</v>
      </c>
      <c r="G134">
        <v>43122</v>
      </c>
      <c r="H134">
        <v>1572</v>
      </c>
      <c r="I134">
        <v>4.0971536250166149E-3</v>
      </c>
    </row>
    <row r="135" spans="1:9" x14ac:dyDescent="0.3">
      <c r="A135" s="49">
        <v>45677</v>
      </c>
      <c r="B135" t="s">
        <v>39</v>
      </c>
      <c r="C135">
        <v>663</v>
      </c>
      <c r="D135">
        <v>236</v>
      </c>
      <c r="E135">
        <v>479490</v>
      </c>
      <c r="F135">
        <v>4.51</v>
      </c>
      <c r="G135">
        <v>23853</v>
      </c>
      <c r="H135">
        <v>427</v>
      </c>
      <c r="I135">
        <v>8.9052952094934197E-4</v>
      </c>
    </row>
    <row r="136" spans="1:9" x14ac:dyDescent="0.3">
      <c r="A136" s="49">
        <v>45677</v>
      </c>
      <c r="B136" t="s">
        <v>13</v>
      </c>
      <c r="C136">
        <v>1040</v>
      </c>
      <c r="D136">
        <v>149</v>
      </c>
      <c r="E136">
        <v>124404</v>
      </c>
      <c r="F136">
        <v>5.23</v>
      </c>
      <c r="G136">
        <v>45380</v>
      </c>
      <c r="H136">
        <v>891</v>
      </c>
      <c r="I136">
        <v>7.1621491270377159E-3</v>
      </c>
    </row>
    <row r="137" spans="1:9" x14ac:dyDescent="0.3">
      <c r="A137" s="49">
        <v>45677</v>
      </c>
      <c r="B137" t="s">
        <v>24</v>
      </c>
      <c r="C137">
        <v>1166</v>
      </c>
      <c r="D137">
        <v>442</v>
      </c>
      <c r="E137">
        <v>336949</v>
      </c>
      <c r="F137">
        <v>4.68</v>
      </c>
      <c r="G137">
        <v>7705</v>
      </c>
      <c r="H137">
        <v>724</v>
      </c>
      <c r="I137">
        <v>2.1486931256659019E-3</v>
      </c>
    </row>
    <row r="138" spans="1:9" x14ac:dyDescent="0.3">
      <c r="A138" s="49">
        <v>45684</v>
      </c>
      <c r="B138" t="s">
        <v>30</v>
      </c>
      <c r="C138">
        <v>115</v>
      </c>
      <c r="D138">
        <v>281</v>
      </c>
      <c r="E138">
        <v>357265</v>
      </c>
      <c r="F138">
        <v>9.23</v>
      </c>
      <c r="G138">
        <v>25525</v>
      </c>
      <c r="H138">
        <v>-166</v>
      </c>
      <c r="I138">
        <v>-4.6464109274628077E-4</v>
      </c>
    </row>
    <row r="139" spans="1:9" x14ac:dyDescent="0.3">
      <c r="A139" s="49">
        <v>45684</v>
      </c>
      <c r="B139" t="s">
        <v>39</v>
      </c>
      <c r="C139">
        <v>1249</v>
      </c>
      <c r="D139">
        <v>351</v>
      </c>
      <c r="E139">
        <v>321307</v>
      </c>
      <c r="F139">
        <v>6.37</v>
      </c>
      <c r="G139">
        <v>20560</v>
      </c>
      <c r="H139">
        <v>898</v>
      </c>
      <c r="I139">
        <v>2.7948348464241365E-3</v>
      </c>
    </row>
    <row r="140" spans="1:9" x14ac:dyDescent="0.3">
      <c r="A140" s="49">
        <v>45684</v>
      </c>
      <c r="B140" t="s">
        <v>13</v>
      </c>
      <c r="C140">
        <v>1501</v>
      </c>
      <c r="D140">
        <v>75</v>
      </c>
      <c r="E140">
        <v>262569</v>
      </c>
      <c r="F140">
        <v>2.0099999999999998</v>
      </c>
      <c r="G140">
        <v>19119</v>
      </c>
      <c r="H140">
        <v>1426</v>
      </c>
      <c r="I140">
        <v>5.4309533874905263E-3</v>
      </c>
    </row>
    <row r="141" spans="1:9" x14ac:dyDescent="0.3">
      <c r="A141" s="49">
        <v>45684</v>
      </c>
      <c r="B141" t="s">
        <v>24</v>
      </c>
      <c r="C141">
        <v>1411</v>
      </c>
      <c r="D141">
        <v>186</v>
      </c>
      <c r="E141">
        <v>461669</v>
      </c>
      <c r="F141">
        <v>3.72</v>
      </c>
      <c r="G141">
        <v>43999</v>
      </c>
      <c r="H141">
        <v>1225</v>
      </c>
      <c r="I141">
        <v>2.6534161921203288E-3</v>
      </c>
    </row>
    <row r="142" spans="1:9" x14ac:dyDescent="0.3">
      <c r="A142" s="49">
        <v>45691</v>
      </c>
      <c r="B142" t="s">
        <v>30</v>
      </c>
      <c r="C142">
        <v>1556</v>
      </c>
      <c r="D142">
        <v>476</v>
      </c>
      <c r="E142">
        <v>351556</v>
      </c>
      <c r="F142">
        <v>3.89</v>
      </c>
      <c r="G142">
        <v>10825</v>
      </c>
      <c r="H142">
        <v>1080</v>
      </c>
      <c r="I142">
        <v>3.0720567989168156E-3</v>
      </c>
    </row>
    <row r="143" spans="1:9" x14ac:dyDescent="0.3">
      <c r="A143" s="49">
        <v>45691</v>
      </c>
      <c r="B143" t="s">
        <v>39</v>
      </c>
      <c r="C143">
        <v>1159</v>
      </c>
      <c r="D143">
        <v>411</v>
      </c>
      <c r="E143">
        <v>135987</v>
      </c>
      <c r="F143">
        <v>8.6999999999999993</v>
      </c>
      <c r="G143">
        <v>40323</v>
      </c>
      <c r="H143">
        <v>748</v>
      </c>
      <c r="I143">
        <v>5.5005257855530306E-3</v>
      </c>
    </row>
    <row r="144" spans="1:9" x14ac:dyDescent="0.3">
      <c r="A144" s="49">
        <v>45691</v>
      </c>
      <c r="B144" t="s">
        <v>13</v>
      </c>
      <c r="C144">
        <v>927</v>
      </c>
      <c r="D144">
        <v>358</v>
      </c>
      <c r="E144">
        <v>177554</v>
      </c>
      <c r="F144">
        <v>6.95</v>
      </c>
      <c r="G144">
        <v>48270</v>
      </c>
      <c r="H144">
        <v>569</v>
      </c>
      <c r="I144">
        <v>3.2046588643454949E-3</v>
      </c>
    </row>
    <row r="145" spans="1:9" x14ac:dyDescent="0.3">
      <c r="A145" s="49">
        <v>45691</v>
      </c>
      <c r="B145" t="s">
        <v>24</v>
      </c>
      <c r="C145">
        <v>152</v>
      </c>
      <c r="D145">
        <v>355</v>
      </c>
      <c r="E145">
        <v>270766</v>
      </c>
      <c r="F145">
        <v>9.48</v>
      </c>
      <c r="G145">
        <v>18001</v>
      </c>
      <c r="H145">
        <v>-203</v>
      </c>
      <c r="I145">
        <v>-7.4972485467156139E-4</v>
      </c>
    </row>
    <row r="146" spans="1:9" x14ac:dyDescent="0.3">
      <c r="A146" s="49">
        <v>45698</v>
      </c>
      <c r="B146" t="s">
        <v>30</v>
      </c>
      <c r="C146">
        <v>1957</v>
      </c>
      <c r="D146">
        <v>234</v>
      </c>
      <c r="E146">
        <v>222126</v>
      </c>
      <c r="F146">
        <v>4.6100000000000003</v>
      </c>
      <c r="G146">
        <v>3314</v>
      </c>
      <c r="H146">
        <v>1723</v>
      </c>
      <c r="I146">
        <v>7.7568587198256845E-3</v>
      </c>
    </row>
    <row r="147" spans="1:9" x14ac:dyDescent="0.3">
      <c r="A147" s="49">
        <v>45698</v>
      </c>
      <c r="B147" t="s">
        <v>39</v>
      </c>
      <c r="C147">
        <v>1294</v>
      </c>
      <c r="D147">
        <v>382</v>
      </c>
      <c r="E147">
        <v>309914</v>
      </c>
      <c r="F147">
        <v>8.0299999999999994</v>
      </c>
      <c r="G147">
        <v>23489</v>
      </c>
      <c r="H147">
        <v>912</v>
      </c>
      <c r="I147">
        <v>2.9427518601934728E-3</v>
      </c>
    </row>
    <row r="148" spans="1:9" x14ac:dyDescent="0.3">
      <c r="A148" s="49">
        <v>45698</v>
      </c>
      <c r="B148" t="s">
        <v>13</v>
      </c>
      <c r="C148">
        <v>1587</v>
      </c>
      <c r="D148">
        <v>385</v>
      </c>
      <c r="E148">
        <v>126582</v>
      </c>
      <c r="F148">
        <v>6.99</v>
      </c>
      <c r="G148">
        <v>42832</v>
      </c>
      <c r="H148">
        <v>1202</v>
      </c>
      <c r="I148">
        <v>9.4958208908059605E-3</v>
      </c>
    </row>
    <row r="149" spans="1:9" x14ac:dyDescent="0.3">
      <c r="A149" s="49">
        <v>45698</v>
      </c>
      <c r="B149" t="s">
        <v>24</v>
      </c>
      <c r="C149">
        <v>1707</v>
      </c>
      <c r="D149">
        <v>263</v>
      </c>
      <c r="E149">
        <v>485280</v>
      </c>
      <c r="F149">
        <v>9.0299999999999994</v>
      </c>
      <c r="G149">
        <v>24494</v>
      </c>
      <c r="H149">
        <v>1444</v>
      </c>
      <c r="I149">
        <v>2.9756017144741179E-3</v>
      </c>
    </row>
    <row r="150" spans="1:9" x14ac:dyDescent="0.3">
      <c r="A150" s="49">
        <v>45705</v>
      </c>
      <c r="B150" t="s">
        <v>30</v>
      </c>
      <c r="C150">
        <v>1138</v>
      </c>
      <c r="D150">
        <v>173</v>
      </c>
      <c r="E150">
        <v>453243</v>
      </c>
      <c r="F150">
        <v>2.86</v>
      </c>
      <c r="G150">
        <v>44097</v>
      </c>
      <c r="H150">
        <v>965</v>
      </c>
      <c r="I150">
        <v>2.1291007252180398E-3</v>
      </c>
    </row>
    <row r="151" spans="1:9" x14ac:dyDescent="0.3">
      <c r="A151" s="49">
        <v>45705</v>
      </c>
      <c r="B151" t="s">
        <v>39</v>
      </c>
      <c r="C151">
        <v>1895</v>
      </c>
      <c r="D151">
        <v>305</v>
      </c>
      <c r="E151">
        <v>104967</v>
      </c>
      <c r="F151">
        <v>3.85</v>
      </c>
      <c r="G151">
        <v>31853</v>
      </c>
      <c r="H151">
        <v>1590</v>
      </c>
      <c r="I151">
        <v>1.5147617822744291E-2</v>
      </c>
    </row>
    <row r="152" spans="1:9" x14ac:dyDescent="0.3">
      <c r="A152" s="49">
        <v>45705</v>
      </c>
      <c r="B152" t="s">
        <v>13</v>
      </c>
      <c r="C152">
        <v>362</v>
      </c>
      <c r="D152">
        <v>399</v>
      </c>
      <c r="E152">
        <v>145608</v>
      </c>
      <c r="F152">
        <v>7.3</v>
      </c>
      <c r="G152">
        <v>37636</v>
      </c>
      <c r="H152">
        <v>-37</v>
      </c>
      <c r="I152">
        <v>-2.5410691720235154E-4</v>
      </c>
    </row>
    <row r="153" spans="1:9" x14ac:dyDescent="0.3">
      <c r="A153" s="49">
        <v>45705</v>
      </c>
      <c r="B153" t="s">
        <v>24</v>
      </c>
      <c r="C153">
        <v>1662</v>
      </c>
      <c r="D153">
        <v>487</v>
      </c>
      <c r="E153">
        <v>105980</v>
      </c>
      <c r="F153">
        <v>9.08</v>
      </c>
      <c r="G153">
        <v>22996</v>
      </c>
      <c r="H153">
        <v>1175</v>
      </c>
      <c r="I153">
        <v>1.1086997546706926E-2</v>
      </c>
    </row>
    <row r="154" spans="1:9" x14ac:dyDescent="0.3">
      <c r="A154" s="49">
        <v>45712</v>
      </c>
      <c r="B154" t="s">
        <v>30</v>
      </c>
      <c r="C154">
        <v>1440</v>
      </c>
      <c r="D154">
        <v>65</v>
      </c>
      <c r="E154">
        <v>126524</v>
      </c>
      <c r="F154">
        <v>4.34</v>
      </c>
      <c r="G154">
        <v>49772</v>
      </c>
      <c r="H154">
        <v>1375</v>
      </c>
      <c r="I154">
        <v>1.0867503398564699E-2</v>
      </c>
    </row>
    <row r="155" spans="1:9" x14ac:dyDescent="0.3">
      <c r="A155" s="49">
        <v>45712</v>
      </c>
      <c r="B155" t="s">
        <v>39</v>
      </c>
      <c r="C155">
        <v>1884</v>
      </c>
      <c r="D155">
        <v>177</v>
      </c>
      <c r="E155">
        <v>230448</v>
      </c>
      <c r="F155">
        <v>7.8</v>
      </c>
      <c r="G155">
        <v>22713</v>
      </c>
      <c r="H155">
        <v>1707</v>
      </c>
      <c r="I155">
        <v>7.4073109768798169E-3</v>
      </c>
    </row>
    <row r="156" spans="1:9" x14ac:dyDescent="0.3">
      <c r="A156" s="49">
        <v>45712</v>
      </c>
      <c r="B156" t="s">
        <v>13</v>
      </c>
      <c r="C156">
        <v>861</v>
      </c>
      <c r="D156">
        <v>153</v>
      </c>
      <c r="E156">
        <v>317007</v>
      </c>
      <c r="F156">
        <v>3.85</v>
      </c>
      <c r="G156">
        <v>8718</v>
      </c>
      <c r="H156">
        <v>708</v>
      </c>
      <c r="I156">
        <v>2.2333891680625349E-3</v>
      </c>
    </row>
    <row r="157" spans="1:9" x14ac:dyDescent="0.3">
      <c r="A157" s="49">
        <v>45712</v>
      </c>
      <c r="B157" t="s">
        <v>24</v>
      </c>
      <c r="C157">
        <v>1063</v>
      </c>
      <c r="D157">
        <v>47</v>
      </c>
      <c r="E157">
        <v>464239</v>
      </c>
      <c r="F157">
        <v>6.58</v>
      </c>
      <c r="G157">
        <v>39031</v>
      </c>
      <c r="H157">
        <v>1016</v>
      </c>
      <c r="I157">
        <v>2.1885278918832756E-3</v>
      </c>
    </row>
    <row r="158" spans="1:9" x14ac:dyDescent="0.3">
      <c r="A158" s="49">
        <v>45719</v>
      </c>
      <c r="B158" t="s">
        <v>30</v>
      </c>
      <c r="C158">
        <v>1371</v>
      </c>
      <c r="D158">
        <v>56</v>
      </c>
      <c r="E158">
        <v>257579</v>
      </c>
      <c r="F158">
        <v>8.6199999999999992</v>
      </c>
      <c r="G158">
        <v>33799</v>
      </c>
      <c r="H158">
        <v>1315</v>
      </c>
      <c r="I158">
        <v>5.1052298518124532E-3</v>
      </c>
    </row>
    <row r="159" spans="1:9" x14ac:dyDescent="0.3">
      <c r="A159" s="49">
        <v>45719</v>
      </c>
      <c r="B159" t="s">
        <v>39</v>
      </c>
      <c r="C159">
        <v>345</v>
      </c>
      <c r="D159">
        <v>464</v>
      </c>
      <c r="E159">
        <v>366881</v>
      </c>
      <c r="F159">
        <v>4.55</v>
      </c>
      <c r="G159">
        <v>20553</v>
      </c>
      <c r="H159">
        <v>-119</v>
      </c>
      <c r="I159">
        <v>-3.2435585380545735E-4</v>
      </c>
    </row>
    <row r="160" spans="1:9" x14ac:dyDescent="0.3">
      <c r="A160" s="49">
        <v>45719</v>
      </c>
      <c r="B160" t="s">
        <v>13</v>
      </c>
      <c r="C160">
        <v>946</v>
      </c>
      <c r="D160">
        <v>47</v>
      </c>
      <c r="E160">
        <v>466575</v>
      </c>
      <c r="F160">
        <v>8.33</v>
      </c>
      <c r="G160">
        <v>10002</v>
      </c>
      <c r="H160">
        <v>899</v>
      </c>
      <c r="I160">
        <v>1.9268070513850934E-3</v>
      </c>
    </row>
    <row r="161" spans="1:9" x14ac:dyDescent="0.3">
      <c r="A161" s="49">
        <v>45719</v>
      </c>
      <c r="B161" t="s">
        <v>24</v>
      </c>
      <c r="C161">
        <v>510</v>
      </c>
      <c r="D161">
        <v>195</v>
      </c>
      <c r="E161">
        <v>224534</v>
      </c>
      <c r="F161">
        <v>9.4</v>
      </c>
      <c r="G161">
        <v>30987</v>
      </c>
      <c r="H161">
        <v>315</v>
      </c>
      <c r="I161">
        <v>1.4029055733207443E-3</v>
      </c>
    </row>
    <row r="162" spans="1:9" x14ac:dyDescent="0.3">
      <c r="A162" s="49">
        <v>45726</v>
      </c>
      <c r="B162" t="s">
        <v>30</v>
      </c>
      <c r="C162">
        <v>393</v>
      </c>
      <c r="D162">
        <v>181</v>
      </c>
      <c r="E162">
        <v>462142</v>
      </c>
      <c r="F162">
        <v>7.23</v>
      </c>
      <c r="G162">
        <v>6296</v>
      </c>
      <c r="H162">
        <v>212</v>
      </c>
      <c r="I162">
        <v>4.5873346287504706E-4</v>
      </c>
    </row>
    <row r="163" spans="1:9" x14ac:dyDescent="0.3">
      <c r="A163" s="49">
        <v>45726</v>
      </c>
      <c r="B163" t="s">
        <v>39</v>
      </c>
      <c r="C163">
        <v>1098</v>
      </c>
      <c r="D163">
        <v>190</v>
      </c>
      <c r="E163">
        <v>340842</v>
      </c>
      <c r="F163">
        <v>9.39</v>
      </c>
      <c r="G163">
        <v>21539</v>
      </c>
      <c r="H163">
        <v>908</v>
      </c>
      <c r="I163">
        <v>2.6639909400836752E-3</v>
      </c>
    </row>
    <row r="164" spans="1:9" x14ac:dyDescent="0.3">
      <c r="A164" s="49">
        <v>45726</v>
      </c>
      <c r="B164" t="s">
        <v>13</v>
      </c>
      <c r="C164">
        <v>1399</v>
      </c>
      <c r="D164">
        <v>49</v>
      </c>
      <c r="E164">
        <v>12471</v>
      </c>
      <c r="F164">
        <v>5.12</v>
      </c>
      <c r="G164">
        <v>14722</v>
      </c>
      <c r="H164">
        <v>1350</v>
      </c>
      <c r="I164">
        <v>0.10825114265095021</v>
      </c>
    </row>
    <row r="165" spans="1:9" x14ac:dyDescent="0.3">
      <c r="A165" s="49">
        <v>45726</v>
      </c>
      <c r="B165" t="s">
        <v>24</v>
      </c>
      <c r="C165">
        <v>1658</v>
      </c>
      <c r="D165">
        <v>416</v>
      </c>
      <c r="E165">
        <v>98397</v>
      </c>
      <c r="F165">
        <v>6.11</v>
      </c>
      <c r="G165">
        <v>11383</v>
      </c>
      <c r="H165">
        <v>1242</v>
      </c>
      <c r="I165">
        <v>1.2622336046830695E-2</v>
      </c>
    </row>
    <row r="166" spans="1:9" x14ac:dyDescent="0.3">
      <c r="A166" s="49">
        <v>45733</v>
      </c>
      <c r="B166" t="s">
        <v>30</v>
      </c>
      <c r="C166">
        <v>1102</v>
      </c>
      <c r="D166">
        <v>422</v>
      </c>
      <c r="E166">
        <v>410330</v>
      </c>
      <c r="F166">
        <v>7.74</v>
      </c>
      <c r="G166">
        <v>9480</v>
      </c>
      <c r="H166">
        <v>680</v>
      </c>
      <c r="I166">
        <v>1.6572027392586454E-3</v>
      </c>
    </row>
    <row r="167" spans="1:9" x14ac:dyDescent="0.3">
      <c r="A167" s="49">
        <v>45733</v>
      </c>
      <c r="B167" t="s">
        <v>39</v>
      </c>
      <c r="C167">
        <v>1358</v>
      </c>
      <c r="D167">
        <v>242</v>
      </c>
      <c r="E167">
        <v>342129</v>
      </c>
      <c r="F167">
        <v>4.9400000000000004</v>
      </c>
      <c r="G167">
        <v>29116</v>
      </c>
      <c r="H167">
        <v>1116</v>
      </c>
      <c r="I167">
        <v>3.2619275185675578E-3</v>
      </c>
    </row>
    <row r="168" spans="1:9" x14ac:dyDescent="0.3">
      <c r="A168" s="49">
        <v>45733</v>
      </c>
      <c r="B168" t="s">
        <v>13</v>
      </c>
      <c r="C168">
        <v>1077</v>
      </c>
      <c r="D168">
        <v>216</v>
      </c>
      <c r="E168">
        <v>12447</v>
      </c>
      <c r="F168">
        <v>1.8</v>
      </c>
      <c r="G168">
        <v>14068</v>
      </c>
      <c r="H168">
        <v>861</v>
      </c>
      <c r="I168">
        <v>6.9173294769824048E-2</v>
      </c>
    </row>
    <row r="169" spans="1:9" x14ac:dyDescent="0.3">
      <c r="A169" s="49">
        <v>45733</v>
      </c>
      <c r="B169" t="s">
        <v>24</v>
      </c>
      <c r="C169">
        <v>1596</v>
      </c>
      <c r="D169">
        <v>211</v>
      </c>
      <c r="E169">
        <v>17380</v>
      </c>
      <c r="F169">
        <v>8.64</v>
      </c>
      <c r="G169">
        <v>35801</v>
      </c>
      <c r="H169">
        <v>1385</v>
      </c>
      <c r="I169">
        <v>7.9689298043728429E-2</v>
      </c>
    </row>
    <row r="170" spans="1:9" x14ac:dyDescent="0.3">
      <c r="A170" s="49">
        <v>45740</v>
      </c>
      <c r="B170" t="s">
        <v>30</v>
      </c>
      <c r="C170">
        <v>490</v>
      </c>
      <c r="D170">
        <v>29</v>
      </c>
      <c r="E170">
        <v>364810</v>
      </c>
      <c r="F170">
        <v>1.53</v>
      </c>
      <c r="G170">
        <v>49077</v>
      </c>
      <c r="H170">
        <v>461</v>
      </c>
      <c r="I170">
        <v>1.2636715002329981E-3</v>
      </c>
    </row>
    <row r="171" spans="1:9" x14ac:dyDescent="0.3">
      <c r="A171" s="49">
        <v>45740</v>
      </c>
      <c r="B171" t="s">
        <v>39</v>
      </c>
      <c r="C171">
        <v>609</v>
      </c>
      <c r="D171">
        <v>135</v>
      </c>
      <c r="E171">
        <v>373606</v>
      </c>
      <c r="F171">
        <v>8.52</v>
      </c>
      <c r="G171">
        <v>21453</v>
      </c>
      <c r="H171">
        <v>474</v>
      </c>
      <c r="I171">
        <v>1.268716241173857E-3</v>
      </c>
    </row>
    <row r="172" spans="1:9" x14ac:dyDescent="0.3">
      <c r="A172" s="49">
        <v>45740</v>
      </c>
      <c r="B172" t="s">
        <v>13</v>
      </c>
      <c r="C172">
        <v>364</v>
      </c>
      <c r="D172">
        <v>72</v>
      </c>
      <c r="E172">
        <v>211090</v>
      </c>
      <c r="F172">
        <v>5.53</v>
      </c>
      <c r="G172">
        <v>21061</v>
      </c>
      <c r="H172">
        <v>292</v>
      </c>
      <c r="I172">
        <v>1.3832962243592781E-3</v>
      </c>
    </row>
    <row r="173" spans="1:9" x14ac:dyDescent="0.3">
      <c r="A173" s="49">
        <v>45740</v>
      </c>
      <c r="B173" t="s">
        <v>24</v>
      </c>
      <c r="C173">
        <v>442</v>
      </c>
      <c r="D173">
        <v>53</v>
      </c>
      <c r="E173">
        <v>441931</v>
      </c>
      <c r="F173">
        <v>1.87</v>
      </c>
      <c r="G173">
        <v>20059</v>
      </c>
      <c r="H173">
        <v>389</v>
      </c>
      <c r="I173">
        <v>8.8022790888170322E-4</v>
      </c>
    </row>
    <row r="174" spans="1:9" x14ac:dyDescent="0.3">
      <c r="A174" s="49">
        <v>45747</v>
      </c>
      <c r="B174" t="s">
        <v>30</v>
      </c>
      <c r="C174">
        <v>1033</v>
      </c>
      <c r="D174">
        <v>392</v>
      </c>
      <c r="E174">
        <v>282780</v>
      </c>
      <c r="F174">
        <v>6.27</v>
      </c>
      <c r="G174">
        <v>23140</v>
      </c>
      <c r="H174">
        <v>641</v>
      </c>
      <c r="I174">
        <v>2.2667798288422093E-3</v>
      </c>
    </row>
    <row r="175" spans="1:9" x14ac:dyDescent="0.3">
      <c r="A175" s="49">
        <v>45747</v>
      </c>
      <c r="B175" t="s">
        <v>39</v>
      </c>
      <c r="C175">
        <v>988</v>
      </c>
      <c r="D175">
        <v>474</v>
      </c>
      <c r="E175">
        <v>370070</v>
      </c>
      <c r="F175">
        <v>9.4600000000000009</v>
      </c>
      <c r="G175">
        <v>23461</v>
      </c>
      <c r="H175">
        <v>514</v>
      </c>
      <c r="I175">
        <v>1.3889264193260734E-3</v>
      </c>
    </row>
    <row r="176" spans="1:9" x14ac:dyDescent="0.3">
      <c r="A176" s="49">
        <v>45747</v>
      </c>
      <c r="B176" t="s">
        <v>13</v>
      </c>
      <c r="C176">
        <v>1946</v>
      </c>
      <c r="D176">
        <v>270</v>
      </c>
      <c r="E176">
        <v>198350</v>
      </c>
      <c r="F176">
        <v>7.5</v>
      </c>
      <c r="G176">
        <v>11805</v>
      </c>
      <c r="H176">
        <v>1676</v>
      </c>
      <c r="I176">
        <v>8.4497101083942528E-3</v>
      </c>
    </row>
    <row r="177" spans="1:9" x14ac:dyDescent="0.3">
      <c r="A177" s="49">
        <v>45747</v>
      </c>
      <c r="B177" t="s">
        <v>24</v>
      </c>
      <c r="C177">
        <v>1957</v>
      </c>
      <c r="D177">
        <v>490</v>
      </c>
      <c r="E177">
        <v>435726</v>
      </c>
      <c r="F177">
        <v>4.7300000000000004</v>
      </c>
      <c r="G177">
        <v>15969</v>
      </c>
      <c r="H177">
        <v>1467</v>
      </c>
      <c r="I177">
        <v>3.3667947287974553E-3</v>
      </c>
    </row>
    <row r="178" spans="1:9" x14ac:dyDescent="0.3">
      <c r="A178" s="49">
        <v>45754</v>
      </c>
      <c r="B178" t="s">
        <v>30</v>
      </c>
      <c r="C178">
        <v>559</v>
      </c>
      <c r="D178">
        <v>392</v>
      </c>
      <c r="E178">
        <v>78789</v>
      </c>
      <c r="F178">
        <v>3.19</v>
      </c>
      <c r="G178">
        <v>2436</v>
      </c>
      <c r="H178">
        <v>167</v>
      </c>
      <c r="I178">
        <v>2.1195852212872357E-3</v>
      </c>
    </row>
    <row r="179" spans="1:9" x14ac:dyDescent="0.3">
      <c r="A179" s="49">
        <v>45754</v>
      </c>
      <c r="B179" t="s">
        <v>39</v>
      </c>
      <c r="C179">
        <v>1307</v>
      </c>
      <c r="D179">
        <v>278</v>
      </c>
      <c r="E179">
        <v>98596</v>
      </c>
      <c r="F179">
        <v>2.4900000000000002</v>
      </c>
      <c r="G179">
        <v>47603</v>
      </c>
      <c r="H179">
        <v>1029</v>
      </c>
      <c r="I179">
        <v>1.0436528865268368E-2</v>
      </c>
    </row>
    <row r="180" spans="1:9" x14ac:dyDescent="0.3">
      <c r="A180" s="49">
        <v>45754</v>
      </c>
      <c r="B180" t="s">
        <v>13</v>
      </c>
      <c r="C180">
        <v>1432</v>
      </c>
      <c r="D180">
        <v>425</v>
      </c>
      <c r="E180">
        <v>29589</v>
      </c>
      <c r="F180">
        <v>4.5</v>
      </c>
      <c r="G180">
        <v>42964</v>
      </c>
      <c r="H180">
        <v>1007</v>
      </c>
      <c r="I180">
        <v>3.4032917638311531E-2</v>
      </c>
    </row>
    <row r="181" spans="1:9" x14ac:dyDescent="0.3">
      <c r="A181" s="49">
        <v>45754</v>
      </c>
      <c r="B181" t="s">
        <v>24</v>
      </c>
      <c r="C181">
        <v>623</v>
      </c>
      <c r="D181">
        <v>414</v>
      </c>
      <c r="E181">
        <v>290354</v>
      </c>
      <c r="F181">
        <v>6.49</v>
      </c>
      <c r="G181">
        <v>39923</v>
      </c>
      <c r="H181">
        <v>209</v>
      </c>
      <c r="I181">
        <v>7.1981098934404211E-4</v>
      </c>
    </row>
    <row r="182" spans="1:9" x14ac:dyDescent="0.3">
      <c r="A182" s="49">
        <v>45761</v>
      </c>
      <c r="B182" t="s">
        <v>30</v>
      </c>
      <c r="C182">
        <v>198</v>
      </c>
      <c r="D182">
        <v>358</v>
      </c>
      <c r="E182">
        <v>66682</v>
      </c>
      <c r="F182">
        <v>6.73</v>
      </c>
      <c r="G182">
        <v>2293</v>
      </c>
      <c r="H182">
        <v>-160</v>
      </c>
      <c r="I182">
        <v>-2.3994481269308059E-3</v>
      </c>
    </row>
    <row r="183" spans="1:9" x14ac:dyDescent="0.3">
      <c r="A183" s="49">
        <v>45761</v>
      </c>
      <c r="B183" t="s">
        <v>39</v>
      </c>
      <c r="C183">
        <v>198</v>
      </c>
      <c r="D183">
        <v>373</v>
      </c>
      <c r="E183">
        <v>70707</v>
      </c>
      <c r="F183">
        <v>4.83</v>
      </c>
      <c r="G183">
        <v>25920</v>
      </c>
      <c r="H183">
        <v>-175</v>
      </c>
      <c r="I183">
        <v>-2.4750024750024749E-3</v>
      </c>
    </row>
    <row r="184" spans="1:9" x14ac:dyDescent="0.3">
      <c r="A184" s="49">
        <v>45761</v>
      </c>
      <c r="B184" t="s">
        <v>13</v>
      </c>
      <c r="C184">
        <v>353</v>
      </c>
      <c r="D184">
        <v>300</v>
      </c>
      <c r="E184">
        <v>142507</v>
      </c>
      <c r="F184">
        <v>5.3</v>
      </c>
      <c r="G184">
        <v>11035</v>
      </c>
      <c r="H184">
        <v>53</v>
      </c>
      <c r="I184">
        <v>3.7191155522184875E-4</v>
      </c>
    </row>
    <row r="185" spans="1:9" x14ac:dyDescent="0.3">
      <c r="A185" s="49">
        <v>45761</v>
      </c>
      <c r="B185" t="s">
        <v>24</v>
      </c>
      <c r="C185">
        <v>520</v>
      </c>
      <c r="D185">
        <v>375</v>
      </c>
      <c r="E185">
        <v>369525</v>
      </c>
      <c r="F185">
        <v>6.54</v>
      </c>
      <c r="G185">
        <v>20733</v>
      </c>
      <c r="H185">
        <v>145</v>
      </c>
      <c r="I185">
        <v>3.9239564305527366E-4</v>
      </c>
    </row>
    <row r="186" spans="1:9" x14ac:dyDescent="0.3">
      <c r="A186" s="49">
        <v>45768</v>
      </c>
      <c r="B186" t="s">
        <v>30</v>
      </c>
      <c r="C186">
        <v>961</v>
      </c>
      <c r="D186">
        <v>358</v>
      </c>
      <c r="E186">
        <v>62942</v>
      </c>
      <c r="F186">
        <v>6.8</v>
      </c>
      <c r="G186">
        <v>18693</v>
      </c>
      <c r="H186">
        <v>603</v>
      </c>
      <c r="I186">
        <v>9.5802484827301332E-3</v>
      </c>
    </row>
    <row r="187" spans="1:9" x14ac:dyDescent="0.3">
      <c r="A187" s="49">
        <v>45768</v>
      </c>
      <c r="B187" t="s">
        <v>39</v>
      </c>
      <c r="C187">
        <v>1375</v>
      </c>
      <c r="D187">
        <v>330</v>
      </c>
      <c r="E187">
        <v>377382</v>
      </c>
      <c r="F187">
        <v>2.6</v>
      </c>
      <c r="G187">
        <v>7875</v>
      </c>
      <c r="H187">
        <v>1045</v>
      </c>
      <c r="I187">
        <v>2.7690774864725927E-3</v>
      </c>
    </row>
    <row r="188" spans="1:9" x14ac:dyDescent="0.3">
      <c r="A188" s="49">
        <v>45768</v>
      </c>
      <c r="B188" t="s">
        <v>13</v>
      </c>
      <c r="C188">
        <v>1147</v>
      </c>
      <c r="D188">
        <v>388</v>
      </c>
      <c r="E188">
        <v>333851</v>
      </c>
      <c r="F188">
        <v>2.44</v>
      </c>
      <c r="G188">
        <v>8471</v>
      </c>
      <c r="H188">
        <v>759</v>
      </c>
      <c r="I188">
        <v>2.2734693021737242E-3</v>
      </c>
    </row>
    <row r="189" spans="1:9" x14ac:dyDescent="0.3">
      <c r="A189" s="49">
        <v>45768</v>
      </c>
      <c r="B189" t="s">
        <v>24</v>
      </c>
      <c r="C189">
        <v>1707</v>
      </c>
      <c r="D189">
        <v>74</v>
      </c>
      <c r="E189">
        <v>270958</v>
      </c>
      <c r="F189">
        <v>3.09</v>
      </c>
      <c r="G189">
        <v>14090</v>
      </c>
      <c r="H189">
        <v>1633</v>
      </c>
      <c r="I189">
        <v>6.0267642955734836E-3</v>
      </c>
    </row>
    <row r="190" spans="1:9" x14ac:dyDescent="0.3">
      <c r="A190" s="49">
        <v>45775</v>
      </c>
      <c r="B190" t="s">
        <v>30</v>
      </c>
      <c r="C190">
        <v>1693</v>
      </c>
      <c r="D190">
        <v>154</v>
      </c>
      <c r="E190">
        <v>445944</v>
      </c>
      <c r="F190">
        <v>5.69</v>
      </c>
      <c r="G190">
        <v>14216</v>
      </c>
      <c r="H190">
        <v>1539</v>
      </c>
      <c r="I190">
        <v>3.4511059684624078E-3</v>
      </c>
    </row>
    <row r="191" spans="1:9" x14ac:dyDescent="0.3">
      <c r="A191" s="49">
        <v>45775</v>
      </c>
      <c r="B191" t="s">
        <v>39</v>
      </c>
      <c r="C191">
        <v>833</v>
      </c>
      <c r="D191">
        <v>380</v>
      </c>
      <c r="E191">
        <v>224830</v>
      </c>
      <c r="F191">
        <v>3.86</v>
      </c>
      <c r="G191">
        <v>3582</v>
      </c>
      <c r="H191">
        <v>453</v>
      </c>
      <c r="I191">
        <v>2.014855668727483E-3</v>
      </c>
    </row>
    <row r="192" spans="1:9" x14ac:dyDescent="0.3">
      <c r="A192" s="49">
        <v>45775</v>
      </c>
      <c r="B192" t="s">
        <v>13</v>
      </c>
      <c r="C192">
        <v>1222</v>
      </c>
      <c r="D192">
        <v>274</v>
      </c>
      <c r="E192">
        <v>487289</v>
      </c>
      <c r="F192">
        <v>3.16</v>
      </c>
      <c r="G192">
        <v>32500</v>
      </c>
      <c r="H192">
        <v>948</v>
      </c>
      <c r="I192">
        <v>1.9454574184929272E-3</v>
      </c>
    </row>
    <row r="193" spans="1:9" x14ac:dyDescent="0.3">
      <c r="A193" s="49">
        <v>45775</v>
      </c>
      <c r="B193" t="s">
        <v>24</v>
      </c>
      <c r="C193">
        <v>777</v>
      </c>
      <c r="D193">
        <v>140</v>
      </c>
      <c r="E193">
        <v>11435</v>
      </c>
      <c r="F193">
        <v>1.6</v>
      </c>
      <c r="G193">
        <v>6832</v>
      </c>
      <c r="H193">
        <v>637</v>
      </c>
      <c r="I193">
        <v>5.5706165282028861E-2</v>
      </c>
    </row>
    <row r="194" spans="1:9" x14ac:dyDescent="0.3">
      <c r="A194" s="49">
        <v>45782</v>
      </c>
      <c r="B194" t="s">
        <v>30</v>
      </c>
      <c r="C194">
        <v>1957</v>
      </c>
      <c r="D194">
        <v>76</v>
      </c>
      <c r="E194">
        <v>447902</v>
      </c>
      <c r="F194">
        <v>6.09</v>
      </c>
      <c r="G194">
        <v>33381</v>
      </c>
      <c r="H194">
        <v>1881</v>
      </c>
      <c r="I194">
        <v>4.1995793722733989E-3</v>
      </c>
    </row>
    <row r="195" spans="1:9" x14ac:dyDescent="0.3">
      <c r="A195" s="49">
        <v>45782</v>
      </c>
      <c r="B195" t="s">
        <v>39</v>
      </c>
      <c r="C195">
        <v>405</v>
      </c>
      <c r="D195">
        <v>66</v>
      </c>
      <c r="E195">
        <v>418696</v>
      </c>
      <c r="F195">
        <v>5.59</v>
      </c>
      <c r="G195">
        <v>48419</v>
      </c>
      <c r="H195">
        <v>339</v>
      </c>
      <c r="I195">
        <v>8.0965664826031301E-4</v>
      </c>
    </row>
    <row r="196" spans="1:9" x14ac:dyDescent="0.3">
      <c r="A196" s="49">
        <v>45782</v>
      </c>
      <c r="B196" t="s">
        <v>13</v>
      </c>
      <c r="C196">
        <v>1581</v>
      </c>
      <c r="D196">
        <v>71</v>
      </c>
      <c r="E196">
        <v>484364</v>
      </c>
      <c r="F196">
        <v>3.55</v>
      </c>
      <c r="G196">
        <v>16149</v>
      </c>
      <c r="H196">
        <v>1510</v>
      </c>
      <c r="I196">
        <v>3.1174901520344203E-3</v>
      </c>
    </row>
    <row r="197" spans="1:9" x14ac:dyDescent="0.3">
      <c r="A197" s="49">
        <v>45782</v>
      </c>
      <c r="B197" t="s">
        <v>24</v>
      </c>
      <c r="C197">
        <v>1035</v>
      </c>
      <c r="D197">
        <v>171</v>
      </c>
      <c r="E197">
        <v>148477</v>
      </c>
      <c r="F197">
        <v>5.21</v>
      </c>
      <c r="G197">
        <v>7541</v>
      </c>
      <c r="H197">
        <v>864</v>
      </c>
      <c r="I197">
        <v>5.8190830903102836E-3</v>
      </c>
    </row>
    <row r="198" spans="1:9" x14ac:dyDescent="0.3">
      <c r="A198" s="49">
        <v>45789</v>
      </c>
      <c r="B198" t="s">
        <v>30</v>
      </c>
      <c r="C198">
        <v>1765</v>
      </c>
      <c r="D198">
        <v>109</v>
      </c>
      <c r="E198">
        <v>468301</v>
      </c>
      <c r="F198">
        <v>1.82</v>
      </c>
      <c r="G198">
        <v>20042</v>
      </c>
      <c r="H198">
        <v>1656</v>
      </c>
      <c r="I198">
        <v>3.5361871958419907E-3</v>
      </c>
    </row>
    <row r="199" spans="1:9" x14ac:dyDescent="0.3">
      <c r="A199" s="49">
        <v>45789</v>
      </c>
      <c r="B199" t="s">
        <v>39</v>
      </c>
      <c r="C199">
        <v>837</v>
      </c>
      <c r="D199">
        <v>430</v>
      </c>
      <c r="E199">
        <v>364820</v>
      </c>
      <c r="F199">
        <v>4</v>
      </c>
      <c r="G199">
        <v>49400</v>
      </c>
      <c r="H199">
        <v>407</v>
      </c>
      <c r="I199">
        <v>1.1156186612576065E-3</v>
      </c>
    </row>
    <row r="200" spans="1:9" x14ac:dyDescent="0.3">
      <c r="A200" s="49">
        <v>45789</v>
      </c>
      <c r="B200" t="s">
        <v>13</v>
      </c>
      <c r="C200">
        <v>337</v>
      </c>
      <c r="D200">
        <v>68</v>
      </c>
      <c r="E200">
        <v>456298</v>
      </c>
      <c r="F200">
        <v>7.57</v>
      </c>
      <c r="G200">
        <v>4007</v>
      </c>
      <c r="H200">
        <v>269</v>
      </c>
      <c r="I200">
        <v>5.8952701962314107E-4</v>
      </c>
    </row>
    <row r="201" spans="1:9" x14ac:dyDescent="0.3">
      <c r="A201" s="49">
        <v>45789</v>
      </c>
      <c r="B201" t="s">
        <v>24</v>
      </c>
      <c r="C201">
        <v>119</v>
      </c>
      <c r="D201">
        <v>456</v>
      </c>
      <c r="E201">
        <v>82558</v>
      </c>
      <c r="F201">
        <v>6.81</v>
      </c>
      <c r="G201">
        <v>12174</v>
      </c>
      <c r="H201">
        <v>-337</v>
      </c>
      <c r="I201">
        <v>-4.0819787301048958E-3</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36B86-7DE9-482C-98D7-434CBD06FBF1}">
  <sheetPr>
    <tabColor rgb="FF7030A0"/>
  </sheetPr>
  <dimension ref="A1:Z5"/>
  <sheetViews>
    <sheetView topLeftCell="J1" zoomScale="87" zoomScaleNormal="87" workbookViewId="0">
      <selection activeCell="P19" sqref="P19"/>
    </sheetView>
  </sheetViews>
  <sheetFormatPr defaultRowHeight="14.4" x14ac:dyDescent="0.3"/>
  <cols>
    <col min="1" max="1" width="17.77734375" bestFit="1" customWidth="1"/>
    <col min="2" max="2" width="12.109375" bestFit="1" customWidth="1"/>
    <col min="3" max="3" width="11.33203125" bestFit="1" customWidth="1"/>
    <col min="4" max="4" width="19.5546875" bestFit="1" customWidth="1"/>
    <col min="5" max="5" width="14.44140625" bestFit="1" customWidth="1"/>
    <col min="6" max="6" width="17.77734375" bestFit="1" customWidth="1"/>
    <col min="7" max="7" width="10.5546875" bestFit="1" customWidth="1"/>
    <col min="8" max="8" width="20.21875" bestFit="1" customWidth="1"/>
    <col min="9" max="9" width="17.44140625" bestFit="1" customWidth="1"/>
    <col min="10" max="10" width="23.33203125" bestFit="1" customWidth="1"/>
    <col min="11" max="11" width="22" bestFit="1" customWidth="1"/>
    <col min="12" max="12" width="18.88671875" bestFit="1" customWidth="1"/>
    <col min="13" max="13" width="37" bestFit="1" customWidth="1"/>
    <col min="14" max="14" width="21.109375" bestFit="1" customWidth="1"/>
    <col min="15" max="15" width="16.77734375" bestFit="1" customWidth="1"/>
    <col min="16" max="16" width="21.5546875" bestFit="1" customWidth="1"/>
    <col min="17" max="17" width="17" bestFit="1" customWidth="1"/>
    <col min="18" max="18" width="22.44140625" bestFit="1" customWidth="1"/>
    <col min="19" max="19" width="18.77734375" bestFit="1" customWidth="1"/>
    <col min="20" max="20" width="9" bestFit="1" customWidth="1"/>
    <col min="21" max="21" width="24.44140625" bestFit="1" customWidth="1"/>
    <col min="22" max="22" width="25.5546875" bestFit="1" customWidth="1"/>
    <col min="23" max="23" width="8.109375" bestFit="1" customWidth="1"/>
    <col min="24" max="24" width="16.44140625" bestFit="1" customWidth="1"/>
    <col min="25" max="25" width="14.77734375" bestFit="1" customWidth="1"/>
    <col min="26" max="26" width="15.5546875" bestFit="1" customWidth="1"/>
  </cols>
  <sheetData>
    <row r="1" spans="1:26" x14ac:dyDescent="0.3">
      <c r="A1" t="s">
        <v>11</v>
      </c>
      <c r="B1" t="s">
        <v>645</v>
      </c>
      <c r="C1" t="s">
        <v>646</v>
      </c>
      <c r="D1" t="s">
        <v>647</v>
      </c>
      <c r="E1" t="s">
        <v>648</v>
      </c>
      <c r="F1" t="s">
        <v>649</v>
      </c>
      <c r="G1" t="s">
        <v>1</v>
      </c>
      <c r="H1" t="s">
        <v>650</v>
      </c>
      <c r="I1" t="s">
        <v>713</v>
      </c>
      <c r="J1" t="s">
        <v>703</v>
      </c>
      <c r="K1" t="s">
        <v>704</v>
      </c>
      <c r="L1" t="s">
        <v>705</v>
      </c>
      <c r="M1" t="s">
        <v>706</v>
      </c>
      <c r="N1" t="s">
        <v>707</v>
      </c>
      <c r="O1" t="s">
        <v>708</v>
      </c>
      <c r="P1" t="s">
        <v>709</v>
      </c>
      <c r="Q1" t="s">
        <v>710</v>
      </c>
      <c r="R1" t="s">
        <v>711</v>
      </c>
      <c r="S1" t="s">
        <v>712</v>
      </c>
      <c r="T1" t="s">
        <v>714</v>
      </c>
      <c r="U1" t="s">
        <v>715</v>
      </c>
      <c r="V1" t="s">
        <v>716</v>
      </c>
      <c r="W1" s="52" t="s">
        <v>718</v>
      </c>
      <c r="X1" t="s">
        <v>719</v>
      </c>
      <c r="Y1" t="s">
        <v>720</v>
      </c>
      <c r="Z1" t="s">
        <v>721</v>
      </c>
    </row>
    <row r="2" spans="1:26" x14ac:dyDescent="0.3">
      <c r="A2" t="s">
        <v>17</v>
      </c>
      <c r="B2" s="49">
        <v>45458</v>
      </c>
      <c r="C2" s="49">
        <v>45488</v>
      </c>
      <c r="D2" t="s">
        <v>651</v>
      </c>
      <c r="E2">
        <v>150000</v>
      </c>
      <c r="F2" t="s">
        <v>30</v>
      </c>
      <c r="G2" t="s">
        <v>39</v>
      </c>
      <c r="H2" s="41" t="s">
        <v>34</v>
      </c>
      <c r="I2" t="s">
        <v>27</v>
      </c>
      <c r="J2">
        <v>2004</v>
      </c>
      <c r="K2">
        <v>9.0759753593429152E-2</v>
      </c>
      <c r="L2" t="s">
        <v>15</v>
      </c>
      <c r="M2" t="s">
        <v>16</v>
      </c>
      <c r="N2">
        <v>1312</v>
      </c>
      <c r="O2">
        <v>310</v>
      </c>
      <c r="P2">
        <v>42654</v>
      </c>
      <c r="Q2">
        <v>9566</v>
      </c>
      <c r="R2">
        <v>1002</v>
      </c>
      <c r="S2">
        <v>2.3491348994232664E-2</v>
      </c>
      <c r="T2">
        <f>Merge2[[#This Row],[post. Total Engagement]]/Merge2[[#This Row],[Total_Budget]]</f>
        <v>1.336E-2</v>
      </c>
      <c r="U2">
        <v>9.0759753593429152E-2</v>
      </c>
      <c r="V2" t="s">
        <v>717</v>
      </c>
      <c r="W2" s="52" t="e">
        <f>Merge2[[#This Row],[current engagement rate]]-Merge2[[#This Row],[previous engagement rate]]</f>
        <v>#VALUE!</v>
      </c>
      <c r="X2">
        <f>Merge2[[#This Row],[week.Total_Followers]]-Merge2[[#This Row],[week.Followers gained]]</f>
        <v>41652</v>
      </c>
      <c r="Y2">
        <f>Merge2[[#This Row],[week.Total_Followers]]</f>
        <v>42654</v>
      </c>
      <c r="Z2">
        <f>Merge2[[#This Row],[Follower after]]-Merge2[[#This Row],[Follower before]]</f>
        <v>1002</v>
      </c>
    </row>
    <row r="3" spans="1:26" x14ac:dyDescent="0.3">
      <c r="A3" t="s">
        <v>28</v>
      </c>
      <c r="B3" s="49">
        <v>45651</v>
      </c>
      <c r="C3" s="49">
        <v>45667</v>
      </c>
      <c r="D3" t="s">
        <v>654</v>
      </c>
      <c r="E3">
        <v>250000</v>
      </c>
      <c r="F3" t="s">
        <v>39</v>
      </c>
      <c r="G3" t="s">
        <v>13</v>
      </c>
      <c r="H3" s="41" t="s">
        <v>552</v>
      </c>
      <c r="J3">
        <v>2942</v>
      </c>
      <c r="K3">
        <v>0.21208106001558846</v>
      </c>
      <c r="L3" t="s">
        <v>41</v>
      </c>
      <c r="M3" t="s">
        <v>84</v>
      </c>
      <c r="N3">
        <v>584</v>
      </c>
      <c r="O3">
        <v>169</v>
      </c>
      <c r="P3">
        <v>146834</v>
      </c>
      <c r="Q3">
        <v>26752</v>
      </c>
      <c r="R3">
        <v>415</v>
      </c>
      <c r="S3">
        <v>2.826320879360366E-3</v>
      </c>
      <c r="T3">
        <f>Merge2[[#This Row],[post. Total Engagement]]/Merge2[[#This Row],[Total_Budget]]</f>
        <v>1.1768000000000001E-2</v>
      </c>
      <c r="U3">
        <v>0.21208106001558846</v>
      </c>
      <c r="V3">
        <v>9.0759753593429152E-2</v>
      </c>
      <c r="W3" s="52">
        <f>Merge2[[#This Row],[current engagement rate]]-Merge2[[#This Row],[previous engagement rate]]</f>
        <v>0.12132130642215931</v>
      </c>
      <c r="X3">
        <f>Merge2[[#This Row],[week.Total_Followers]]-Merge2[[#This Row],[week.Followers gained]]</f>
        <v>146419</v>
      </c>
      <c r="Y3">
        <f>Merge2[[#This Row],[week.Total_Followers]]</f>
        <v>146834</v>
      </c>
      <c r="Z3">
        <f>Merge2[[#This Row],[Follower after]]-Merge2[[#This Row],[Follower before]]</f>
        <v>415</v>
      </c>
    </row>
    <row r="4" spans="1:26" x14ac:dyDescent="0.3">
      <c r="A4" t="s">
        <v>35</v>
      </c>
      <c r="B4" s="49">
        <v>45717</v>
      </c>
      <c r="C4" s="49">
        <v>45747</v>
      </c>
      <c r="D4" t="s">
        <v>655</v>
      </c>
      <c r="E4">
        <v>180000</v>
      </c>
      <c r="F4" t="s">
        <v>30</v>
      </c>
      <c r="G4" t="s">
        <v>13</v>
      </c>
      <c r="H4" s="41" t="s">
        <v>553</v>
      </c>
      <c r="I4" t="s">
        <v>58</v>
      </c>
      <c r="J4">
        <v>3033</v>
      </c>
      <c r="K4">
        <v>0.15105033277870217</v>
      </c>
      <c r="L4" t="s">
        <v>32</v>
      </c>
      <c r="M4" t="s">
        <v>33</v>
      </c>
      <c r="N4">
        <v>584</v>
      </c>
      <c r="O4">
        <v>169</v>
      </c>
      <c r="P4">
        <v>146834</v>
      </c>
      <c r="Q4">
        <v>26752</v>
      </c>
      <c r="R4">
        <v>415</v>
      </c>
      <c r="S4">
        <v>2.826320879360366E-3</v>
      </c>
      <c r="T4">
        <f>Merge2[[#This Row],[post. Total Engagement]]/Merge2[[#This Row],[Total_Budget]]</f>
        <v>1.685E-2</v>
      </c>
      <c r="U4">
        <v>0.15105033277870217</v>
      </c>
      <c r="V4">
        <v>0.21208106001558846</v>
      </c>
      <c r="W4" s="52">
        <f>Merge2[[#This Row],[current engagement rate]]-Merge2[[#This Row],[previous engagement rate]]</f>
        <v>-6.1030727236886295E-2</v>
      </c>
      <c r="X4">
        <f>Merge2[[#This Row],[week.Total_Followers]]-Merge2[[#This Row],[week.Followers gained]]</f>
        <v>146419</v>
      </c>
      <c r="Y4">
        <f>Merge2[[#This Row],[week.Total_Followers]]</f>
        <v>146834</v>
      </c>
      <c r="Z4">
        <f>Merge2[[#This Row],[Follower after]]-Merge2[[#This Row],[Follower before]]</f>
        <v>415</v>
      </c>
    </row>
    <row r="5" spans="1:26" x14ac:dyDescent="0.3">
      <c r="A5" t="s">
        <v>22</v>
      </c>
      <c r="B5" s="49">
        <v>45566</v>
      </c>
      <c r="C5" s="49">
        <v>45596</v>
      </c>
      <c r="D5" t="s">
        <v>652</v>
      </c>
      <c r="E5">
        <v>200000</v>
      </c>
      <c r="F5" t="s">
        <v>30</v>
      </c>
      <c r="G5" t="s">
        <v>24</v>
      </c>
      <c r="H5" s="41" t="s">
        <v>551</v>
      </c>
      <c r="J5">
        <v>1148</v>
      </c>
      <c r="K5">
        <v>0.28245270711024134</v>
      </c>
      <c r="L5" t="s">
        <v>20</v>
      </c>
      <c r="M5" t="s">
        <v>108</v>
      </c>
      <c r="N5">
        <v>1535</v>
      </c>
      <c r="O5">
        <v>445</v>
      </c>
      <c r="P5">
        <v>395536</v>
      </c>
      <c r="Q5">
        <v>30671</v>
      </c>
      <c r="R5">
        <v>1090</v>
      </c>
      <c r="S5">
        <v>2.7557542170624167E-3</v>
      </c>
      <c r="T5">
        <f>Merge2[[#This Row],[post. Total Engagement]]/Merge2[[#This Row],[Total_Budget]]</f>
        <v>5.7400000000000003E-3</v>
      </c>
      <c r="U5">
        <v>0.28245270711024134</v>
      </c>
      <c r="V5">
        <v>0.15105033277870217</v>
      </c>
      <c r="W5" s="52">
        <f>Merge2[[#This Row],[current engagement rate]]-Merge2[[#This Row],[previous engagement rate]]</f>
        <v>0.13140237433153917</v>
      </c>
      <c r="X5">
        <f>Merge2[[#This Row],[week.Total_Followers]]-Merge2[[#This Row],[week.Followers gained]]</f>
        <v>394446</v>
      </c>
      <c r="Y5">
        <f>Merge2[[#This Row],[week.Total_Followers]]</f>
        <v>395536</v>
      </c>
      <c r="Z5">
        <f>Merge2[[#This Row],[Follower after]]-Merge2[[#This Row],[Follower before]]</f>
        <v>1090</v>
      </c>
    </row>
  </sheetData>
  <conditionalFormatting sqref="T2:T5">
    <cfRule type="top10" dxfId="2" priority="3" rank="1"/>
  </conditionalFormatting>
  <conditionalFormatting sqref="W2:W5">
    <cfRule type="top10" dxfId="1" priority="2" rank="1"/>
  </conditionalFormatting>
  <conditionalFormatting sqref="Z1:Z5">
    <cfRule type="top10" dxfId="0" priority="1" rank="1"/>
  </conditionalFormatting>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F5ED2-944D-41AB-B785-1C423AE75091}">
  <sheetPr>
    <tabColor rgb="FF7030A0"/>
  </sheetPr>
  <dimension ref="A1:H8"/>
  <sheetViews>
    <sheetView workbookViewId="0">
      <selection activeCell="H24" sqref="H24"/>
    </sheetView>
  </sheetViews>
  <sheetFormatPr defaultRowHeight="14.4" x14ac:dyDescent="0.3"/>
  <cols>
    <col min="1" max="1" width="16" bestFit="1" customWidth="1"/>
    <col min="2" max="2" width="12.109375" bestFit="1" customWidth="1"/>
    <col min="3" max="3" width="11.5546875" bestFit="1" customWidth="1"/>
    <col min="4" max="4" width="17.6640625" bestFit="1" customWidth="1"/>
    <col min="5" max="5" width="16.33203125" bestFit="1" customWidth="1"/>
    <col min="6" max="6" width="15.77734375" bestFit="1" customWidth="1"/>
    <col min="7" max="7" width="21.88671875" bestFit="1" customWidth="1"/>
  </cols>
  <sheetData>
    <row r="1" spans="1:8" ht="18" x14ac:dyDescent="0.3">
      <c r="A1" s="57" t="s">
        <v>691</v>
      </c>
      <c r="B1" s="57"/>
      <c r="C1" s="57"/>
      <c r="D1" s="57"/>
      <c r="E1" s="57"/>
      <c r="F1" s="57"/>
      <c r="G1" s="57"/>
      <c r="H1" s="57"/>
    </row>
    <row r="3" spans="1:8" x14ac:dyDescent="0.3">
      <c r="A3" s="15" t="s">
        <v>579</v>
      </c>
      <c r="B3" t="s">
        <v>687</v>
      </c>
      <c r="C3" t="s">
        <v>581</v>
      </c>
      <c r="D3" t="s">
        <v>686</v>
      </c>
      <c r="E3" t="s">
        <v>688</v>
      </c>
      <c r="F3" t="s">
        <v>689</v>
      </c>
      <c r="G3" t="s">
        <v>690</v>
      </c>
    </row>
    <row r="4" spans="1:8" x14ac:dyDescent="0.3">
      <c r="A4" s="16" t="s">
        <v>17</v>
      </c>
      <c r="B4" s="17">
        <v>6434</v>
      </c>
      <c r="C4" s="17">
        <v>138793</v>
      </c>
      <c r="D4" s="17">
        <v>1846272</v>
      </c>
      <c r="E4" s="17">
        <v>134.04166666666666</v>
      </c>
      <c r="F4" s="17">
        <v>2891.5208333333335</v>
      </c>
      <c r="G4" s="17">
        <v>38464</v>
      </c>
    </row>
    <row r="5" spans="1:8" x14ac:dyDescent="0.3">
      <c r="A5" s="16" t="s">
        <v>28</v>
      </c>
      <c r="B5" s="17">
        <v>10032</v>
      </c>
      <c r="C5" s="17">
        <v>183346</v>
      </c>
      <c r="D5" s="17">
        <v>2266053</v>
      </c>
      <c r="E5" s="17">
        <v>149.73134328358208</v>
      </c>
      <c r="F5" s="17">
        <v>2736.5074626865671</v>
      </c>
      <c r="G5" s="17">
        <v>33821.686567164179</v>
      </c>
    </row>
    <row r="6" spans="1:8" x14ac:dyDescent="0.3">
      <c r="A6" s="16" t="s">
        <v>22</v>
      </c>
      <c r="B6" s="17">
        <v>9872</v>
      </c>
      <c r="C6" s="17">
        <v>159783</v>
      </c>
      <c r="D6" s="17">
        <v>1986356</v>
      </c>
      <c r="E6" s="17">
        <v>170.20689655172413</v>
      </c>
      <c r="F6" s="17">
        <v>2754.8793103448274</v>
      </c>
      <c r="G6" s="17">
        <v>34247.517241379312</v>
      </c>
    </row>
    <row r="7" spans="1:8" x14ac:dyDescent="0.3">
      <c r="A7" s="16" t="s">
        <v>35</v>
      </c>
      <c r="B7" s="17">
        <v>10672</v>
      </c>
      <c r="C7" s="17">
        <v>186334</v>
      </c>
      <c r="D7" s="17">
        <v>2439664</v>
      </c>
      <c r="E7" s="17">
        <v>152.45714285714286</v>
      </c>
      <c r="F7" s="17">
        <v>2661.9142857142856</v>
      </c>
      <c r="G7" s="17">
        <v>34852.342857142859</v>
      </c>
    </row>
    <row r="8" spans="1:8" x14ac:dyDescent="0.3">
      <c r="A8" s="16" t="s">
        <v>580</v>
      </c>
      <c r="B8" s="17">
        <v>37010</v>
      </c>
      <c r="C8" s="17">
        <v>668256</v>
      </c>
      <c r="D8" s="17">
        <v>8538345</v>
      </c>
      <c r="E8" s="17">
        <v>152.3045267489712</v>
      </c>
      <c r="F8" s="17">
        <v>2750.0246913580245</v>
      </c>
      <c r="G8" s="17">
        <v>35137.222222222219</v>
      </c>
    </row>
  </sheetData>
  <mergeCells count="1">
    <mergeCell ref="A1:H1"/>
  </mergeCell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79DD-6848-42F7-9D71-6B1AF5276C96}">
  <sheetPr>
    <tabColor rgb="FFFF5F5F"/>
  </sheetPr>
  <dimension ref="D5:E10"/>
  <sheetViews>
    <sheetView workbookViewId="0">
      <selection activeCell="E10" sqref="E10"/>
    </sheetView>
  </sheetViews>
  <sheetFormatPr defaultRowHeight="14.4" x14ac:dyDescent="0.3"/>
  <cols>
    <col min="4" max="4" width="52.88671875" bestFit="1" customWidth="1"/>
    <col min="5" max="5" width="120" bestFit="1" customWidth="1"/>
  </cols>
  <sheetData>
    <row r="5" spans="4:5" ht="18" x14ac:dyDescent="0.35">
      <c r="D5" s="53" t="s">
        <v>671</v>
      </c>
      <c r="E5" s="53"/>
    </row>
    <row r="6" spans="4:5" ht="18" x14ac:dyDescent="0.35">
      <c r="D6" s="12" t="s">
        <v>560</v>
      </c>
      <c r="E6" s="13" t="s">
        <v>566</v>
      </c>
    </row>
    <row r="7" spans="4:5" ht="36" x14ac:dyDescent="0.35">
      <c r="D7" s="20" t="s">
        <v>672</v>
      </c>
      <c r="E7" s="10" t="s">
        <v>676</v>
      </c>
    </row>
    <row r="8" spans="4:5" ht="18" x14ac:dyDescent="0.35">
      <c r="D8" s="10" t="s">
        <v>673</v>
      </c>
      <c r="E8" s="10" t="s">
        <v>677</v>
      </c>
    </row>
    <row r="9" spans="4:5" ht="18" x14ac:dyDescent="0.35">
      <c r="D9" s="10" t="s">
        <v>674</v>
      </c>
      <c r="E9" s="10" t="s">
        <v>678</v>
      </c>
    </row>
    <row r="10" spans="4:5" ht="36" x14ac:dyDescent="0.35">
      <c r="D10" s="20" t="s">
        <v>675</v>
      </c>
      <c r="E10" s="43" t="s">
        <v>679</v>
      </c>
    </row>
  </sheetData>
  <mergeCells count="1">
    <mergeCell ref="D5:E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EAB6C-8299-4298-94CF-ED535EC56365}">
  <sheetPr>
    <tabColor rgb="FFFF5F5F"/>
  </sheetPr>
  <dimension ref="A1:I201"/>
  <sheetViews>
    <sheetView topLeftCell="A9" zoomScale="83" zoomScaleNormal="83" workbookViewId="0">
      <selection activeCell="G20" sqref="G20"/>
    </sheetView>
  </sheetViews>
  <sheetFormatPr defaultRowHeight="14.4" x14ac:dyDescent="0.3"/>
  <cols>
    <col min="1" max="1" width="20.21875" bestFit="1" customWidth="1"/>
    <col min="2" max="2" width="12.77734375" bestFit="1" customWidth="1"/>
    <col min="3" max="3" width="18.21875" bestFit="1" customWidth="1"/>
    <col min="4" max="4" width="13.88671875" bestFit="1" customWidth="1"/>
    <col min="5" max="5" width="18.6640625" bestFit="1" customWidth="1"/>
    <col min="6" max="6" width="20.88671875" bestFit="1" customWidth="1"/>
    <col min="7" max="7" width="14.109375" bestFit="1" customWidth="1"/>
    <col min="8" max="8" width="19.5546875" bestFit="1" customWidth="1"/>
    <col min="9" max="9" width="15.88671875" bestFit="1" customWidth="1"/>
    <col min="12" max="12" width="53.5546875" bestFit="1" customWidth="1"/>
    <col min="13" max="13" width="120.5546875" bestFit="1" customWidth="1"/>
  </cols>
  <sheetData>
    <row r="1" spans="1:9" x14ac:dyDescent="0.3">
      <c r="A1" s="7" t="s">
        <v>589</v>
      </c>
      <c r="B1" s="7" t="s">
        <v>1</v>
      </c>
      <c r="C1" s="7" t="s">
        <v>590</v>
      </c>
      <c r="D1" s="7" t="s">
        <v>591</v>
      </c>
      <c r="E1" s="7" t="s">
        <v>592</v>
      </c>
      <c r="F1" s="7" t="s">
        <v>593</v>
      </c>
      <c r="G1" s="7" t="s">
        <v>594</v>
      </c>
      <c r="H1" s="7" t="s">
        <v>613</v>
      </c>
      <c r="I1" s="7" t="s">
        <v>614</v>
      </c>
    </row>
    <row r="2" spans="1:9" x14ac:dyDescent="0.3">
      <c r="A2" s="33" t="s">
        <v>75</v>
      </c>
      <c r="B2" s="34" t="s">
        <v>30</v>
      </c>
      <c r="C2" s="35">
        <v>1957</v>
      </c>
      <c r="D2" s="35">
        <v>76</v>
      </c>
      <c r="E2" s="35">
        <v>447902</v>
      </c>
      <c r="F2" s="32">
        <v>6.09</v>
      </c>
      <c r="G2" s="35">
        <v>33381</v>
      </c>
      <c r="H2" s="17">
        <f>Table25[[#This Row],[New_Followers]]-Table25[[#This Row],[Unfollows]]</f>
        <v>1881</v>
      </c>
      <c r="I2" s="36">
        <f>Table25[[#This Row],[Followers gained]]/Table25[[#This Row],[Total_Followers]]</f>
        <v>4.1995793722733989E-3</v>
      </c>
    </row>
    <row r="3" spans="1:9" x14ac:dyDescent="0.3">
      <c r="A3" s="33" t="s">
        <v>600</v>
      </c>
      <c r="B3" s="34" t="s">
        <v>30</v>
      </c>
      <c r="C3" s="35">
        <v>1939</v>
      </c>
      <c r="D3" s="35">
        <v>67</v>
      </c>
      <c r="E3" s="35">
        <v>187183</v>
      </c>
      <c r="F3" s="32">
        <v>6.25</v>
      </c>
      <c r="G3" s="35">
        <v>41215</v>
      </c>
      <c r="H3" s="17">
        <f>Table25[[#This Row],[New_Followers]]-Table25[[#This Row],[Unfollows]]</f>
        <v>1872</v>
      </c>
      <c r="I3" s="36">
        <f>Table25[[#This Row],[Followers gained]]/Table25[[#This Row],[Total_Followers]]</f>
        <v>1.0000908202133741E-2</v>
      </c>
    </row>
    <row r="4" spans="1:9" x14ac:dyDescent="0.3">
      <c r="A4" s="33" t="s">
        <v>307</v>
      </c>
      <c r="B4" s="34" t="s">
        <v>30</v>
      </c>
      <c r="C4" s="35">
        <v>1960</v>
      </c>
      <c r="D4" s="35">
        <v>115</v>
      </c>
      <c r="E4" s="35">
        <v>154169</v>
      </c>
      <c r="F4" s="32">
        <v>3.74</v>
      </c>
      <c r="G4" s="35">
        <v>10740</v>
      </c>
      <c r="H4" s="17">
        <f>Table25[[#This Row],[New_Followers]]-Table25[[#This Row],[Unfollows]]</f>
        <v>1845</v>
      </c>
      <c r="I4" s="36">
        <f>Table25[[#This Row],[Followers gained]]/Table25[[#This Row],[Total_Followers]]</f>
        <v>1.1967386439556591E-2</v>
      </c>
    </row>
    <row r="5" spans="1:9" x14ac:dyDescent="0.3">
      <c r="A5" s="33" t="s">
        <v>604</v>
      </c>
      <c r="B5" s="34" t="s">
        <v>39</v>
      </c>
      <c r="C5" s="35">
        <v>1980</v>
      </c>
      <c r="D5" s="35">
        <v>204</v>
      </c>
      <c r="E5" s="35">
        <v>379431</v>
      </c>
      <c r="F5" s="32">
        <v>3.09</v>
      </c>
      <c r="G5" s="35">
        <v>25140</v>
      </c>
      <c r="H5" s="17">
        <f>Table25[[#This Row],[New_Followers]]-Table25[[#This Row],[Unfollows]]</f>
        <v>1776</v>
      </c>
      <c r="I5" s="36">
        <f>Table25[[#This Row],[Followers gained]]/Table25[[#This Row],[Total_Followers]]</f>
        <v>4.6806929323118035E-3</v>
      </c>
    </row>
    <row r="6" spans="1:9" x14ac:dyDescent="0.3">
      <c r="A6" s="33" t="s">
        <v>604</v>
      </c>
      <c r="B6" s="34" t="s">
        <v>30</v>
      </c>
      <c r="C6" s="35">
        <v>1814</v>
      </c>
      <c r="D6" s="35">
        <v>49</v>
      </c>
      <c r="E6" s="35">
        <v>140804</v>
      </c>
      <c r="F6" s="32">
        <v>1.76</v>
      </c>
      <c r="G6" s="35">
        <v>4313</v>
      </c>
      <c r="H6" s="17">
        <f>Table25[[#This Row],[New_Followers]]-Table25[[#This Row],[Unfollows]]</f>
        <v>1765</v>
      </c>
      <c r="I6" s="36">
        <f>Table25[[#This Row],[Followers gained]]/Table25[[#This Row],[Total_Followers]]</f>
        <v>1.253515525127127E-2</v>
      </c>
    </row>
    <row r="7" spans="1:9" x14ac:dyDescent="0.3">
      <c r="A7" s="33" t="s">
        <v>213</v>
      </c>
      <c r="B7" s="34" t="s">
        <v>13</v>
      </c>
      <c r="C7" s="35">
        <v>1937</v>
      </c>
      <c r="D7" s="35">
        <v>210</v>
      </c>
      <c r="E7" s="35">
        <v>20607</v>
      </c>
      <c r="F7" s="32">
        <v>4.2</v>
      </c>
      <c r="G7" s="35">
        <v>20861</v>
      </c>
      <c r="H7" s="17">
        <f>Table25[[#This Row],[New_Followers]]-Table25[[#This Row],[Unfollows]]</f>
        <v>1727</v>
      </c>
      <c r="I7" s="36">
        <f>Table25[[#This Row],[Followers gained]]/Table25[[#This Row],[Total_Followers]]</f>
        <v>8.3806473528412681E-2</v>
      </c>
    </row>
    <row r="8" spans="1:9" x14ac:dyDescent="0.3">
      <c r="A8" s="33" t="s">
        <v>241</v>
      </c>
      <c r="B8" s="34" t="s">
        <v>30</v>
      </c>
      <c r="C8" s="35">
        <v>1957</v>
      </c>
      <c r="D8" s="35">
        <v>234</v>
      </c>
      <c r="E8" s="35">
        <v>222126</v>
      </c>
      <c r="F8" s="32">
        <v>4.6100000000000003</v>
      </c>
      <c r="G8" s="35">
        <v>3314</v>
      </c>
      <c r="H8" s="17">
        <f>Table25[[#This Row],[New_Followers]]-Table25[[#This Row],[Unfollows]]</f>
        <v>1723</v>
      </c>
      <c r="I8" s="36">
        <f>Table25[[#This Row],[Followers gained]]/Table25[[#This Row],[Total_Followers]]</f>
        <v>7.7568587198256845E-3</v>
      </c>
    </row>
    <row r="9" spans="1:9" x14ac:dyDescent="0.3">
      <c r="A9" s="33" t="s">
        <v>605</v>
      </c>
      <c r="B9" s="34" t="s">
        <v>30</v>
      </c>
      <c r="C9" s="35">
        <v>1855</v>
      </c>
      <c r="D9" s="35">
        <v>133</v>
      </c>
      <c r="E9" s="35">
        <v>349413</v>
      </c>
      <c r="F9" s="32">
        <v>3.3</v>
      </c>
      <c r="G9" s="35">
        <v>14548</v>
      </c>
      <c r="H9" s="17">
        <f>Table25[[#This Row],[New_Followers]]-Table25[[#This Row],[Unfollows]]</f>
        <v>1722</v>
      </c>
      <c r="I9" s="36">
        <f>Table25[[#This Row],[Followers gained]]/Table25[[#This Row],[Total_Followers]]</f>
        <v>4.9282654051223049E-3</v>
      </c>
    </row>
    <row r="10" spans="1:9" x14ac:dyDescent="0.3">
      <c r="A10" s="33" t="s">
        <v>142</v>
      </c>
      <c r="B10" s="34" t="s">
        <v>39</v>
      </c>
      <c r="C10" s="35">
        <v>1884</v>
      </c>
      <c r="D10" s="35">
        <v>177</v>
      </c>
      <c r="E10" s="35">
        <v>230448</v>
      </c>
      <c r="F10" s="32">
        <v>7.8</v>
      </c>
      <c r="G10" s="35">
        <v>22713</v>
      </c>
      <c r="H10" s="17">
        <f>Table25[[#This Row],[New_Followers]]-Table25[[#This Row],[Unfollows]]</f>
        <v>1707</v>
      </c>
      <c r="I10" s="36">
        <f>Table25[[#This Row],[Followers gained]]/Table25[[#This Row],[Total_Followers]]</f>
        <v>7.4073109768798169E-3</v>
      </c>
    </row>
    <row r="11" spans="1:9" x14ac:dyDescent="0.3">
      <c r="A11" s="33" t="s">
        <v>599</v>
      </c>
      <c r="B11" s="34" t="s">
        <v>24</v>
      </c>
      <c r="C11" s="35">
        <v>1918</v>
      </c>
      <c r="D11" s="35">
        <v>212</v>
      </c>
      <c r="E11" s="35">
        <v>94360</v>
      </c>
      <c r="F11" s="32">
        <v>7.36</v>
      </c>
      <c r="G11" s="35">
        <v>36851</v>
      </c>
      <c r="H11" s="17">
        <f>Table25[[#This Row],[New_Followers]]-Table25[[#This Row],[Unfollows]]</f>
        <v>1706</v>
      </c>
      <c r="I11" s="36">
        <f>Table25[[#This Row],[Followers gained]]/Table25[[#This Row],[Total_Followers]]</f>
        <v>1.8079694785926241E-2</v>
      </c>
    </row>
    <row r="12" spans="1:9" x14ac:dyDescent="0.3">
      <c r="A12" s="33" t="s">
        <v>603</v>
      </c>
      <c r="B12" s="34" t="s">
        <v>39</v>
      </c>
      <c r="C12" s="35">
        <v>1902</v>
      </c>
      <c r="D12" s="35">
        <v>196</v>
      </c>
      <c r="E12" s="35">
        <v>470269</v>
      </c>
      <c r="F12" s="32">
        <v>4.79</v>
      </c>
      <c r="G12" s="35">
        <v>26103</v>
      </c>
      <c r="H12" s="17">
        <f>Table25[[#This Row],[New_Followers]]-Table25[[#This Row],[Unfollows]]</f>
        <v>1706</v>
      </c>
      <c r="I12" s="36">
        <f>Table25[[#This Row],[Followers gained]]/Table25[[#This Row],[Total_Followers]]</f>
        <v>3.6277109484146308E-3</v>
      </c>
    </row>
    <row r="13" spans="1:9" x14ac:dyDescent="0.3">
      <c r="A13" s="33" t="s">
        <v>124</v>
      </c>
      <c r="B13" s="34" t="s">
        <v>30</v>
      </c>
      <c r="C13" s="35">
        <v>1854</v>
      </c>
      <c r="D13" s="35">
        <v>161</v>
      </c>
      <c r="E13" s="35">
        <v>282466</v>
      </c>
      <c r="F13" s="32">
        <v>5.17</v>
      </c>
      <c r="G13" s="35">
        <v>1810</v>
      </c>
      <c r="H13" s="17">
        <f>Table25[[#This Row],[New_Followers]]-Table25[[#This Row],[Unfollows]]</f>
        <v>1693</v>
      </c>
      <c r="I13" s="36">
        <f>Table25[[#This Row],[Followers gained]]/Table25[[#This Row],[Total_Followers]]</f>
        <v>5.9936417126309005E-3</v>
      </c>
    </row>
    <row r="14" spans="1:9" x14ac:dyDescent="0.3">
      <c r="A14" s="33" t="s">
        <v>598</v>
      </c>
      <c r="B14" s="34" t="s">
        <v>13</v>
      </c>
      <c r="C14" s="35">
        <v>1911</v>
      </c>
      <c r="D14" s="35">
        <v>231</v>
      </c>
      <c r="E14" s="35">
        <v>268516</v>
      </c>
      <c r="F14" s="32">
        <v>8.5500000000000007</v>
      </c>
      <c r="G14" s="35">
        <v>24018</v>
      </c>
      <c r="H14" s="17">
        <f>Table25[[#This Row],[New_Followers]]-Table25[[#This Row],[Unfollows]]</f>
        <v>1680</v>
      </c>
      <c r="I14" s="36">
        <f>Table25[[#This Row],[Followers gained]]/Table25[[#This Row],[Total_Followers]]</f>
        <v>6.2566104068286429E-3</v>
      </c>
    </row>
    <row r="15" spans="1:9" x14ac:dyDescent="0.3">
      <c r="A15" s="33" t="s">
        <v>610</v>
      </c>
      <c r="B15" s="34" t="s">
        <v>13</v>
      </c>
      <c r="C15" s="35">
        <v>1946</v>
      </c>
      <c r="D15" s="35">
        <v>270</v>
      </c>
      <c r="E15" s="35">
        <v>198350</v>
      </c>
      <c r="F15" s="32">
        <v>7.5</v>
      </c>
      <c r="G15" s="35">
        <v>11805</v>
      </c>
      <c r="H15" s="17">
        <f>Table25[[#This Row],[New_Followers]]-Table25[[#This Row],[Unfollows]]</f>
        <v>1676</v>
      </c>
      <c r="I15" s="36">
        <f>Table25[[#This Row],[Followers gained]]/Table25[[#This Row],[Total_Followers]]</f>
        <v>8.4497101083942528E-3</v>
      </c>
    </row>
    <row r="16" spans="1:9" x14ac:dyDescent="0.3">
      <c r="A16" s="33" t="s">
        <v>595</v>
      </c>
      <c r="B16" s="34" t="s">
        <v>30</v>
      </c>
      <c r="C16" s="35">
        <v>1757</v>
      </c>
      <c r="D16" s="35">
        <v>85</v>
      </c>
      <c r="E16" s="35">
        <v>58223</v>
      </c>
      <c r="F16" s="32">
        <v>8.74</v>
      </c>
      <c r="G16" s="35">
        <v>22728</v>
      </c>
      <c r="H16" s="17">
        <f>Table25[[#This Row],[New_Followers]]-Table25[[#This Row],[Unfollows]]</f>
        <v>1672</v>
      </c>
      <c r="I16" s="36">
        <f>Table25[[#This Row],[Followers gained]]/Table25[[#This Row],[Total_Followers]]</f>
        <v>2.8717173625543171E-2</v>
      </c>
    </row>
    <row r="17" spans="1:9" x14ac:dyDescent="0.3">
      <c r="A17" s="33" t="s">
        <v>44</v>
      </c>
      <c r="B17" s="34" t="s">
        <v>39</v>
      </c>
      <c r="C17" s="35">
        <v>1779</v>
      </c>
      <c r="D17" s="35">
        <v>109</v>
      </c>
      <c r="E17" s="35">
        <v>26295</v>
      </c>
      <c r="F17" s="32">
        <v>9.1199999999999992</v>
      </c>
      <c r="G17" s="35">
        <v>30635</v>
      </c>
      <c r="H17" s="17">
        <f>Table25[[#This Row],[New_Followers]]-Table25[[#This Row],[Unfollows]]</f>
        <v>1670</v>
      </c>
      <c r="I17" s="36">
        <f>Table25[[#This Row],[Followers gained]]/Table25[[#This Row],[Total_Followers]]</f>
        <v>6.3510173036698994E-2</v>
      </c>
    </row>
    <row r="18" spans="1:9" x14ac:dyDescent="0.3">
      <c r="A18" s="33" t="s">
        <v>77</v>
      </c>
      <c r="B18" s="34" t="s">
        <v>13</v>
      </c>
      <c r="C18" s="35">
        <v>1751</v>
      </c>
      <c r="D18" s="35">
        <v>86</v>
      </c>
      <c r="E18" s="35">
        <v>188655</v>
      </c>
      <c r="F18" s="32">
        <v>7.24</v>
      </c>
      <c r="G18" s="35">
        <v>22206</v>
      </c>
      <c r="H18" s="17">
        <f>Table25[[#This Row],[New_Followers]]-Table25[[#This Row],[Unfollows]]</f>
        <v>1665</v>
      </c>
      <c r="I18" s="36">
        <f>Table25[[#This Row],[Followers gained]]/Table25[[#This Row],[Total_Followers]]</f>
        <v>8.825634093981077E-3</v>
      </c>
    </row>
    <row r="19" spans="1:9" x14ac:dyDescent="0.3">
      <c r="A19" s="33" t="s">
        <v>600</v>
      </c>
      <c r="B19" s="34" t="s">
        <v>39</v>
      </c>
      <c r="C19" s="35">
        <v>1929</v>
      </c>
      <c r="D19" s="35">
        <v>267</v>
      </c>
      <c r="E19" s="35">
        <v>379363</v>
      </c>
      <c r="F19" s="32">
        <v>1.75</v>
      </c>
      <c r="G19" s="35">
        <v>43836</v>
      </c>
      <c r="H19" s="17">
        <f>Table25[[#This Row],[New_Followers]]-Table25[[#This Row],[Unfollows]]</f>
        <v>1662</v>
      </c>
      <c r="I19" s="36">
        <f>Table25[[#This Row],[Followers gained]]/Table25[[#This Row],[Total_Followers]]</f>
        <v>4.3810281972675247E-3</v>
      </c>
    </row>
    <row r="20" spans="1:9" x14ac:dyDescent="0.3">
      <c r="A20" s="33" t="s">
        <v>194</v>
      </c>
      <c r="B20" s="34" t="s">
        <v>24</v>
      </c>
      <c r="C20" s="35">
        <v>1814</v>
      </c>
      <c r="D20" s="35">
        <v>157</v>
      </c>
      <c r="E20" s="35">
        <v>305827</v>
      </c>
      <c r="F20" s="32">
        <v>1.99</v>
      </c>
      <c r="G20" s="35">
        <v>46643</v>
      </c>
      <c r="H20" s="17">
        <f>Table25[[#This Row],[New_Followers]]-Table25[[#This Row],[Unfollows]]</f>
        <v>1657</v>
      </c>
      <c r="I20" s="36">
        <f>Table25[[#This Row],[Followers gained]]/Table25[[#This Row],[Total_Followers]]</f>
        <v>5.4180958515762179E-3</v>
      </c>
    </row>
    <row r="21" spans="1:9" x14ac:dyDescent="0.3">
      <c r="A21" s="33" t="s">
        <v>25</v>
      </c>
      <c r="B21" s="34" t="s">
        <v>30</v>
      </c>
      <c r="C21" s="35">
        <v>1765</v>
      </c>
      <c r="D21" s="35">
        <v>109</v>
      </c>
      <c r="E21" s="35">
        <v>468301</v>
      </c>
      <c r="F21" s="32">
        <v>1.82</v>
      </c>
      <c r="G21" s="35">
        <v>20042</v>
      </c>
      <c r="H21" s="17">
        <f>Table25[[#This Row],[New_Followers]]-Table25[[#This Row],[Unfollows]]</f>
        <v>1656</v>
      </c>
      <c r="I21" s="36">
        <f>Table25[[#This Row],[Followers gained]]/Table25[[#This Row],[Total_Followers]]</f>
        <v>3.5361871958419907E-3</v>
      </c>
    </row>
    <row r="22" spans="1:9" x14ac:dyDescent="0.3">
      <c r="A22" s="33" t="s">
        <v>612</v>
      </c>
      <c r="B22" s="34" t="s">
        <v>24</v>
      </c>
      <c r="C22" s="35">
        <v>1707</v>
      </c>
      <c r="D22" s="35">
        <v>74</v>
      </c>
      <c r="E22" s="35">
        <v>270958</v>
      </c>
      <c r="F22" s="32">
        <v>3.09</v>
      </c>
      <c r="G22" s="35">
        <v>14090</v>
      </c>
      <c r="H22" s="17">
        <f>Table25[[#This Row],[New_Followers]]-Table25[[#This Row],[Unfollows]]</f>
        <v>1633</v>
      </c>
      <c r="I22" s="36">
        <f>Table25[[#This Row],[Followers gained]]/Table25[[#This Row],[Total_Followers]]</f>
        <v>6.0267642955734836E-3</v>
      </c>
    </row>
    <row r="23" spans="1:9" x14ac:dyDescent="0.3">
      <c r="A23" s="33" t="s">
        <v>603</v>
      </c>
      <c r="B23" s="34" t="s">
        <v>30</v>
      </c>
      <c r="C23" s="35">
        <v>1696</v>
      </c>
      <c r="D23" s="35">
        <v>71</v>
      </c>
      <c r="E23" s="35">
        <v>421957</v>
      </c>
      <c r="F23" s="32">
        <v>3.79</v>
      </c>
      <c r="G23" s="35">
        <v>36103</v>
      </c>
      <c r="H23" s="17">
        <f>Table25[[#This Row],[New_Followers]]-Table25[[#This Row],[Unfollows]]</f>
        <v>1625</v>
      </c>
      <c r="I23" s="36">
        <f>Table25[[#This Row],[Followers gained]]/Table25[[#This Row],[Total_Followers]]</f>
        <v>3.8511033114748661E-3</v>
      </c>
    </row>
    <row r="24" spans="1:9" x14ac:dyDescent="0.3">
      <c r="A24" s="33" t="s">
        <v>73</v>
      </c>
      <c r="B24" s="34" t="s">
        <v>30</v>
      </c>
      <c r="C24" s="35">
        <v>1685</v>
      </c>
      <c r="D24" s="35">
        <v>76</v>
      </c>
      <c r="E24" s="35">
        <v>453799</v>
      </c>
      <c r="F24" s="32">
        <v>5.71</v>
      </c>
      <c r="G24" s="35">
        <v>24913</v>
      </c>
      <c r="H24" s="17">
        <f>Table25[[#This Row],[New_Followers]]-Table25[[#This Row],[Unfollows]]</f>
        <v>1609</v>
      </c>
      <c r="I24" s="36">
        <f>Table25[[#This Row],[Followers gained]]/Table25[[#This Row],[Total_Followers]]</f>
        <v>3.5456226214689766E-3</v>
      </c>
    </row>
    <row r="25" spans="1:9" x14ac:dyDescent="0.3">
      <c r="A25" s="33" t="s">
        <v>274</v>
      </c>
      <c r="B25" s="34" t="s">
        <v>13</v>
      </c>
      <c r="C25" s="35">
        <v>1821</v>
      </c>
      <c r="D25" s="35">
        <v>218</v>
      </c>
      <c r="E25" s="35">
        <v>439080</v>
      </c>
      <c r="F25" s="32">
        <v>5.68</v>
      </c>
      <c r="G25" s="35">
        <v>36095</v>
      </c>
      <c r="H25" s="17">
        <f>Table25[[#This Row],[New_Followers]]-Table25[[#This Row],[Unfollows]]</f>
        <v>1603</v>
      </c>
      <c r="I25" s="36">
        <f>Table25[[#This Row],[Followers gained]]/Table25[[#This Row],[Total_Followers]]</f>
        <v>3.6508153411678964E-3</v>
      </c>
    </row>
    <row r="26" spans="1:9" x14ac:dyDescent="0.3">
      <c r="A26" s="33" t="s">
        <v>122</v>
      </c>
      <c r="B26" s="34" t="s">
        <v>39</v>
      </c>
      <c r="C26" s="35">
        <v>1895</v>
      </c>
      <c r="D26" s="35">
        <v>305</v>
      </c>
      <c r="E26" s="35">
        <v>104967</v>
      </c>
      <c r="F26" s="32">
        <v>3.85</v>
      </c>
      <c r="G26" s="35">
        <v>31853</v>
      </c>
      <c r="H26" s="17">
        <f>Table25[[#This Row],[New_Followers]]-Table25[[#This Row],[Unfollows]]</f>
        <v>1590</v>
      </c>
      <c r="I26" s="36">
        <f>Table25[[#This Row],[Followers gained]]/Table25[[#This Row],[Total_Followers]]</f>
        <v>1.5147617822744291E-2</v>
      </c>
    </row>
    <row r="27" spans="1:9" x14ac:dyDescent="0.3">
      <c r="A27" s="33" t="s">
        <v>14</v>
      </c>
      <c r="B27" s="34" t="s">
        <v>24</v>
      </c>
      <c r="C27" s="35">
        <v>1900</v>
      </c>
      <c r="D27" s="35">
        <v>311</v>
      </c>
      <c r="E27" s="35">
        <v>25177</v>
      </c>
      <c r="F27" s="32">
        <v>2.89</v>
      </c>
      <c r="G27" s="35">
        <v>14154</v>
      </c>
      <c r="H27" s="17">
        <f>Table25[[#This Row],[New_Followers]]-Table25[[#This Row],[Unfollows]]</f>
        <v>1589</v>
      </c>
      <c r="I27" s="36">
        <f>Table25[[#This Row],[Followers gained]]/Table25[[#This Row],[Total_Followers]]</f>
        <v>6.3113158835445049E-2</v>
      </c>
    </row>
    <row r="28" spans="1:9" x14ac:dyDescent="0.3">
      <c r="A28" s="33" t="s">
        <v>83</v>
      </c>
      <c r="B28" s="34" t="s">
        <v>30</v>
      </c>
      <c r="C28" s="35">
        <v>1592</v>
      </c>
      <c r="D28" s="35">
        <v>20</v>
      </c>
      <c r="E28" s="35">
        <v>378054</v>
      </c>
      <c r="F28" s="32">
        <v>9.09</v>
      </c>
      <c r="G28" s="35">
        <v>26663</v>
      </c>
      <c r="H28" s="17">
        <f>Table25[[#This Row],[New_Followers]]-Table25[[#This Row],[Unfollows]]</f>
        <v>1572</v>
      </c>
      <c r="I28" s="36">
        <f>Table25[[#This Row],[Followers gained]]/Table25[[#This Row],[Total_Followers]]</f>
        <v>4.1581361392816901E-3</v>
      </c>
    </row>
    <row r="29" spans="1:9" x14ac:dyDescent="0.3">
      <c r="A29" s="33" t="s">
        <v>606</v>
      </c>
      <c r="B29" s="34" t="s">
        <v>30</v>
      </c>
      <c r="C29" s="35">
        <v>1748</v>
      </c>
      <c r="D29" s="35">
        <v>176</v>
      </c>
      <c r="E29" s="35">
        <v>383681</v>
      </c>
      <c r="F29" s="32">
        <v>9.24</v>
      </c>
      <c r="G29" s="35">
        <v>43122</v>
      </c>
      <c r="H29" s="17">
        <f>Table25[[#This Row],[New_Followers]]-Table25[[#This Row],[Unfollows]]</f>
        <v>1572</v>
      </c>
      <c r="I29" s="36">
        <f>Table25[[#This Row],[Followers gained]]/Table25[[#This Row],[Total_Followers]]</f>
        <v>4.0971536250166149E-3</v>
      </c>
    </row>
    <row r="30" spans="1:9" x14ac:dyDescent="0.3">
      <c r="A30" s="33" t="s">
        <v>354</v>
      </c>
      <c r="B30" s="34" t="s">
        <v>30</v>
      </c>
      <c r="C30" s="35">
        <v>1693</v>
      </c>
      <c r="D30" s="35">
        <v>154</v>
      </c>
      <c r="E30" s="35">
        <v>445944</v>
      </c>
      <c r="F30" s="32">
        <v>5.69</v>
      </c>
      <c r="G30" s="35">
        <v>14216</v>
      </c>
      <c r="H30" s="17">
        <f>Table25[[#This Row],[New_Followers]]-Table25[[#This Row],[Unfollows]]</f>
        <v>1539</v>
      </c>
      <c r="I30" s="36">
        <f>Table25[[#This Row],[Followers gained]]/Table25[[#This Row],[Total_Followers]]</f>
        <v>3.4511059684624078E-3</v>
      </c>
    </row>
    <row r="31" spans="1:9" x14ac:dyDescent="0.3">
      <c r="A31" s="33" t="s">
        <v>604</v>
      </c>
      <c r="B31" s="34" t="s">
        <v>13</v>
      </c>
      <c r="C31" s="35">
        <v>1786</v>
      </c>
      <c r="D31" s="35">
        <v>257</v>
      </c>
      <c r="E31" s="35">
        <v>274831</v>
      </c>
      <c r="F31" s="32">
        <v>4.68</v>
      </c>
      <c r="G31" s="35">
        <v>9118</v>
      </c>
      <c r="H31" s="17">
        <f>Table25[[#This Row],[New_Followers]]-Table25[[#This Row],[Unfollows]]</f>
        <v>1529</v>
      </c>
      <c r="I31" s="36">
        <f>Table25[[#This Row],[Followers gained]]/Table25[[#This Row],[Total_Followers]]</f>
        <v>5.5634189738421064E-3</v>
      </c>
    </row>
    <row r="32" spans="1:9" x14ac:dyDescent="0.3">
      <c r="A32" s="33" t="s">
        <v>75</v>
      </c>
      <c r="B32" s="34" t="s">
        <v>13</v>
      </c>
      <c r="C32" s="35">
        <v>1581</v>
      </c>
      <c r="D32" s="35">
        <v>71</v>
      </c>
      <c r="E32" s="35">
        <v>484364</v>
      </c>
      <c r="F32" s="32">
        <v>3.55</v>
      </c>
      <c r="G32" s="35">
        <v>16149</v>
      </c>
      <c r="H32" s="17">
        <f>Table25[[#This Row],[New_Followers]]-Table25[[#This Row],[Unfollows]]</f>
        <v>1510</v>
      </c>
      <c r="I32" s="36">
        <f>Table25[[#This Row],[Followers gained]]/Table25[[#This Row],[Total_Followers]]</f>
        <v>3.1174901520344203E-3</v>
      </c>
    </row>
    <row r="33" spans="1:9" x14ac:dyDescent="0.3">
      <c r="A33" s="33" t="s">
        <v>260</v>
      </c>
      <c r="B33" s="34" t="s">
        <v>13</v>
      </c>
      <c r="C33" s="35">
        <v>1756</v>
      </c>
      <c r="D33" s="35">
        <v>261</v>
      </c>
      <c r="E33" s="35">
        <v>287574</v>
      </c>
      <c r="F33" s="32">
        <v>4.3600000000000003</v>
      </c>
      <c r="G33" s="35">
        <v>39272</v>
      </c>
      <c r="H33" s="17">
        <f>Table25[[#This Row],[New_Followers]]-Table25[[#This Row],[Unfollows]]</f>
        <v>1495</v>
      </c>
      <c r="I33" s="36">
        <f>Table25[[#This Row],[Followers gained]]/Table25[[#This Row],[Total_Followers]]</f>
        <v>5.1986619096302169E-3</v>
      </c>
    </row>
    <row r="34" spans="1:9" x14ac:dyDescent="0.3">
      <c r="A34" s="33" t="s">
        <v>162</v>
      </c>
      <c r="B34" s="34" t="s">
        <v>24</v>
      </c>
      <c r="C34" s="35">
        <v>1707</v>
      </c>
      <c r="D34" s="35">
        <v>223</v>
      </c>
      <c r="E34" s="35">
        <v>256910</v>
      </c>
      <c r="F34" s="32">
        <v>5.41</v>
      </c>
      <c r="G34" s="35">
        <v>44321</v>
      </c>
      <c r="H34" s="17">
        <f>Table25[[#This Row],[New_Followers]]-Table25[[#This Row],[Unfollows]]</f>
        <v>1484</v>
      </c>
      <c r="I34" s="36">
        <f>Table25[[#This Row],[Followers gained]]/Table25[[#This Row],[Total_Followers]]</f>
        <v>5.7763419096181542E-3</v>
      </c>
    </row>
    <row r="35" spans="1:9" x14ac:dyDescent="0.3">
      <c r="A35" s="33" t="s">
        <v>610</v>
      </c>
      <c r="B35" s="34" t="s">
        <v>24</v>
      </c>
      <c r="C35" s="35">
        <v>1957</v>
      </c>
      <c r="D35" s="35">
        <v>490</v>
      </c>
      <c r="E35" s="35">
        <v>435726</v>
      </c>
      <c r="F35" s="32">
        <v>4.7300000000000004</v>
      </c>
      <c r="G35" s="35">
        <v>15969</v>
      </c>
      <c r="H35" s="17">
        <f>Table25[[#This Row],[New_Followers]]-Table25[[#This Row],[Unfollows]]</f>
        <v>1467</v>
      </c>
      <c r="I35" s="36">
        <f>Table25[[#This Row],[Followers gained]]/Table25[[#This Row],[Total_Followers]]</f>
        <v>3.3667947287974553E-3</v>
      </c>
    </row>
    <row r="36" spans="1:9" x14ac:dyDescent="0.3">
      <c r="A36" s="33" t="s">
        <v>604</v>
      </c>
      <c r="B36" s="34" t="s">
        <v>24</v>
      </c>
      <c r="C36" s="35">
        <v>1495</v>
      </c>
      <c r="D36" s="35">
        <v>35</v>
      </c>
      <c r="E36" s="35">
        <v>136845</v>
      </c>
      <c r="F36" s="32">
        <v>4.4800000000000004</v>
      </c>
      <c r="G36" s="35">
        <v>39931</v>
      </c>
      <c r="H36" s="17">
        <f>Table25[[#This Row],[New_Followers]]-Table25[[#This Row],[Unfollows]]</f>
        <v>1460</v>
      </c>
      <c r="I36" s="36">
        <f>Table25[[#This Row],[Followers gained]]/Table25[[#This Row],[Total_Followers]]</f>
        <v>1.0669005078738719E-2</v>
      </c>
    </row>
    <row r="37" spans="1:9" x14ac:dyDescent="0.3">
      <c r="A37" s="33" t="s">
        <v>241</v>
      </c>
      <c r="B37" s="34" t="s">
        <v>24</v>
      </c>
      <c r="C37" s="35">
        <v>1707</v>
      </c>
      <c r="D37" s="35">
        <v>263</v>
      </c>
      <c r="E37" s="35">
        <v>485280</v>
      </c>
      <c r="F37" s="32">
        <v>9.0299999999999994</v>
      </c>
      <c r="G37" s="35">
        <v>24494</v>
      </c>
      <c r="H37" s="17">
        <f>Table25[[#This Row],[New_Followers]]-Table25[[#This Row],[Unfollows]]</f>
        <v>1444</v>
      </c>
      <c r="I37" s="36">
        <f>Table25[[#This Row],[Followers gained]]/Table25[[#This Row],[Total_Followers]]</f>
        <v>2.9756017144741179E-3</v>
      </c>
    </row>
    <row r="38" spans="1:9" x14ac:dyDescent="0.3">
      <c r="A38" s="33" t="s">
        <v>107</v>
      </c>
      <c r="B38" s="34" t="s">
        <v>30</v>
      </c>
      <c r="C38" s="35">
        <v>1502</v>
      </c>
      <c r="D38" s="35">
        <v>70</v>
      </c>
      <c r="E38" s="35">
        <v>465553</v>
      </c>
      <c r="F38" s="32">
        <v>3.32</v>
      </c>
      <c r="G38" s="35">
        <v>20692</v>
      </c>
      <c r="H38" s="17">
        <f>Table25[[#This Row],[New_Followers]]-Table25[[#This Row],[Unfollows]]</f>
        <v>1432</v>
      </c>
      <c r="I38" s="36">
        <f>Table25[[#This Row],[Followers gained]]/Table25[[#This Row],[Total_Followers]]</f>
        <v>3.0759118725472716E-3</v>
      </c>
    </row>
    <row r="39" spans="1:9" x14ac:dyDescent="0.3">
      <c r="A39" s="33" t="s">
        <v>83</v>
      </c>
      <c r="B39" s="34" t="s">
        <v>39</v>
      </c>
      <c r="C39" s="35">
        <v>1842</v>
      </c>
      <c r="D39" s="35">
        <v>414</v>
      </c>
      <c r="E39" s="35">
        <v>307524</v>
      </c>
      <c r="F39" s="32">
        <v>1.76</v>
      </c>
      <c r="G39" s="35">
        <v>40478</v>
      </c>
      <c r="H39" s="17">
        <f>Table25[[#This Row],[New_Followers]]-Table25[[#This Row],[Unfollows]]</f>
        <v>1428</v>
      </c>
      <c r="I39" s="36">
        <f>Table25[[#This Row],[Followers gained]]/Table25[[#This Row],[Total_Followers]]</f>
        <v>4.6435400163889647E-3</v>
      </c>
    </row>
    <row r="40" spans="1:9" x14ac:dyDescent="0.3">
      <c r="A40" s="33" t="s">
        <v>216</v>
      </c>
      <c r="B40" s="34" t="s">
        <v>13</v>
      </c>
      <c r="C40" s="35">
        <v>1501</v>
      </c>
      <c r="D40" s="35">
        <v>75</v>
      </c>
      <c r="E40" s="35">
        <v>262569</v>
      </c>
      <c r="F40" s="32">
        <v>2.0099999999999998</v>
      </c>
      <c r="G40" s="35">
        <v>19119</v>
      </c>
      <c r="H40" s="17">
        <f>Table25[[#This Row],[New_Followers]]-Table25[[#This Row],[Unfollows]]</f>
        <v>1426</v>
      </c>
      <c r="I40" s="36">
        <f>Table25[[#This Row],[Followers gained]]/Table25[[#This Row],[Total_Followers]]</f>
        <v>5.4309533874905263E-3</v>
      </c>
    </row>
    <row r="41" spans="1:9" x14ac:dyDescent="0.3">
      <c r="A41" s="33" t="s">
        <v>274</v>
      </c>
      <c r="B41" s="34" t="s">
        <v>30</v>
      </c>
      <c r="C41" s="35">
        <v>1466</v>
      </c>
      <c r="D41" s="35">
        <v>69</v>
      </c>
      <c r="E41" s="35">
        <v>54935</v>
      </c>
      <c r="F41" s="32">
        <v>6.85</v>
      </c>
      <c r="G41" s="35">
        <v>36484</v>
      </c>
      <c r="H41" s="17">
        <f>Table25[[#This Row],[New_Followers]]-Table25[[#This Row],[Unfollows]]</f>
        <v>1397</v>
      </c>
      <c r="I41" s="36">
        <f>Table25[[#This Row],[Followers gained]]/Table25[[#This Row],[Total_Followers]]</f>
        <v>2.5430053699827069E-2</v>
      </c>
    </row>
    <row r="42" spans="1:9" x14ac:dyDescent="0.3">
      <c r="A42" s="33" t="s">
        <v>609</v>
      </c>
      <c r="B42" s="34" t="s">
        <v>24</v>
      </c>
      <c r="C42" s="35">
        <v>1596</v>
      </c>
      <c r="D42" s="35">
        <v>211</v>
      </c>
      <c r="E42" s="35">
        <v>17380</v>
      </c>
      <c r="F42" s="32">
        <v>8.64</v>
      </c>
      <c r="G42" s="35">
        <v>35801</v>
      </c>
      <c r="H42" s="17">
        <f>Table25[[#This Row],[New_Followers]]-Table25[[#This Row],[Unfollows]]</f>
        <v>1385</v>
      </c>
      <c r="I42" s="36">
        <f>Table25[[#This Row],[Followers gained]]/Table25[[#This Row],[Total_Followers]]</f>
        <v>7.9689298043728429E-2</v>
      </c>
    </row>
    <row r="43" spans="1:9" x14ac:dyDescent="0.3">
      <c r="A43" s="33" t="s">
        <v>158</v>
      </c>
      <c r="B43" s="34" t="s">
        <v>39</v>
      </c>
      <c r="C43" s="35">
        <v>1753</v>
      </c>
      <c r="D43" s="35">
        <v>371</v>
      </c>
      <c r="E43" s="35">
        <v>169496</v>
      </c>
      <c r="F43" s="32">
        <v>8.11</v>
      </c>
      <c r="G43" s="35">
        <v>46670</v>
      </c>
      <c r="H43" s="17">
        <f>Table25[[#This Row],[New_Followers]]-Table25[[#This Row],[Unfollows]]</f>
        <v>1382</v>
      </c>
      <c r="I43" s="36">
        <f>Table25[[#This Row],[Followers gained]]/Table25[[#This Row],[Total_Followers]]</f>
        <v>8.1535847453627231E-3</v>
      </c>
    </row>
    <row r="44" spans="1:9" x14ac:dyDescent="0.3">
      <c r="A44" s="33" t="s">
        <v>107</v>
      </c>
      <c r="B44" s="34" t="s">
        <v>39</v>
      </c>
      <c r="C44" s="35">
        <v>1623</v>
      </c>
      <c r="D44" s="35">
        <v>246</v>
      </c>
      <c r="E44" s="35">
        <v>415815</v>
      </c>
      <c r="F44" s="32">
        <v>8.11</v>
      </c>
      <c r="G44" s="35">
        <v>18656</v>
      </c>
      <c r="H44" s="17">
        <f>Table25[[#This Row],[New_Followers]]-Table25[[#This Row],[Unfollows]]</f>
        <v>1377</v>
      </c>
      <c r="I44" s="36">
        <f>Table25[[#This Row],[Followers gained]]/Table25[[#This Row],[Total_Followers]]</f>
        <v>3.311568846722701E-3</v>
      </c>
    </row>
    <row r="45" spans="1:9" x14ac:dyDescent="0.3">
      <c r="A45" s="33" t="s">
        <v>142</v>
      </c>
      <c r="B45" s="34" t="s">
        <v>30</v>
      </c>
      <c r="C45" s="35">
        <v>1440</v>
      </c>
      <c r="D45" s="35">
        <v>65</v>
      </c>
      <c r="E45" s="35">
        <v>126524</v>
      </c>
      <c r="F45" s="32">
        <v>4.34</v>
      </c>
      <c r="G45" s="35">
        <v>49772</v>
      </c>
      <c r="H45" s="17">
        <f>Table25[[#This Row],[New_Followers]]-Table25[[#This Row],[Unfollows]]</f>
        <v>1375</v>
      </c>
      <c r="I45" s="36">
        <f>Table25[[#This Row],[Followers gained]]/Table25[[#This Row],[Total_Followers]]</f>
        <v>1.0867503398564699E-2</v>
      </c>
    </row>
    <row r="46" spans="1:9" x14ac:dyDescent="0.3">
      <c r="A46" s="33" t="s">
        <v>213</v>
      </c>
      <c r="B46" s="34" t="s">
        <v>39</v>
      </c>
      <c r="C46" s="35">
        <v>1514</v>
      </c>
      <c r="D46" s="35">
        <v>141</v>
      </c>
      <c r="E46" s="35">
        <v>35842</v>
      </c>
      <c r="F46" s="32">
        <v>7.47</v>
      </c>
      <c r="G46" s="35">
        <v>18601</v>
      </c>
      <c r="H46" s="17">
        <f>Table25[[#This Row],[New_Followers]]-Table25[[#This Row],[Unfollows]]</f>
        <v>1373</v>
      </c>
      <c r="I46" s="36">
        <f>Table25[[#This Row],[Followers gained]]/Table25[[#This Row],[Total_Followers]]</f>
        <v>3.8307014117515761E-2</v>
      </c>
    </row>
    <row r="47" spans="1:9" x14ac:dyDescent="0.3">
      <c r="A47" s="33" t="s">
        <v>107</v>
      </c>
      <c r="B47" s="34" t="s">
        <v>13</v>
      </c>
      <c r="C47" s="35">
        <v>1592</v>
      </c>
      <c r="D47" s="35">
        <v>233</v>
      </c>
      <c r="E47" s="35">
        <v>327183</v>
      </c>
      <c r="F47" s="32">
        <v>6.66</v>
      </c>
      <c r="G47" s="35">
        <v>13316</v>
      </c>
      <c r="H47" s="17">
        <f>Table25[[#This Row],[New_Followers]]-Table25[[#This Row],[Unfollows]]</f>
        <v>1359</v>
      </c>
      <c r="I47" s="36">
        <f>Table25[[#This Row],[Followers gained]]/Table25[[#This Row],[Total_Followers]]</f>
        <v>4.1536387893013997E-3</v>
      </c>
    </row>
    <row r="48" spans="1:9" x14ac:dyDescent="0.3">
      <c r="A48" s="33" t="s">
        <v>443</v>
      </c>
      <c r="B48" s="34" t="s">
        <v>13</v>
      </c>
      <c r="C48" s="35">
        <v>1420</v>
      </c>
      <c r="D48" s="35">
        <v>63</v>
      </c>
      <c r="E48" s="35">
        <v>315305</v>
      </c>
      <c r="F48" s="32">
        <v>6.19</v>
      </c>
      <c r="G48" s="35">
        <v>5914</v>
      </c>
      <c r="H48" s="17">
        <f>Table25[[#This Row],[New_Followers]]-Table25[[#This Row],[Unfollows]]</f>
        <v>1357</v>
      </c>
      <c r="I48" s="36">
        <f>Table25[[#This Row],[Followers gained]]/Table25[[#This Row],[Total_Followers]]</f>
        <v>4.3037693661692649E-3</v>
      </c>
    </row>
    <row r="49" spans="1:9" x14ac:dyDescent="0.3">
      <c r="A49" s="33" t="s">
        <v>608</v>
      </c>
      <c r="B49" s="34" t="s">
        <v>13</v>
      </c>
      <c r="C49" s="35">
        <v>1399</v>
      </c>
      <c r="D49" s="35">
        <v>49</v>
      </c>
      <c r="E49" s="35">
        <v>12471</v>
      </c>
      <c r="F49" s="32">
        <v>5.12</v>
      </c>
      <c r="G49" s="35">
        <v>14722</v>
      </c>
      <c r="H49" s="17">
        <f>Table25[[#This Row],[New_Followers]]-Table25[[#This Row],[Unfollows]]</f>
        <v>1350</v>
      </c>
      <c r="I49" s="36">
        <f>Table25[[#This Row],[Followers gained]]/Table25[[#This Row],[Total_Followers]]</f>
        <v>0.10825114265095021</v>
      </c>
    </row>
    <row r="50" spans="1:9" x14ac:dyDescent="0.3">
      <c r="A50" s="33" t="s">
        <v>31</v>
      </c>
      <c r="B50" s="34" t="s">
        <v>39</v>
      </c>
      <c r="C50" s="35">
        <v>1534</v>
      </c>
      <c r="D50" s="35">
        <v>200</v>
      </c>
      <c r="E50" s="35">
        <v>307612</v>
      </c>
      <c r="F50" s="32">
        <v>6.01</v>
      </c>
      <c r="G50" s="35">
        <v>37903</v>
      </c>
      <c r="H50" s="17">
        <f>Table25[[#This Row],[New_Followers]]-Table25[[#This Row],[Unfollows]]</f>
        <v>1334</v>
      </c>
      <c r="I50" s="36">
        <f>Table25[[#This Row],[Followers gained]]/Table25[[#This Row],[Total_Followers]]</f>
        <v>4.3366318609156986E-3</v>
      </c>
    </row>
    <row r="51" spans="1:9" x14ac:dyDescent="0.3">
      <c r="A51" s="33" t="s">
        <v>124</v>
      </c>
      <c r="B51" s="34" t="s">
        <v>39</v>
      </c>
      <c r="C51" s="35">
        <v>1710</v>
      </c>
      <c r="D51" s="35">
        <v>378</v>
      </c>
      <c r="E51" s="35">
        <v>336661</v>
      </c>
      <c r="F51" s="32">
        <v>6.2</v>
      </c>
      <c r="G51" s="35">
        <v>28498</v>
      </c>
      <c r="H51" s="17">
        <f>Table25[[#This Row],[New_Followers]]-Table25[[#This Row],[Unfollows]]</f>
        <v>1332</v>
      </c>
      <c r="I51" s="36">
        <f>Table25[[#This Row],[Followers gained]]/Table25[[#This Row],[Total_Followers]]</f>
        <v>3.9565022381564839E-3</v>
      </c>
    </row>
    <row r="52" spans="1:9" x14ac:dyDescent="0.3">
      <c r="A52" s="33" t="s">
        <v>31</v>
      </c>
      <c r="B52" s="34" t="s">
        <v>30</v>
      </c>
      <c r="C52" s="35">
        <v>1528</v>
      </c>
      <c r="D52" s="35">
        <v>203</v>
      </c>
      <c r="E52" s="35">
        <v>489188</v>
      </c>
      <c r="F52" s="32">
        <v>6.23</v>
      </c>
      <c r="G52" s="35">
        <v>47101</v>
      </c>
      <c r="H52" s="17">
        <f>Table25[[#This Row],[New_Followers]]-Table25[[#This Row],[Unfollows]]</f>
        <v>1325</v>
      </c>
      <c r="I52" s="36">
        <f>Table25[[#This Row],[Followers gained]]/Table25[[#This Row],[Total_Followers]]</f>
        <v>2.7085701202809553E-3</v>
      </c>
    </row>
    <row r="53" spans="1:9" x14ac:dyDescent="0.3">
      <c r="A53" s="33" t="s">
        <v>596</v>
      </c>
      <c r="B53" s="34" t="s">
        <v>13</v>
      </c>
      <c r="C53" s="35">
        <v>1701</v>
      </c>
      <c r="D53" s="35">
        <v>385</v>
      </c>
      <c r="E53" s="35">
        <v>198278</v>
      </c>
      <c r="F53" s="32">
        <v>5.34</v>
      </c>
      <c r="G53" s="35">
        <v>32763</v>
      </c>
      <c r="H53" s="17">
        <f>Table25[[#This Row],[New_Followers]]-Table25[[#This Row],[Unfollows]]</f>
        <v>1316</v>
      </c>
      <c r="I53" s="36">
        <f>Table25[[#This Row],[Followers gained]]/Table25[[#This Row],[Total_Followers]]</f>
        <v>6.6371458255580548E-3</v>
      </c>
    </row>
    <row r="54" spans="1:9" x14ac:dyDescent="0.3">
      <c r="A54" s="33" t="s">
        <v>190</v>
      </c>
      <c r="B54" s="34" t="s">
        <v>30</v>
      </c>
      <c r="C54" s="35">
        <v>1371</v>
      </c>
      <c r="D54" s="35">
        <v>56</v>
      </c>
      <c r="E54" s="35">
        <v>257579</v>
      </c>
      <c r="F54" s="32">
        <v>8.6199999999999992</v>
      </c>
      <c r="G54" s="35">
        <v>33799</v>
      </c>
      <c r="H54" s="17">
        <f>Table25[[#This Row],[New_Followers]]-Table25[[#This Row],[Unfollows]]</f>
        <v>1315</v>
      </c>
      <c r="I54" s="36">
        <f>Table25[[#This Row],[Followers gained]]/Table25[[#This Row],[Total_Followers]]</f>
        <v>5.1052298518124532E-3</v>
      </c>
    </row>
    <row r="55" spans="1:9" x14ac:dyDescent="0.3">
      <c r="A55" s="33" t="s">
        <v>158</v>
      </c>
      <c r="B55" s="34" t="s">
        <v>13</v>
      </c>
      <c r="C55" s="35">
        <v>1335</v>
      </c>
      <c r="D55" s="35">
        <v>40</v>
      </c>
      <c r="E55" s="35">
        <v>122732</v>
      </c>
      <c r="F55" s="32">
        <v>8.19</v>
      </c>
      <c r="G55" s="35">
        <v>22482</v>
      </c>
      <c r="H55" s="17">
        <f>Table25[[#This Row],[New_Followers]]-Table25[[#This Row],[Unfollows]]</f>
        <v>1295</v>
      </c>
      <c r="I55" s="36">
        <f>Table25[[#This Row],[Followers gained]]/Table25[[#This Row],[Total_Followers]]</f>
        <v>1.0551445425805821E-2</v>
      </c>
    </row>
    <row r="56" spans="1:9" x14ac:dyDescent="0.3">
      <c r="A56" s="33" t="s">
        <v>146</v>
      </c>
      <c r="B56" s="34" t="s">
        <v>39</v>
      </c>
      <c r="C56" s="35">
        <v>1697</v>
      </c>
      <c r="D56" s="35">
        <v>414</v>
      </c>
      <c r="E56" s="35">
        <v>316555</v>
      </c>
      <c r="F56" s="32">
        <v>2.37</v>
      </c>
      <c r="G56" s="35">
        <v>7924</v>
      </c>
      <c r="H56" s="17">
        <f>Table25[[#This Row],[New_Followers]]-Table25[[#This Row],[Unfollows]]</f>
        <v>1283</v>
      </c>
      <c r="I56" s="36">
        <f>Table25[[#This Row],[Followers gained]]/Table25[[#This Row],[Total_Followers]]</f>
        <v>4.0530081660374974E-3</v>
      </c>
    </row>
    <row r="57" spans="1:9" x14ac:dyDescent="0.3">
      <c r="A57" s="33" t="s">
        <v>188</v>
      </c>
      <c r="B57" s="34" t="s">
        <v>30</v>
      </c>
      <c r="C57" s="35">
        <v>1429</v>
      </c>
      <c r="D57" s="35">
        <v>182</v>
      </c>
      <c r="E57" s="35">
        <v>101332</v>
      </c>
      <c r="F57" s="32">
        <v>7.16</v>
      </c>
      <c r="G57" s="35">
        <v>37829</v>
      </c>
      <c r="H57" s="17">
        <f>Table25[[#This Row],[New_Followers]]-Table25[[#This Row],[Unfollows]]</f>
        <v>1247</v>
      </c>
      <c r="I57" s="36">
        <f>Table25[[#This Row],[Followers gained]]/Table25[[#This Row],[Total_Followers]]</f>
        <v>1.2306082974775983E-2</v>
      </c>
    </row>
    <row r="58" spans="1:9" x14ac:dyDescent="0.3">
      <c r="A58" s="33" t="s">
        <v>608</v>
      </c>
      <c r="B58" s="34" t="s">
        <v>24</v>
      </c>
      <c r="C58" s="35">
        <v>1658</v>
      </c>
      <c r="D58" s="35">
        <v>416</v>
      </c>
      <c r="E58" s="35">
        <v>98397</v>
      </c>
      <c r="F58" s="32">
        <v>6.11</v>
      </c>
      <c r="G58" s="35">
        <v>11383</v>
      </c>
      <c r="H58" s="17">
        <f>Table25[[#This Row],[New_Followers]]-Table25[[#This Row],[Unfollows]]</f>
        <v>1242</v>
      </c>
      <c r="I58" s="36">
        <f>Table25[[#This Row],[Followers gained]]/Table25[[#This Row],[Total_Followers]]</f>
        <v>1.2622336046830695E-2</v>
      </c>
    </row>
    <row r="59" spans="1:9" x14ac:dyDescent="0.3">
      <c r="A59" s="33" t="s">
        <v>73</v>
      </c>
      <c r="B59" s="34" t="s">
        <v>13</v>
      </c>
      <c r="C59" s="35">
        <v>1300</v>
      </c>
      <c r="D59" s="35">
        <v>71</v>
      </c>
      <c r="E59" s="35">
        <v>186454</v>
      </c>
      <c r="F59" s="32">
        <v>3.91</v>
      </c>
      <c r="G59" s="35">
        <v>9942</v>
      </c>
      <c r="H59" s="17">
        <f>Table25[[#This Row],[New_Followers]]-Table25[[#This Row],[Unfollows]]</f>
        <v>1229</v>
      </c>
      <c r="I59" s="36">
        <f>Table25[[#This Row],[Followers gained]]/Table25[[#This Row],[Total_Followers]]</f>
        <v>6.5914381026955706E-3</v>
      </c>
    </row>
    <row r="60" spans="1:9" x14ac:dyDescent="0.3">
      <c r="A60" s="33" t="s">
        <v>216</v>
      </c>
      <c r="B60" s="34" t="s">
        <v>24</v>
      </c>
      <c r="C60" s="35">
        <v>1411</v>
      </c>
      <c r="D60" s="35">
        <v>186</v>
      </c>
      <c r="E60" s="35">
        <v>461669</v>
      </c>
      <c r="F60" s="32">
        <v>3.72</v>
      </c>
      <c r="G60" s="35">
        <v>43999</v>
      </c>
      <c r="H60" s="17">
        <f>Table25[[#This Row],[New_Followers]]-Table25[[#This Row],[Unfollows]]</f>
        <v>1225</v>
      </c>
      <c r="I60" s="36">
        <f>Table25[[#This Row],[Followers gained]]/Table25[[#This Row],[Total_Followers]]</f>
        <v>2.6534161921203288E-3</v>
      </c>
    </row>
    <row r="61" spans="1:9" x14ac:dyDescent="0.3">
      <c r="A61" s="33" t="s">
        <v>601</v>
      </c>
      <c r="B61" s="34" t="s">
        <v>30</v>
      </c>
      <c r="C61" s="35">
        <v>1527</v>
      </c>
      <c r="D61" s="35">
        <v>303</v>
      </c>
      <c r="E61" s="35">
        <v>388555</v>
      </c>
      <c r="F61" s="32">
        <v>8.9</v>
      </c>
      <c r="G61" s="35">
        <v>36397</v>
      </c>
      <c r="H61" s="17">
        <f>Table25[[#This Row],[New_Followers]]-Table25[[#This Row],[Unfollows]]</f>
        <v>1224</v>
      </c>
      <c r="I61" s="36">
        <f>Table25[[#This Row],[Followers gained]]/Table25[[#This Row],[Total_Followers]]</f>
        <v>3.1501331857780751E-3</v>
      </c>
    </row>
    <row r="62" spans="1:9" x14ac:dyDescent="0.3">
      <c r="A62" s="33" t="s">
        <v>241</v>
      </c>
      <c r="B62" s="34" t="s">
        <v>13</v>
      </c>
      <c r="C62" s="35">
        <v>1587</v>
      </c>
      <c r="D62" s="35">
        <v>385</v>
      </c>
      <c r="E62" s="35">
        <v>126582</v>
      </c>
      <c r="F62" s="32">
        <v>6.99</v>
      </c>
      <c r="G62" s="35">
        <v>42832</v>
      </c>
      <c r="H62" s="17">
        <f>Table25[[#This Row],[New_Followers]]-Table25[[#This Row],[Unfollows]]</f>
        <v>1202</v>
      </c>
      <c r="I62" s="36">
        <f>Table25[[#This Row],[Followers gained]]/Table25[[#This Row],[Total_Followers]]</f>
        <v>9.4958208908059605E-3</v>
      </c>
    </row>
    <row r="63" spans="1:9" x14ac:dyDescent="0.3">
      <c r="A63" s="33" t="s">
        <v>120</v>
      </c>
      <c r="B63" s="34" t="s">
        <v>13</v>
      </c>
      <c r="C63" s="35">
        <v>1633</v>
      </c>
      <c r="D63" s="35">
        <v>445</v>
      </c>
      <c r="E63" s="35">
        <v>371156</v>
      </c>
      <c r="F63" s="32">
        <v>2.2200000000000002</v>
      </c>
      <c r="G63" s="35">
        <v>2798</v>
      </c>
      <c r="H63" s="17">
        <f>Table25[[#This Row],[New_Followers]]-Table25[[#This Row],[Unfollows]]</f>
        <v>1188</v>
      </c>
      <c r="I63" s="36">
        <f>Table25[[#This Row],[Followers gained]]/Table25[[#This Row],[Total_Followers]]</f>
        <v>3.2008104408927781E-3</v>
      </c>
    </row>
    <row r="64" spans="1:9" x14ac:dyDescent="0.3">
      <c r="A64" s="33" t="s">
        <v>122</v>
      </c>
      <c r="B64" s="34" t="s">
        <v>24</v>
      </c>
      <c r="C64" s="35">
        <v>1662</v>
      </c>
      <c r="D64" s="35">
        <v>487</v>
      </c>
      <c r="E64" s="35">
        <v>105980</v>
      </c>
      <c r="F64" s="32">
        <v>9.08</v>
      </c>
      <c r="G64" s="35">
        <v>22996</v>
      </c>
      <c r="H64" s="17">
        <f>Table25[[#This Row],[New_Followers]]-Table25[[#This Row],[Unfollows]]</f>
        <v>1175</v>
      </c>
      <c r="I64" s="36">
        <f>Table25[[#This Row],[Followers gained]]/Table25[[#This Row],[Total_Followers]]</f>
        <v>1.1086997546706926E-2</v>
      </c>
    </row>
    <row r="65" spans="1:9" x14ac:dyDescent="0.3">
      <c r="A65" s="33" t="s">
        <v>603</v>
      </c>
      <c r="B65" s="34" t="s">
        <v>13</v>
      </c>
      <c r="C65" s="35">
        <v>1441</v>
      </c>
      <c r="D65" s="35">
        <v>268</v>
      </c>
      <c r="E65" s="35">
        <v>309904</v>
      </c>
      <c r="F65" s="32">
        <v>6.37</v>
      </c>
      <c r="G65" s="35">
        <v>3455</v>
      </c>
      <c r="H65" s="17">
        <f>Table25[[#This Row],[New_Followers]]-Table25[[#This Row],[Unfollows]]</f>
        <v>1173</v>
      </c>
      <c r="I65" s="36">
        <f>Table25[[#This Row],[Followers gained]]/Table25[[#This Row],[Total_Followers]]</f>
        <v>3.7850431101244257E-3</v>
      </c>
    </row>
    <row r="66" spans="1:9" x14ac:dyDescent="0.3">
      <c r="A66" s="33" t="s">
        <v>602</v>
      </c>
      <c r="B66" s="34" t="s">
        <v>13</v>
      </c>
      <c r="C66" s="35">
        <v>1487</v>
      </c>
      <c r="D66" s="35">
        <v>337</v>
      </c>
      <c r="E66" s="35">
        <v>87305</v>
      </c>
      <c r="F66" s="32">
        <v>2.46</v>
      </c>
      <c r="G66" s="35">
        <v>30428</v>
      </c>
      <c r="H66" s="17">
        <f>Table25[[#This Row],[New_Followers]]-Table25[[#This Row],[Unfollows]]</f>
        <v>1150</v>
      </c>
      <c r="I66" s="36">
        <f>Table25[[#This Row],[Followers gained]]/Table25[[#This Row],[Total_Followers]]</f>
        <v>1.3172212358971423E-2</v>
      </c>
    </row>
    <row r="67" spans="1:9" x14ac:dyDescent="0.3">
      <c r="A67" s="33" t="s">
        <v>597</v>
      </c>
      <c r="B67" s="34" t="s">
        <v>13</v>
      </c>
      <c r="C67" s="35">
        <v>1472</v>
      </c>
      <c r="D67" s="35">
        <v>347</v>
      </c>
      <c r="E67" s="35">
        <v>392355</v>
      </c>
      <c r="F67" s="32">
        <v>8.59</v>
      </c>
      <c r="G67" s="35">
        <v>30270</v>
      </c>
      <c r="H67" s="17">
        <f>Table25[[#This Row],[New_Followers]]-Table25[[#This Row],[Unfollows]]</f>
        <v>1125</v>
      </c>
      <c r="I67" s="36">
        <f>Table25[[#This Row],[Followers gained]]/Table25[[#This Row],[Total_Followers]]</f>
        <v>2.8673012960201858E-3</v>
      </c>
    </row>
    <row r="68" spans="1:9" x14ac:dyDescent="0.3">
      <c r="A68" s="33" t="s">
        <v>213</v>
      </c>
      <c r="B68" s="34" t="s">
        <v>30</v>
      </c>
      <c r="C68" s="35">
        <v>1494</v>
      </c>
      <c r="D68" s="35">
        <v>375</v>
      </c>
      <c r="E68" s="35">
        <v>220616</v>
      </c>
      <c r="F68" s="32">
        <v>1.81</v>
      </c>
      <c r="G68" s="35">
        <v>22724</v>
      </c>
      <c r="H68" s="17">
        <f>Table25[[#This Row],[New_Followers]]-Table25[[#This Row],[Unfollows]]</f>
        <v>1119</v>
      </c>
      <c r="I68" s="36">
        <f>Table25[[#This Row],[Followers gained]]/Table25[[#This Row],[Total_Followers]]</f>
        <v>5.0721615839286359E-3</v>
      </c>
    </row>
    <row r="69" spans="1:9" x14ac:dyDescent="0.3">
      <c r="A69" s="33" t="s">
        <v>609</v>
      </c>
      <c r="B69" s="34" t="s">
        <v>39</v>
      </c>
      <c r="C69" s="35">
        <v>1358</v>
      </c>
      <c r="D69" s="35">
        <v>242</v>
      </c>
      <c r="E69" s="35">
        <v>342129</v>
      </c>
      <c r="F69" s="32">
        <v>4.9400000000000004</v>
      </c>
      <c r="G69" s="35">
        <v>29116</v>
      </c>
      <c r="H69" s="17">
        <f>Table25[[#This Row],[New_Followers]]-Table25[[#This Row],[Unfollows]]</f>
        <v>1116</v>
      </c>
      <c r="I69" s="36">
        <f>Table25[[#This Row],[Followers gained]]/Table25[[#This Row],[Total_Followers]]</f>
        <v>3.2619275185675578E-3</v>
      </c>
    </row>
    <row r="70" spans="1:9" x14ac:dyDescent="0.3">
      <c r="A70" s="33" t="s">
        <v>83</v>
      </c>
      <c r="B70" s="34" t="s">
        <v>24</v>
      </c>
      <c r="C70" s="35">
        <v>1409</v>
      </c>
      <c r="D70" s="35">
        <v>309</v>
      </c>
      <c r="E70" s="35">
        <v>64583</v>
      </c>
      <c r="F70" s="32">
        <v>8.99</v>
      </c>
      <c r="G70" s="35">
        <v>10217</v>
      </c>
      <c r="H70" s="17">
        <f>Table25[[#This Row],[New_Followers]]-Table25[[#This Row],[Unfollows]]</f>
        <v>1100</v>
      </c>
      <c r="I70" s="36">
        <f>Table25[[#This Row],[Followers gained]]/Table25[[#This Row],[Total_Followers]]</f>
        <v>1.7032345973398571E-2</v>
      </c>
    </row>
    <row r="71" spans="1:9" x14ac:dyDescent="0.3">
      <c r="A71" s="33" t="s">
        <v>224</v>
      </c>
      <c r="B71" s="34" t="s">
        <v>24</v>
      </c>
      <c r="C71" s="35">
        <v>1535</v>
      </c>
      <c r="D71" s="35">
        <v>445</v>
      </c>
      <c r="E71" s="35">
        <v>395536</v>
      </c>
      <c r="F71" s="32">
        <v>4.1100000000000003</v>
      </c>
      <c r="G71" s="35">
        <v>30671</v>
      </c>
      <c r="H71" s="17">
        <f>Table25[[#This Row],[New_Followers]]-Table25[[#This Row],[Unfollows]]</f>
        <v>1090</v>
      </c>
      <c r="I71" s="36">
        <f>Table25[[#This Row],[Followers gained]]/Table25[[#This Row],[Total_Followers]]</f>
        <v>2.7557542170624167E-3</v>
      </c>
    </row>
    <row r="72" spans="1:9" x14ac:dyDescent="0.3">
      <c r="A72" s="33" t="s">
        <v>607</v>
      </c>
      <c r="B72" s="34" t="s">
        <v>30</v>
      </c>
      <c r="C72" s="35">
        <v>1556</v>
      </c>
      <c r="D72" s="35">
        <v>476</v>
      </c>
      <c r="E72" s="35">
        <v>351556</v>
      </c>
      <c r="F72" s="32">
        <v>3.89</v>
      </c>
      <c r="G72" s="35">
        <v>10825</v>
      </c>
      <c r="H72" s="17">
        <f>Table25[[#This Row],[New_Followers]]-Table25[[#This Row],[Unfollows]]</f>
        <v>1080</v>
      </c>
      <c r="I72" s="36">
        <f>Table25[[#This Row],[Followers gained]]/Table25[[#This Row],[Total_Followers]]</f>
        <v>3.0720567989168156E-3</v>
      </c>
    </row>
    <row r="73" spans="1:9" x14ac:dyDescent="0.3">
      <c r="A73" s="33" t="s">
        <v>77</v>
      </c>
      <c r="B73" s="34" t="s">
        <v>39</v>
      </c>
      <c r="C73" s="35">
        <v>1078</v>
      </c>
      <c r="D73" s="35">
        <v>20</v>
      </c>
      <c r="E73" s="35">
        <v>183924</v>
      </c>
      <c r="F73" s="32">
        <v>8.84</v>
      </c>
      <c r="G73" s="35">
        <v>14203</v>
      </c>
      <c r="H73" s="17">
        <f>Table25[[#This Row],[New_Followers]]-Table25[[#This Row],[Unfollows]]</f>
        <v>1058</v>
      </c>
      <c r="I73" s="36">
        <f>Table25[[#This Row],[Followers gained]]/Table25[[#This Row],[Total_Followers]]</f>
        <v>5.7523759813836147E-3</v>
      </c>
    </row>
    <row r="74" spans="1:9" x14ac:dyDescent="0.3">
      <c r="A74" s="33" t="s">
        <v>224</v>
      </c>
      <c r="B74" s="34" t="s">
        <v>30</v>
      </c>
      <c r="C74" s="35">
        <v>1135</v>
      </c>
      <c r="D74" s="35">
        <v>88</v>
      </c>
      <c r="E74" s="35">
        <v>344084</v>
      </c>
      <c r="F74" s="32">
        <v>8.06</v>
      </c>
      <c r="G74" s="35">
        <v>5904</v>
      </c>
      <c r="H74" s="17">
        <f>Table25[[#This Row],[New_Followers]]-Table25[[#This Row],[Unfollows]]</f>
        <v>1047</v>
      </c>
      <c r="I74" s="36">
        <f>Table25[[#This Row],[Followers gained]]/Table25[[#This Row],[Total_Followers]]</f>
        <v>3.0428616268120576E-3</v>
      </c>
    </row>
    <row r="75" spans="1:9" x14ac:dyDescent="0.3">
      <c r="A75" s="33" t="s">
        <v>188</v>
      </c>
      <c r="B75" s="34" t="s">
        <v>39</v>
      </c>
      <c r="C75" s="35">
        <v>1520</v>
      </c>
      <c r="D75" s="35">
        <v>475</v>
      </c>
      <c r="E75" s="35">
        <v>496982</v>
      </c>
      <c r="F75" s="32">
        <v>6.41</v>
      </c>
      <c r="G75" s="35">
        <v>24384</v>
      </c>
      <c r="H75" s="17">
        <f>Table25[[#This Row],[New_Followers]]-Table25[[#This Row],[Unfollows]]</f>
        <v>1045</v>
      </c>
      <c r="I75" s="36">
        <f>Table25[[#This Row],[Followers gained]]/Table25[[#This Row],[Total_Followers]]</f>
        <v>2.1026918479944948E-3</v>
      </c>
    </row>
    <row r="76" spans="1:9" x14ac:dyDescent="0.3">
      <c r="A76" s="33" t="s">
        <v>612</v>
      </c>
      <c r="B76" s="34" t="s">
        <v>39</v>
      </c>
      <c r="C76" s="35">
        <v>1375</v>
      </c>
      <c r="D76" s="35">
        <v>330</v>
      </c>
      <c r="E76" s="35">
        <v>377382</v>
      </c>
      <c r="F76" s="32">
        <v>2.6</v>
      </c>
      <c r="G76" s="35">
        <v>7875</v>
      </c>
      <c r="H76" s="17">
        <f>Table25[[#This Row],[New_Followers]]-Table25[[#This Row],[Unfollows]]</f>
        <v>1045</v>
      </c>
      <c r="I76" s="36">
        <f>Table25[[#This Row],[Followers gained]]/Table25[[#This Row],[Total_Followers]]</f>
        <v>2.7690774864725927E-3</v>
      </c>
    </row>
    <row r="77" spans="1:9" x14ac:dyDescent="0.3">
      <c r="A77" s="33" t="s">
        <v>274</v>
      </c>
      <c r="B77" s="34" t="s">
        <v>24</v>
      </c>
      <c r="C77" s="35">
        <v>1507</v>
      </c>
      <c r="D77" s="35">
        <v>463</v>
      </c>
      <c r="E77" s="35">
        <v>258944</v>
      </c>
      <c r="F77" s="32">
        <v>6.08</v>
      </c>
      <c r="G77" s="35">
        <v>16443</v>
      </c>
      <c r="H77" s="17">
        <f>Table25[[#This Row],[New_Followers]]-Table25[[#This Row],[Unfollows]]</f>
        <v>1044</v>
      </c>
      <c r="I77" s="36">
        <f>Table25[[#This Row],[Followers gained]]/Table25[[#This Row],[Total_Followers]]</f>
        <v>4.0317597627286209E-3</v>
      </c>
    </row>
    <row r="78" spans="1:9" x14ac:dyDescent="0.3">
      <c r="A78" s="33" t="s">
        <v>31</v>
      </c>
      <c r="B78" s="34" t="s">
        <v>24</v>
      </c>
      <c r="C78" s="35">
        <v>1210</v>
      </c>
      <c r="D78" s="35">
        <v>178</v>
      </c>
      <c r="E78" s="35">
        <v>102042</v>
      </c>
      <c r="F78" s="32">
        <v>5.42</v>
      </c>
      <c r="G78" s="35">
        <v>6915</v>
      </c>
      <c r="H78" s="17">
        <f>Table25[[#This Row],[New_Followers]]-Table25[[#This Row],[Unfollows]]</f>
        <v>1032</v>
      </c>
      <c r="I78" s="36">
        <f>Table25[[#This Row],[Followers gained]]/Table25[[#This Row],[Total_Followers]]</f>
        <v>1.011348268360087E-2</v>
      </c>
    </row>
    <row r="79" spans="1:9" x14ac:dyDescent="0.3">
      <c r="A79" s="33" t="s">
        <v>402</v>
      </c>
      <c r="B79" s="34" t="s">
        <v>39</v>
      </c>
      <c r="C79" s="35">
        <v>1307</v>
      </c>
      <c r="D79" s="35">
        <v>278</v>
      </c>
      <c r="E79" s="35">
        <v>98596</v>
      </c>
      <c r="F79" s="32">
        <v>2.4900000000000002</v>
      </c>
      <c r="G79" s="35">
        <v>47603</v>
      </c>
      <c r="H79" s="17">
        <f>Table25[[#This Row],[New_Followers]]-Table25[[#This Row],[Unfollows]]</f>
        <v>1029</v>
      </c>
      <c r="I79" s="36">
        <f>Table25[[#This Row],[Followers gained]]/Table25[[#This Row],[Total_Followers]]</f>
        <v>1.0436528865268368E-2</v>
      </c>
    </row>
    <row r="80" spans="1:9" x14ac:dyDescent="0.3">
      <c r="A80" s="33" t="s">
        <v>599</v>
      </c>
      <c r="B80" s="34" t="s">
        <v>30</v>
      </c>
      <c r="C80" s="35">
        <v>1433</v>
      </c>
      <c r="D80" s="35">
        <v>408</v>
      </c>
      <c r="E80" s="35">
        <v>370269</v>
      </c>
      <c r="F80" s="32">
        <v>3.3</v>
      </c>
      <c r="G80" s="35">
        <v>30575</v>
      </c>
      <c r="H80" s="17">
        <f>Table25[[#This Row],[New_Followers]]-Table25[[#This Row],[Unfollows]]</f>
        <v>1025</v>
      </c>
      <c r="I80" s="36">
        <f>Table25[[#This Row],[Followers gained]]/Table25[[#This Row],[Total_Followers]]</f>
        <v>2.7682576721248606E-3</v>
      </c>
    </row>
    <row r="81" spans="1:9" x14ac:dyDescent="0.3">
      <c r="A81" s="33" t="s">
        <v>142</v>
      </c>
      <c r="B81" s="34" t="s">
        <v>24</v>
      </c>
      <c r="C81" s="35">
        <v>1063</v>
      </c>
      <c r="D81" s="35">
        <v>47</v>
      </c>
      <c r="E81" s="35">
        <v>464239</v>
      </c>
      <c r="F81" s="32">
        <v>6.58</v>
      </c>
      <c r="G81" s="35">
        <v>39031</v>
      </c>
      <c r="H81" s="17">
        <f>Table25[[#This Row],[New_Followers]]-Table25[[#This Row],[Unfollows]]</f>
        <v>1016</v>
      </c>
      <c r="I81" s="36">
        <f>Table25[[#This Row],[Followers gained]]/Table25[[#This Row],[Total_Followers]]</f>
        <v>2.1885278918832756E-3</v>
      </c>
    </row>
    <row r="82" spans="1:9" x14ac:dyDescent="0.3">
      <c r="A82" s="33" t="s">
        <v>402</v>
      </c>
      <c r="B82" s="34" t="s">
        <v>13</v>
      </c>
      <c r="C82" s="35">
        <v>1432</v>
      </c>
      <c r="D82" s="35">
        <v>425</v>
      </c>
      <c r="E82" s="35">
        <v>29589</v>
      </c>
      <c r="F82" s="32">
        <v>4.5</v>
      </c>
      <c r="G82" s="35">
        <v>42964</v>
      </c>
      <c r="H82" s="17">
        <f>Table25[[#This Row],[New_Followers]]-Table25[[#This Row],[Unfollows]]</f>
        <v>1007</v>
      </c>
      <c r="I82" s="36">
        <f>Table25[[#This Row],[Followers gained]]/Table25[[#This Row],[Total_Followers]]</f>
        <v>3.4032917638311531E-2</v>
      </c>
    </row>
    <row r="83" spans="1:9" x14ac:dyDescent="0.3">
      <c r="A83" s="33" t="s">
        <v>598</v>
      </c>
      <c r="B83" s="34" t="s">
        <v>24</v>
      </c>
      <c r="C83" s="35">
        <v>1218</v>
      </c>
      <c r="D83" s="35">
        <v>212</v>
      </c>
      <c r="E83" s="35">
        <v>63177</v>
      </c>
      <c r="F83" s="32">
        <v>8.1300000000000008</v>
      </c>
      <c r="G83" s="35">
        <v>38883</v>
      </c>
      <c r="H83" s="17">
        <f>Table25[[#This Row],[New_Followers]]-Table25[[#This Row],[Unfollows]]</f>
        <v>1006</v>
      </c>
      <c r="I83" s="36">
        <f>Table25[[#This Row],[Followers gained]]/Table25[[#This Row],[Total_Followers]]</f>
        <v>1.592351646960128E-2</v>
      </c>
    </row>
    <row r="84" spans="1:9" x14ac:dyDescent="0.3">
      <c r="A84" s="33" t="s">
        <v>224</v>
      </c>
      <c r="B84" s="34" t="s">
        <v>39</v>
      </c>
      <c r="C84" s="35">
        <v>1312</v>
      </c>
      <c r="D84" s="35">
        <v>310</v>
      </c>
      <c r="E84" s="35">
        <v>42654</v>
      </c>
      <c r="F84" s="32">
        <v>4.9800000000000004</v>
      </c>
      <c r="G84" s="35">
        <v>9566</v>
      </c>
      <c r="H84" s="17">
        <f>Table25[[#This Row],[New_Followers]]-Table25[[#This Row],[Unfollows]]</f>
        <v>1002</v>
      </c>
      <c r="I84" s="36">
        <f>Table25[[#This Row],[Followers gained]]/Table25[[#This Row],[Total_Followers]]</f>
        <v>2.3491348994232664E-2</v>
      </c>
    </row>
    <row r="85" spans="1:9" x14ac:dyDescent="0.3">
      <c r="A85" s="33" t="s">
        <v>146</v>
      </c>
      <c r="B85" s="34" t="s">
        <v>24</v>
      </c>
      <c r="C85" s="35">
        <v>1197</v>
      </c>
      <c r="D85" s="35">
        <v>203</v>
      </c>
      <c r="E85" s="35">
        <v>413878</v>
      </c>
      <c r="F85" s="32">
        <v>3.16</v>
      </c>
      <c r="G85" s="35">
        <v>21205</v>
      </c>
      <c r="H85" s="17">
        <f>Table25[[#This Row],[New_Followers]]-Table25[[#This Row],[Unfollows]]</f>
        <v>994</v>
      </c>
      <c r="I85" s="36">
        <f>Table25[[#This Row],[Followers gained]]/Table25[[#This Row],[Total_Followers]]</f>
        <v>2.4016739232334168E-3</v>
      </c>
    </row>
    <row r="86" spans="1:9" x14ac:dyDescent="0.3">
      <c r="A86" s="33" t="s">
        <v>122</v>
      </c>
      <c r="B86" s="34" t="s">
        <v>30</v>
      </c>
      <c r="C86" s="35">
        <v>1138</v>
      </c>
      <c r="D86" s="35">
        <v>173</v>
      </c>
      <c r="E86" s="35">
        <v>453243</v>
      </c>
      <c r="F86" s="32">
        <v>2.86</v>
      </c>
      <c r="G86" s="35">
        <v>44097</v>
      </c>
      <c r="H86" s="17">
        <f>Table25[[#This Row],[New_Followers]]-Table25[[#This Row],[Unfollows]]</f>
        <v>965</v>
      </c>
      <c r="I86" s="36">
        <f>Table25[[#This Row],[Followers gained]]/Table25[[#This Row],[Total_Followers]]</f>
        <v>2.1291007252180398E-3</v>
      </c>
    </row>
    <row r="87" spans="1:9" x14ac:dyDescent="0.3">
      <c r="A87" s="33" t="s">
        <v>596</v>
      </c>
      <c r="B87" s="34" t="s">
        <v>39</v>
      </c>
      <c r="C87" s="35">
        <v>1391</v>
      </c>
      <c r="D87" s="35">
        <v>430</v>
      </c>
      <c r="E87" s="35">
        <v>295032</v>
      </c>
      <c r="F87" s="32">
        <v>7.86</v>
      </c>
      <c r="G87" s="35">
        <v>26067</v>
      </c>
      <c r="H87" s="17">
        <f>Table25[[#This Row],[New_Followers]]-Table25[[#This Row],[Unfollows]]</f>
        <v>961</v>
      </c>
      <c r="I87" s="36">
        <f>Table25[[#This Row],[Followers gained]]/Table25[[#This Row],[Total_Followers]]</f>
        <v>3.2572737872501967E-3</v>
      </c>
    </row>
    <row r="88" spans="1:9" x14ac:dyDescent="0.3">
      <c r="A88" s="33" t="s">
        <v>354</v>
      </c>
      <c r="B88" s="34" t="s">
        <v>13</v>
      </c>
      <c r="C88" s="35">
        <v>1222</v>
      </c>
      <c r="D88" s="35">
        <v>274</v>
      </c>
      <c r="E88" s="35">
        <v>487289</v>
      </c>
      <c r="F88" s="32">
        <v>3.16</v>
      </c>
      <c r="G88" s="35">
        <v>32500</v>
      </c>
      <c r="H88" s="17">
        <f>Table25[[#This Row],[New_Followers]]-Table25[[#This Row],[Unfollows]]</f>
        <v>948</v>
      </c>
      <c r="I88" s="36">
        <f>Table25[[#This Row],[Followers gained]]/Table25[[#This Row],[Total_Followers]]</f>
        <v>1.9454574184929272E-3</v>
      </c>
    </row>
    <row r="89" spans="1:9" x14ac:dyDescent="0.3">
      <c r="A89" s="33" t="s">
        <v>241</v>
      </c>
      <c r="B89" s="34" t="s">
        <v>39</v>
      </c>
      <c r="C89" s="35">
        <v>1294</v>
      </c>
      <c r="D89" s="35">
        <v>382</v>
      </c>
      <c r="E89" s="35">
        <v>309914</v>
      </c>
      <c r="F89" s="32">
        <v>8.0299999999999994</v>
      </c>
      <c r="G89" s="35">
        <v>23489</v>
      </c>
      <c r="H89" s="17">
        <f>Table25[[#This Row],[New_Followers]]-Table25[[#This Row],[Unfollows]]</f>
        <v>912</v>
      </c>
      <c r="I89" s="36">
        <f>Table25[[#This Row],[Followers gained]]/Table25[[#This Row],[Total_Followers]]</f>
        <v>2.9427518601934728E-3</v>
      </c>
    </row>
    <row r="90" spans="1:9" x14ac:dyDescent="0.3">
      <c r="A90" s="33" t="s">
        <v>14</v>
      </c>
      <c r="B90" s="34" t="s">
        <v>13</v>
      </c>
      <c r="C90" s="35">
        <v>1137</v>
      </c>
      <c r="D90" s="35">
        <v>226</v>
      </c>
      <c r="E90" s="35">
        <v>81119</v>
      </c>
      <c r="F90" s="32">
        <v>7.74</v>
      </c>
      <c r="G90" s="35">
        <v>35359</v>
      </c>
      <c r="H90" s="17">
        <f>Table25[[#This Row],[New_Followers]]-Table25[[#This Row],[Unfollows]]</f>
        <v>911</v>
      </c>
      <c r="I90" s="36">
        <f>Table25[[#This Row],[Followers gained]]/Table25[[#This Row],[Total_Followers]]</f>
        <v>1.1230414576116569E-2</v>
      </c>
    </row>
    <row r="91" spans="1:9" x14ac:dyDescent="0.3">
      <c r="A91" s="33" t="s">
        <v>608</v>
      </c>
      <c r="B91" s="34" t="s">
        <v>39</v>
      </c>
      <c r="C91" s="35">
        <v>1098</v>
      </c>
      <c r="D91" s="35">
        <v>190</v>
      </c>
      <c r="E91" s="35">
        <v>340842</v>
      </c>
      <c r="F91" s="32">
        <v>9.39</v>
      </c>
      <c r="G91" s="35">
        <v>21539</v>
      </c>
      <c r="H91" s="17">
        <f>Table25[[#This Row],[New_Followers]]-Table25[[#This Row],[Unfollows]]</f>
        <v>908</v>
      </c>
      <c r="I91" s="36">
        <f>Table25[[#This Row],[Followers gained]]/Table25[[#This Row],[Total_Followers]]</f>
        <v>2.6639909400836752E-3</v>
      </c>
    </row>
    <row r="92" spans="1:9" x14ac:dyDescent="0.3">
      <c r="A92" s="33" t="s">
        <v>120</v>
      </c>
      <c r="B92" s="34" t="s">
        <v>30</v>
      </c>
      <c r="C92" s="35">
        <v>1013</v>
      </c>
      <c r="D92" s="35">
        <v>110</v>
      </c>
      <c r="E92" s="35">
        <v>466382</v>
      </c>
      <c r="F92" s="32">
        <v>5.3</v>
      </c>
      <c r="G92" s="35">
        <v>37132</v>
      </c>
      <c r="H92" s="17">
        <f>Table25[[#This Row],[New_Followers]]-Table25[[#This Row],[Unfollows]]</f>
        <v>903</v>
      </c>
      <c r="I92" s="36">
        <f>Table25[[#This Row],[Followers gained]]/Table25[[#This Row],[Total_Followers]]</f>
        <v>1.9361810704529763E-3</v>
      </c>
    </row>
    <row r="93" spans="1:9" x14ac:dyDescent="0.3">
      <c r="A93" s="33" t="s">
        <v>602</v>
      </c>
      <c r="B93" s="34" t="s">
        <v>30</v>
      </c>
      <c r="C93" s="35">
        <v>1075</v>
      </c>
      <c r="D93" s="35">
        <v>173</v>
      </c>
      <c r="E93" s="35">
        <v>51395</v>
      </c>
      <c r="F93" s="32">
        <v>4.66</v>
      </c>
      <c r="G93" s="35">
        <v>47812</v>
      </c>
      <c r="H93" s="17">
        <f>Table25[[#This Row],[New_Followers]]-Table25[[#This Row],[Unfollows]]</f>
        <v>902</v>
      </c>
      <c r="I93" s="36">
        <f>Table25[[#This Row],[Followers gained]]/Table25[[#This Row],[Total_Followers]]</f>
        <v>1.7550345364335054E-2</v>
      </c>
    </row>
    <row r="94" spans="1:9" x14ac:dyDescent="0.3">
      <c r="A94" s="33" t="s">
        <v>605</v>
      </c>
      <c r="B94" s="34" t="s">
        <v>24</v>
      </c>
      <c r="C94" s="35">
        <v>1331</v>
      </c>
      <c r="D94" s="35">
        <v>430</v>
      </c>
      <c r="E94" s="35">
        <v>14437</v>
      </c>
      <c r="F94" s="32">
        <v>3.29</v>
      </c>
      <c r="G94" s="35">
        <v>40868</v>
      </c>
      <c r="H94" s="17">
        <f>Table25[[#This Row],[New_Followers]]-Table25[[#This Row],[Unfollows]]</f>
        <v>901</v>
      </c>
      <c r="I94" s="36">
        <f>Table25[[#This Row],[Followers gained]]/Table25[[#This Row],[Total_Followers]]</f>
        <v>6.2409087760615087E-2</v>
      </c>
    </row>
    <row r="95" spans="1:9" x14ac:dyDescent="0.3">
      <c r="A95" s="33" t="s">
        <v>190</v>
      </c>
      <c r="B95" s="34" t="s">
        <v>13</v>
      </c>
      <c r="C95" s="35">
        <v>946</v>
      </c>
      <c r="D95" s="35">
        <v>47</v>
      </c>
      <c r="E95" s="35">
        <v>466575</v>
      </c>
      <c r="F95" s="32">
        <v>8.33</v>
      </c>
      <c r="G95" s="35">
        <v>10002</v>
      </c>
      <c r="H95" s="17">
        <f>Table25[[#This Row],[New_Followers]]-Table25[[#This Row],[Unfollows]]</f>
        <v>899</v>
      </c>
      <c r="I95" s="36">
        <f>Table25[[#This Row],[Followers gained]]/Table25[[#This Row],[Total_Followers]]</f>
        <v>1.9268070513850934E-3</v>
      </c>
    </row>
    <row r="96" spans="1:9" x14ac:dyDescent="0.3">
      <c r="A96" s="33" t="s">
        <v>216</v>
      </c>
      <c r="B96" s="34" t="s">
        <v>39</v>
      </c>
      <c r="C96" s="35">
        <v>1249</v>
      </c>
      <c r="D96" s="35">
        <v>351</v>
      </c>
      <c r="E96" s="35">
        <v>321307</v>
      </c>
      <c r="F96" s="32">
        <v>6.37</v>
      </c>
      <c r="G96" s="35">
        <v>20560</v>
      </c>
      <c r="H96" s="17">
        <f>Table25[[#This Row],[New_Followers]]-Table25[[#This Row],[Unfollows]]</f>
        <v>898</v>
      </c>
      <c r="I96" s="36">
        <f>Table25[[#This Row],[Followers gained]]/Table25[[#This Row],[Total_Followers]]</f>
        <v>2.7948348464241365E-3</v>
      </c>
    </row>
    <row r="97" spans="1:9" x14ac:dyDescent="0.3">
      <c r="A97" s="33" t="s">
        <v>158</v>
      </c>
      <c r="B97" s="34" t="s">
        <v>30</v>
      </c>
      <c r="C97" s="35">
        <v>1048</v>
      </c>
      <c r="D97" s="35">
        <v>155</v>
      </c>
      <c r="E97" s="35">
        <v>456946</v>
      </c>
      <c r="F97" s="32">
        <v>2.46</v>
      </c>
      <c r="G97" s="35">
        <v>11329</v>
      </c>
      <c r="H97" s="17">
        <f>Table25[[#This Row],[New_Followers]]-Table25[[#This Row],[Unfollows]]</f>
        <v>893</v>
      </c>
      <c r="I97" s="36">
        <f>Table25[[#This Row],[Followers gained]]/Table25[[#This Row],[Total_Followers]]</f>
        <v>1.9542790614208243E-3</v>
      </c>
    </row>
    <row r="98" spans="1:9" x14ac:dyDescent="0.3">
      <c r="A98" s="33" t="s">
        <v>606</v>
      </c>
      <c r="B98" s="34" t="s">
        <v>13</v>
      </c>
      <c r="C98" s="35">
        <v>1040</v>
      </c>
      <c r="D98" s="35">
        <v>149</v>
      </c>
      <c r="E98" s="35">
        <v>124404</v>
      </c>
      <c r="F98" s="32">
        <v>5.23</v>
      </c>
      <c r="G98" s="35">
        <v>45380</v>
      </c>
      <c r="H98" s="17">
        <f>Table25[[#This Row],[New_Followers]]-Table25[[#This Row],[Unfollows]]</f>
        <v>891</v>
      </c>
      <c r="I98" s="36">
        <f>Table25[[#This Row],[Followers gained]]/Table25[[#This Row],[Total_Followers]]</f>
        <v>7.1621491270377159E-3</v>
      </c>
    </row>
    <row r="99" spans="1:9" x14ac:dyDescent="0.3">
      <c r="A99" s="33" t="s">
        <v>124</v>
      </c>
      <c r="B99" s="34" t="s">
        <v>24</v>
      </c>
      <c r="C99" s="35">
        <v>1293</v>
      </c>
      <c r="D99" s="35">
        <v>408</v>
      </c>
      <c r="E99" s="35">
        <v>62535</v>
      </c>
      <c r="F99" s="32">
        <v>8.9</v>
      </c>
      <c r="G99" s="35">
        <v>37876</v>
      </c>
      <c r="H99" s="17">
        <f>Table25[[#This Row],[New_Followers]]-Table25[[#This Row],[Unfollows]]</f>
        <v>885</v>
      </c>
      <c r="I99" s="36">
        <f>Table25[[#This Row],[Followers gained]]/Table25[[#This Row],[Total_Followers]]</f>
        <v>1.4152074838090669E-2</v>
      </c>
    </row>
    <row r="100" spans="1:9" x14ac:dyDescent="0.3">
      <c r="A100" s="33" t="s">
        <v>107</v>
      </c>
      <c r="B100" s="34" t="s">
        <v>24</v>
      </c>
      <c r="C100" s="35">
        <v>1004</v>
      </c>
      <c r="D100" s="35">
        <v>128</v>
      </c>
      <c r="E100" s="35">
        <v>488901</v>
      </c>
      <c r="F100" s="32">
        <v>8.09</v>
      </c>
      <c r="G100" s="35">
        <v>49558</v>
      </c>
      <c r="H100" s="17">
        <f>Table25[[#This Row],[New_Followers]]-Table25[[#This Row],[Unfollows]]</f>
        <v>876</v>
      </c>
      <c r="I100" s="36">
        <f>Table25[[#This Row],[Followers gained]]/Table25[[#This Row],[Total_Followers]]</f>
        <v>1.7917737946946315E-3</v>
      </c>
    </row>
    <row r="101" spans="1:9" x14ac:dyDescent="0.3">
      <c r="A101" s="33" t="s">
        <v>75</v>
      </c>
      <c r="B101" s="34" t="s">
        <v>24</v>
      </c>
      <c r="C101" s="35">
        <v>1035</v>
      </c>
      <c r="D101" s="35">
        <v>171</v>
      </c>
      <c r="E101" s="35">
        <v>148477</v>
      </c>
      <c r="F101" s="32">
        <v>5.21</v>
      </c>
      <c r="G101" s="35">
        <v>7541</v>
      </c>
      <c r="H101" s="17">
        <f>Table25[[#This Row],[New_Followers]]-Table25[[#This Row],[Unfollows]]</f>
        <v>864</v>
      </c>
      <c r="I101" s="36">
        <f>Table25[[#This Row],[Followers gained]]/Table25[[#This Row],[Total_Followers]]</f>
        <v>5.8190830903102836E-3</v>
      </c>
    </row>
    <row r="102" spans="1:9" x14ac:dyDescent="0.3">
      <c r="A102" s="33" t="s">
        <v>609</v>
      </c>
      <c r="B102" s="34" t="s">
        <v>13</v>
      </c>
      <c r="C102" s="35">
        <v>1077</v>
      </c>
      <c r="D102" s="35">
        <v>216</v>
      </c>
      <c r="E102" s="35">
        <v>12447</v>
      </c>
      <c r="F102" s="32">
        <v>1.8</v>
      </c>
      <c r="G102" s="35">
        <v>14068</v>
      </c>
      <c r="H102" s="17">
        <f>Table25[[#This Row],[New_Followers]]-Table25[[#This Row],[Unfollows]]</f>
        <v>861</v>
      </c>
      <c r="I102" s="36">
        <f>Table25[[#This Row],[Followers gained]]/Table25[[#This Row],[Total_Followers]]</f>
        <v>6.9173294769824048E-2</v>
      </c>
    </row>
    <row r="103" spans="1:9" x14ac:dyDescent="0.3">
      <c r="A103" s="33" t="s">
        <v>120</v>
      </c>
      <c r="B103" s="34" t="s">
        <v>24</v>
      </c>
      <c r="C103" s="35">
        <v>891</v>
      </c>
      <c r="D103" s="35">
        <v>45</v>
      </c>
      <c r="E103" s="35">
        <v>95410</v>
      </c>
      <c r="F103" s="32">
        <v>8.33</v>
      </c>
      <c r="G103" s="35">
        <v>15045</v>
      </c>
      <c r="H103" s="17">
        <f>Table25[[#This Row],[New_Followers]]-Table25[[#This Row],[Unfollows]]</f>
        <v>846</v>
      </c>
      <c r="I103" s="36">
        <f>Table25[[#This Row],[Followers gained]]/Table25[[#This Row],[Total_Followers]]</f>
        <v>8.8669950738916262E-3</v>
      </c>
    </row>
    <row r="104" spans="1:9" x14ac:dyDescent="0.3">
      <c r="A104" s="33" t="s">
        <v>44</v>
      </c>
      <c r="B104" s="34" t="s">
        <v>13</v>
      </c>
      <c r="C104" s="35">
        <v>1238</v>
      </c>
      <c r="D104" s="35">
        <v>403</v>
      </c>
      <c r="E104" s="35">
        <v>298421</v>
      </c>
      <c r="F104" s="32">
        <v>3.5</v>
      </c>
      <c r="G104" s="35">
        <v>31280</v>
      </c>
      <c r="H104" s="17">
        <f>Table25[[#This Row],[New_Followers]]-Table25[[#This Row],[Unfollows]]</f>
        <v>835</v>
      </c>
      <c r="I104" s="36">
        <f>Table25[[#This Row],[Followers gained]]/Table25[[#This Row],[Total_Followers]]</f>
        <v>2.798060458211721E-3</v>
      </c>
    </row>
    <row r="105" spans="1:9" x14ac:dyDescent="0.3">
      <c r="A105" s="33" t="s">
        <v>612</v>
      </c>
      <c r="B105" s="34" t="s">
        <v>13</v>
      </c>
      <c r="C105" s="35">
        <v>1147</v>
      </c>
      <c r="D105" s="35">
        <v>388</v>
      </c>
      <c r="E105" s="35">
        <v>333851</v>
      </c>
      <c r="F105" s="32">
        <v>2.44</v>
      </c>
      <c r="G105" s="35">
        <v>8471</v>
      </c>
      <c r="H105" s="17">
        <f>Table25[[#This Row],[New_Followers]]-Table25[[#This Row],[Unfollows]]</f>
        <v>759</v>
      </c>
      <c r="I105" s="36">
        <f>Table25[[#This Row],[Followers gained]]/Table25[[#This Row],[Total_Followers]]</f>
        <v>2.2734693021737242E-3</v>
      </c>
    </row>
    <row r="106" spans="1:9" x14ac:dyDescent="0.3">
      <c r="A106" s="33" t="s">
        <v>607</v>
      </c>
      <c r="B106" s="34" t="s">
        <v>39</v>
      </c>
      <c r="C106" s="35">
        <v>1159</v>
      </c>
      <c r="D106" s="35">
        <v>411</v>
      </c>
      <c r="E106" s="35">
        <v>135987</v>
      </c>
      <c r="F106" s="32">
        <v>8.6999999999999993</v>
      </c>
      <c r="G106" s="35">
        <v>40323</v>
      </c>
      <c r="H106" s="17">
        <f>Table25[[#This Row],[New_Followers]]-Table25[[#This Row],[Unfollows]]</f>
        <v>748</v>
      </c>
      <c r="I106" s="36">
        <f>Table25[[#This Row],[Followers gained]]/Table25[[#This Row],[Total_Followers]]</f>
        <v>5.5005257855530306E-3</v>
      </c>
    </row>
    <row r="107" spans="1:9" x14ac:dyDescent="0.3">
      <c r="A107" s="33" t="s">
        <v>14</v>
      </c>
      <c r="B107" s="34" t="s">
        <v>39</v>
      </c>
      <c r="C107" s="35">
        <v>1155</v>
      </c>
      <c r="D107" s="35">
        <v>425</v>
      </c>
      <c r="E107" s="35">
        <v>93347</v>
      </c>
      <c r="F107" s="32">
        <v>2.02</v>
      </c>
      <c r="G107" s="35">
        <v>47502</v>
      </c>
      <c r="H107" s="17">
        <f>Table25[[#This Row],[New_Followers]]-Table25[[#This Row],[Unfollows]]</f>
        <v>730</v>
      </c>
      <c r="I107" s="36">
        <f>Table25[[#This Row],[Followers gained]]/Table25[[#This Row],[Total_Followers]]</f>
        <v>7.8202834584935772E-3</v>
      </c>
    </row>
    <row r="108" spans="1:9" x14ac:dyDescent="0.3">
      <c r="A108" s="33" t="s">
        <v>606</v>
      </c>
      <c r="B108" s="34" t="s">
        <v>24</v>
      </c>
      <c r="C108" s="35">
        <v>1166</v>
      </c>
      <c r="D108" s="35">
        <v>442</v>
      </c>
      <c r="E108" s="35">
        <v>336949</v>
      </c>
      <c r="F108" s="32">
        <v>4.68</v>
      </c>
      <c r="G108" s="35">
        <v>7705</v>
      </c>
      <c r="H108" s="17">
        <f>Table25[[#This Row],[New_Followers]]-Table25[[#This Row],[Unfollows]]</f>
        <v>724</v>
      </c>
      <c r="I108" s="36">
        <f>Table25[[#This Row],[Followers gained]]/Table25[[#This Row],[Total_Followers]]</f>
        <v>2.1486931256659019E-3</v>
      </c>
    </row>
    <row r="109" spans="1:9" x14ac:dyDescent="0.3">
      <c r="A109" s="33" t="s">
        <v>142</v>
      </c>
      <c r="B109" s="34" t="s">
        <v>13</v>
      </c>
      <c r="C109" s="35">
        <v>861</v>
      </c>
      <c r="D109" s="35">
        <v>153</v>
      </c>
      <c r="E109" s="35">
        <v>317007</v>
      </c>
      <c r="F109" s="32">
        <v>3.85</v>
      </c>
      <c r="G109" s="35">
        <v>8718</v>
      </c>
      <c r="H109" s="17">
        <f>Table25[[#This Row],[New_Followers]]-Table25[[#This Row],[Unfollows]]</f>
        <v>708</v>
      </c>
      <c r="I109" s="36">
        <f>Table25[[#This Row],[Followers gained]]/Table25[[#This Row],[Total_Followers]]</f>
        <v>2.2333891680625349E-3</v>
      </c>
    </row>
    <row r="110" spans="1:9" x14ac:dyDescent="0.3">
      <c r="A110" s="33" t="s">
        <v>14</v>
      </c>
      <c r="B110" s="34" t="s">
        <v>30</v>
      </c>
      <c r="C110" s="35">
        <v>1092</v>
      </c>
      <c r="D110" s="35">
        <v>408</v>
      </c>
      <c r="E110" s="35">
        <v>280795</v>
      </c>
      <c r="F110" s="32">
        <v>8.44</v>
      </c>
      <c r="G110" s="35">
        <v>4683</v>
      </c>
      <c r="H110" s="17">
        <f>Table25[[#This Row],[New_Followers]]-Table25[[#This Row],[Unfollows]]</f>
        <v>684</v>
      </c>
      <c r="I110" s="36">
        <f>Table25[[#This Row],[Followers gained]]/Table25[[#This Row],[Total_Followers]]</f>
        <v>2.4359408109118751E-3</v>
      </c>
    </row>
    <row r="111" spans="1:9" x14ac:dyDescent="0.3">
      <c r="A111" s="33" t="s">
        <v>609</v>
      </c>
      <c r="B111" s="34" t="s">
        <v>30</v>
      </c>
      <c r="C111" s="35">
        <v>1102</v>
      </c>
      <c r="D111" s="35">
        <v>422</v>
      </c>
      <c r="E111" s="35">
        <v>410330</v>
      </c>
      <c r="F111" s="32">
        <v>7.74</v>
      </c>
      <c r="G111" s="35">
        <v>9480</v>
      </c>
      <c r="H111" s="17">
        <f>Table25[[#This Row],[New_Followers]]-Table25[[#This Row],[Unfollows]]</f>
        <v>680</v>
      </c>
      <c r="I111" s="36">
        <f>Table25[[#This Row],[Followers gained]]/Table25[[#This Row],[Total_Followers]]</f>
        <v>1.6572027392586454E-3</v>
      </c>
    </row>
    <row r="112" spans="1:9" x14ac:dyDescent="0.3">
      <c r="A112" s="33" t="s">
        <v>598</v>
      </c>
      <c r="B112" s="34" t="s">
        <v>30</v>
      </c>
      <c r="C112" s="35">
        <v>817</v>
      </c>
      <c r="D112" s="35">
        <v>151</v>
      </c>
      <c r="E112" s="35">
        <v>422625</v>
      </c>
      <c r="F112" s="32">
        <v>2.36</v>
      </c>
      <c r="G112" s="35">
        <v>1083</v>
      </c>
      <c r="H112" s="17">
        <f>Table25[[#This Row],[New_Followers]]-Table25[[#This Row],[Unfollows]]</f>
        <v>666</v>
      </c>
      <c r="I112" s="36">
        <f>Table25[[#This Row],[Followers gained]]/Table25[[#This Row],[Total_Followers]]</f>
        <v>1.5758651286601596E-3</v>
      </c>
    </row>
    <row r="113" spans="1:9" x14ac:dyDescent="0.3">
      <c r="A113" s="33" t="s">
        <v>610</v>
      </c>
      <c r="B113" s="34" t="s">
        <v>30</v>
      </c>
      <c r="C113" s="35">
        <v>1033</v>
      </c>
      <c r="D113" s="35">
        <v>392</v>
      </c>
      <c r="E113" s="35">
        <v>282780</v>
      </c>
      <c r="F113" s="32">
        <v>6.27</v>
      </c>
      <c r="G113" s="35">
        <v>23140</v>
      </c>
      <c r="H113" s="17">
        <f>Table25[[#This Row],[New_Followers]]-Table25[[#This Row],[Unfollows]]</f>
        <v>641</v>
      </c>
      <c r="I113" s="36">
        <f>Table25[[#This Row],[Followers gained]]/Table25[[#This Row],[Total_Followers]]</f>
        <v>2.2667798288422093E-3</v>
      </c>
    </row>
    <row r="114" spans="1:9" x14ac:dyDescent="0.3">
      <c r="A114" s="33" t="s">
        <v>354</v>
      </c>
      <c r="B114" s="34" t="s">
        <v>24</v>
      </c>
      <c r="C114" s="35">
        <v>777</v>
      </c>
      <c r="D114" s="35">
        <v>140</v>
      </c>
      <c r="E114" s="35">
        <v>11435</v>
      </c>
      <c r="F114" s="32">
        <v>1.6</v>
      </c>
      <c r="G114" s="35">
        <v>6832</v>
      </c>
      <c r="H114" s="17">
        <f>Table25[[#This Row],[New_Followers]]-Table25[[#This Row],[Unfollows]]</f>
        <v>637</v>
      </c>
      <c r="I114" s="36">
        <f>Table25[[#This Row],[Followers gained]]/Table25[[#This Row],[Total_Followers]]</f>
        <v>5.5706165282028861E-2</v>
      </c>
    </row>
    <row r="115" spans="1:9" x14ac:dyDescent="0.3">
      <c r="A115" s="33" t="s">
        <v>162</v>
      </c>
      <c r="B115" s="34" t="s">
        <v>13</v>
      </c>
      <c r="C115" s="35">
        <v>697</v>
      </c>
      <c r="D115" s="35">
        <v>61</v>
      </c>
      <c r="E115" s="35">
        <v>258287</v>
      </c>
      <c r="F115" s="32">
        <v>8.25</v>
      </c>
      <c r="G115" s="35">
        <v>21208</v>
      </c>
      <c r="H115" s="17">
        <f>Table25[[#This Row],[New_Followers]]-Table25[[#This Row],[Unfollows]]</f>
        <v>636</v>
      </c>
      <c r="I115" s="36">
        <f>Table25[[#This Row],[Followers gained]]/Table25[[#This Row],[Total_Followers]]</f>
        <v>2.4623771231227277E-3</v>
      </c>
    </row>
    <row r="116" spans="1:9" x14ac:dyDescent="0.3">
      <c r="A116" s="33" t="s">
        <v>44</v>
      </c>
      <c r="B116" s="34" t="s">
        <v>30</v>
      </c>
      <c r="C116" s="35">
        <v>911</v>
      </c>
      <c r="D116" s="35">
        <v>282</v>
      </c>
      <c r="E116" s="35">
        <v>35664</v>
      </c>
      <c r="F116" s="32">
        <v>6.92</v>
      </c>
      <c r="G116" s="35">
        <v>18050</v>
      </c>
      <c r="H116" s="17">
        <f>Table25[[#This Row],[New_Followers]]-Table25[[#This Row],[Unfollows]]</f>
        <v>629</v>
      </c>
      <c r="I116" s="36">
        <f>Table25[[#This Row],[Followers gained]]/Table25[[#This Row],[Total_Followers]]</f>
        <v>1.7636832660385824E-2</v>
      </c>
    </row>
    <row r="117" spans="1:9" x14ac:dyDescent="0.3">
      <c r="A117" s="33" t="s">
        <v>120</v>
      </c>
      <c r="B117" s="34" t="s">
        <v>39</v>
      </c>
      <c r="C117" s="35">
        <v>816</v>
      </c>
      <c r="D117" s="35">
        <v>196</v>
      </c>
      <c r="E117" s="35">
        <v>95728</v>
      </c>
      <c r="F117" s="32">
        <v>8.1999999999999993</v>
      </c>
      <c r="G117" s="35">
        <v>17951</v>
      </c>
      <c r="H117" s="17">
        <f>Table25[[#This Row],[New_Followers]]-Table25[[#This Row],[Unfollows]]</f>
        <v>620</v>
      </c>
      <c r="I117" s="36">
        <f>Table25[[#This Row],[Followers gained]]/Table25[[#This Row],[Total_Followers]]</f>
        <v>6.4766839378238338E-3</v>
      </c>
    </row>
    <row r="118" spans="1:9" x14ac:dyDescent="0.3">
      <c r="A118" s="33" t="s">
        <v>612</v>
      </c>
      <c r="B118" s="34" t="s">
        <v>30</v>
      </c>
      <c r="C118" s="35">
        <v>961</v>
      </c>
      <c r="D118" s="35">
        <v>358</v>
      </c>
      <c r="E118" s="35">
        <v>62942</v>
      </c>
      <c r="F118" s="32">
        <v>6.8</v>
      </c>
      <c r="G118" s="35">
        <v>18693</v>
      </c>
      <c r="H118" s="17">
        <f>Table25[[#This Row],[New_Followers]]-Table25[[#This Row],[Unfollows]]</f>
        <v>603</v>
      </c>
      <c r="I118" s="36">
        <f>Table25[[#This Row],[Followers gained]]/Table25[[#This Row],[Total_Followers]]</f>
        <v>9.5802484827301332E-3</v>
      </c>
    </row>
    <row r="119" spans="1:9" x14ac:dyDescent="0.3">
      <c r="A119" s="33" t="s">
        <v>599</v>
      </c>
      <c r="B119" s="34" t="s">
        <v>13</v>
      </c>
      <c r="C119" s="35">
        <v>752</v>
      </c>
      <c r="D119" s="35">
        <v>153</v>
      </c>
      <c r="E119" s="35">
        <v>64906</v>
      </c>
      <c r="F119" s="32">
        <v>2.09</v>
      </c>
      <c r="G119" s="35">
        <v>12148</v>
      </c>
      <c r="H119" s="17">
        <f>Table25[[#This Row],[New_Followers]]-Table25[[#This Row],[Unfollows]]</f>
        <v>599</v>
      </c>
      <c r="I119" s="36">
        <f>Table25[[#This Row],[Followers gained]]/Table25[[#This Row],[Total_Followers]]</f>
        <v>9.2287307798970819E-3</v>
      </c>
    </row>
    <row r="120" spans="1:9" x14ac:dyDescent="0.3">
      <c r="A120" s="33" t="s">
        <v>194</v>
      </c>
      <c r="B120" s="34" t="s">
        <v>30</v>
      </c>
      <c r="C120" s="35">
        <v>642</v>
      </c>
      <c r="D120" s="35">
        <v>66</v>
      </c>
      <c r="E120" s="35">
        <v>346522</v>
      </c>
      <c r="F120" s="32">
        <v>5.85</v>
      </c>
      <c r="G120" s="35">
        <v>13116</v>
      </c>
      <c r="H120" s="17">
        <f>Table25[[#This Row],[New_Followers]]-Table25[[#This Row],[Unfollows]]</f>
        <v>576</v>
      </c>
      <c r="I120" s="36">
        <f>Table25[[#This Row],[Followers gained]]/Table25[[#This Row],[Total_Followers]]</f>
        <v>1.6622321237901201E-3</v>
      </c>
    </row>
    <row r="121" spans="1:9" x14ac:dyDescent="0.3">
      <c r="A121" s="33" t="s">
        <v>213</v>
      </c>
      <c r="B121" s="34" t="s">
        <v>24</v>
      </c>
      <c r="C121" s="35">
        <v>736</v>
      </c>
      <c r="D121" s="35">
        <v>163</v>
      </c>
      <c r="E121" s="35">
        <v>451894</v>
      </c>
      <c r="F121" s="32">
        <v>5.43</v>
      </c>
      <c r="G121" s="35">
        <v>46625</v>
      </c>
      <c r="H121" s="17">
        <f>Table25[[#This Row],[New_Followers]]-Table25[[#This Row],[Unfollows]]</f>
        <v>573</v>
      </c>
      <c r="I121" s="36">
        <f>Table25[[#This Row],[Followers gained]]/Table25[[#This Row],[Total_Followers]]</f>
        <v>1.2679964770499277E-3</v>
      </c>
    </row>
    <row r="122" spans="1:9" x14ac:dyDescent="0.3">
      <c r="A122" s="33" t="s">
        <v>607</v>
      </c>
      <c r="B122" s="34" t="s">
        <v>13</v>
      </c>
      <c r="C122" s="35">
        <v>927</v>
      </c>
      <c r="D122" s="35">
        <v>358</v>
      </c>
      <c r="E122" s="35">
        <v>177554</v>
      </c>
      <c r="F122" s="32">
        <v>6.95</v>
      </c>
      <c r="G122" s="35">
        <v>48270</v>
      </c>
      <c r="H122" s="17">
        <f>Table25[[#This Row],[New_Followers]]-Table25[[#This Row],[Unfollows]]</f>
        <v>569</v>
      </c>
      <c r="I122" s="36">
        <f>Table25[[#This Row],[Followers gained]]/Table25[[#This Row],[Total_Followers]]</f>
        <v>3.2046588643454949E-3</v>
      </c>
    </row>
    <row r="123" spans="1:9" x14ac:dyDescent="0.3">
      <c r="A123" s="33" t="s">
        <v>595</v>
      </c>
      <c r="B123" s="34" t="s">
        <v>13</v>
      </c>
      <c r="C123" s="35">
        <v>987</v>
      </c>
      <c r="D123" s="35">
        <v>440</v>
      </c>
      <c r="E123" s="35">
        <v>389810</v>
      </c>
      <c r="F123" s="32">
        <v>4.66</v>
      </c>
      <c r="G123" s="35">
        <v>2932</v>
      </c>
      <c r="H123" s="17">
        <f>Table25[[#This Row],[New_Followers]]-Table25[[#This Row],[Unfollows]]</f>
        <v>547</v>
      </c>
      <c r="I123" s="36">
        <f>Table25[[#This Row],[Followers gained]]/Table25[[#This Row],[Total_Followers]]</f>
        <v>1.40324773607655E-3</v>
      </c>
    </row>
    <row r="124" spans="1:9" x14ac:dyDescent="0.3">
      <c r="A124" s="33" t="s">
        <v>260</v>
      </c>
      <c r="B124" s="34" t="s">
        <v>30</v>
      </c>
      <c r="C124" s="35">
        <v>653</v>
      </c>
      <c r="D124" s="35">
        <v>112</v>
      </c>
      <c r="E124" s="35">
        <v>23664</v>
      </c>
      <c r="F124" s="32">
        <v>4.05</v>
      </c>
      <c r="G124" s="35">
        <v>15353</v>
      </c>
      <c r="H124" s="17">
        <f>Table25[[#This Row],[New_Followers]]-Table25[[#This Row],[Unfollows]]</f>
        <v>541</v>
      </c>
      <c r="I124" s="36">
        <f>Table25[[#This Row],[Followers gained]]/Table25[[#This Row],[Total_Followers]]</f>
        <v>2.2861730899256253E-2</v>
      </c>
    </row>
    <row r="125" spans="1:9" x14ac:dyDescent="0.3">
      <c r="A125" s="33" t="s">
        <v>274</v>
      </c>
      <c r="B125" s="34" t="s">
        <v>39</v>
      </c>
      <c r="C125" s="35">
        <v>947</v>
      </c>
      <c r="D125" s="35">
        <v>407</v>
      </c>
      <c r="E125" s="35">
        <v>319186</v>
      </c>
      <c r="F125" s="32">
        <v>3.32</v>
      </c>
      <c r="G125" s="35">
        <v>4996</v>
      </c>
      <c r="H125" s="17">
        <f>Table25[[#This Row],[New_Followers]]-Table25[[#This Row],[Unfollows]]</f>
        <v>540</v>
      </c>
      <c r="I125" s="36">
        <f>Table25[[#This Row],[Followers gained]]/Table25[[#This Row],[Total_Followers]]</f>
        <v>1.6918035252172713E-3</v>
      </c>
    </row>
    <row r="126" spans="1:9" x14ac:dyDescent="0.3">
      <c r="A126" s="33" t="s">
        <v>146</v>
      </c>
      <c r="B126" s="34" t="s">
        <v>30</v>
      </c>
      <c r="C126" s="35">
        <v>656</v>
      </c>
      <c r="D126" s="35">
        <v>139</v>
      </c>
      <c r="E126" s="35">
        <v>49157</v>
      </c>
      <c r="F126" s="32">
        <v>9.0500000000000007</v>
      </c>
      <c r="G126" s="35">
        <v>9920</v>
      </c>
      <c r="H126" s="17">
        <f>Table25[[#This Row],[New_Followers]]-Table25[[#This Row],[Unfollows]]</f>
        <v>517</v>
      </c>
      <c r="I126" s="36">
        <f>Table25[[#This Row],[Followers gained]]/Table25[[#This Row],[Total_Followers]]</f>
        <v>1.0517322049758936E-2</v>
      </c>
    </row>
    <row r="127" spans="1:9" x14ac:dyDescent="0.3">
      <c r="A127" s="33" t="s">
        <v>595</v>
      </c>
      <c r="B127" s="34" t="s">
        <v>24</v>
      </c>
      <c r="C127" s="35">
        <v>883</v>
      </c>
      <c r="D127" s="35">
        <v>369</v>
      </c>
      <c r="E127" s="35">
        <v>233694</v>
      </c>
      <c r="F127" s="32">
        <v>2.88</v>
      </c>
      <c r="G127" s="35">
        <v>15071</v>
      </c>
      <c r="H127" s="17">
        <f>Table25[[#This Row],[New_Followers]]-Table25[[#This Row],[Unfollows]]</f>
        <v>514</v>
      </c>
      <c r="I127" s="36">
        <f>Table25[[#This Row],[Followers gained]]/Table25[[#This Row],[Total_Followers]]</f>
        <v>2.1994574101175039E-3</v>
      </c>
    </row>
    <row r="128" spans="1:9" x14ac:dyDescent="0.3">
      <c r="A128" s="33" t="s">
        <v>610</v>
      </c>
      <c r="B128" s="34" t="s">
        <v>39</v>
      </c>
      <c r="C128" s="35">
        <v>988</v>
      </c>
      <c r="D128" s="35">
        <v>474</v>
      </c>
      <c r="E128" s="35">
        <v>370070</v>
      </c>
      <c r="F128" s="32">
        <v>9.4600000000000009</v>
      </c>
      <c r="G128" s="35">
        <v>23461</v>
      </c>
      <c r="H128" s="17">
        <f>Table25[[#This Row],[New_Followers]]-Table25[[#This Row],[Unfollows]]</f>
        <v>514</v>
      </c>
      <c r="I128" s="36">
        <f>Table25[[#This Row],[Followers gained]]/Table25[[#This Row],[Total_Followers]]</f>
        <v>1.3889264193260734E-3</v>
      </c>
    </row>
    <row r="129" spans="1:9" x14ac:dyDescent="0.3">
      <c r="A129" s="33" t="s">
        <v>260</v>
      </c>
      <c r="B129" s="34" t="s">
        <v>24</v>
      </c>
      <c r="C129" s="35">
        <v>576</v>
      </c>
      <c r="D129" s="35">
        <v>101</v>
      </c>
      <c r="E129" s="35">
        <v>62499</v>
      </c>
      <c r="F129" s="32">
        <v>3.48</v>
      </c>
      <c r="G129" s="35">
        <v>16804</v>
      </c>
      <c r="H129" s="17">
        <f>Table25[[#This Row],[New_Followers]]-Table25[[#This Row],[Unfollows]]</f>
        <v>475</v>
      </c>
      <c r="I129" s="36">
        <f>Table25[[#This Row],[Followers gained]]/Table25[[#This Row],[Total_Followers]]</f>
        <v>7.600121601945631E-3</v>
      </c>
    </row>
    <row r="130" spans="1:9" x14ac:dyDescent="0.3">
      <c r="A130" s="33" t="s">
        <v>226</v>
      </c>
      <c r="B130" s="34" t="s">
        <v>39</v>
      </c>
      <c r="C130" s="35">
        <v>609</v>
      </c>
      <c r="D130" s="35">
        <v>135</v>
      </c>
      <c r="E130" s="35">
        <v>373606</v>
      </c>
      <c r="F130" s="32">
        <v>8.52</v>
      </c>
      <c r="G130" s="35">
        <v>21453</v>
      </c>
      <c r="H130" s="17">
        <f>Table25[[#This Row],[New_Followers]]-Table25[[#This Row],[Unfollows]]</f>
        <v>474</v>
      </c>
      <c r="I130" s="36">
        <f>Table25[[#This Row],[Followers gained]]/Table25[[#This Row],[Total_Followers]]</f>
        <v>1.268716241173857E-3</v>
      </c>
    </row>
    <row r="131" spans="1:9" x14ac:dyDescent="0.3">
      <c r="A131" s="33" t="s">
        <v>226</v>
      </c>
      <c r="B131" s="34" t="s">
        <v>30</v>
      </c>
      <c r="C131" s="35">
        <v>490</v>
      </c>
      <c r="D131" s="35">
        <v>29</v>
      </c>
      <c r="E131" s="35">
        <v>364810</v>
      </c>
      <c r="F131" s="32">
        <v>1.53</v>
      </c>
      <c r="G131" s="35">
        <v>49077</v>
      </c>
      <c r="H131" s="17">
        <f>Table25[[#This Row],[New_Followers]]-Table25[[#This Row],[Unfollows]]</f>
        <v>461</v>
      </c>
      <c r="I131" s="36">
        <f>Table25[[#This Row],[Followers gained]]/Table25[[#This Row],[Total_Followers]]</f>
        <v>1.2636715002329981E-3</v>
      </c>
    </row>
    <row r="132" spans="1:9" x14ac:dyDescent="0.3">
      <c r="A132" s="33" t="s">
        <v>354</v>
      </c>
      <c r="B132" s="34" t="s">
        <v>39</v>
      </c>
      <c r="C132" s="35">
        <v>833</v>
      </c>
      <c r="D132" s="35">
        <v>380</v>
      </c>
      <c r="E132" s="35">
        <v>224830</v>
      </c>
      <c r="F132" s="32">
        <v>3.86</v>
      </c>
      <c r="G132" s="35">
        <v>3582</v>
      </c>
      <c r="H132" s="17">
        <f>Table25[[#This Row],[New_Followers]]-Table25[[#This Row],[Unfollows]]</f>
        <v>453</v>
      </c>
      <c r="I132" s="36">
        <f>Table25[[#This Row],[Followers gained]]/Table25[[#This Row],[Total_Followers]]</f>
        <v>2.014855668727483E-3</v>
      </c>
    </row>
    <row r="133" spans="1:9" x14ac:dyDescent="0.3">
      <c r="A133" s="33" t="s">
        <v>63</v>
      </c>
      <c r="B133" s="34" t="s">
        <v>13</v>
      </c>
      <c r="C133" s="35">
        <v>628</v>
      </c>
      <c r="D133" s="35">
        <v>183</v>
      </c>
      <c r="E133" s="35">
        <v>487523</v>
      </c>
      <c r="F133" s="32">
        <v>7.32</v>
      </c>
      <c r="G133" s="35">
        <v>5391</v>
      </c>
      <c r="H133" s="17">
        <f>Table25[[#This Row],[New_Followers]]-Table25[[#This Row],[Unfollows]]</f>
        <v>445</v>
      </c>
      <c r="I133" s="36">
        <f>Table25[[#This Row],[Followers gained]]/Table25[[#This Row],[Total_Followers]]</f>
        <v>9.1277744844858602E-4</v>
      </c>
    </row>
    <row r="134" spans="1:9" x14ac:dyDescent="0.3">
      <c r="A134" s="33" t="s">
        <v>162</v>
      </c>
      <c r="B134" s="34" t="s">
        <v>39</v>
      </c>
      <c r="C134" s="35">
        <v>508</v>
      </c>
      <c r="D134" s="35">
        <v>69</v>
      </c>
      <c r="E134" s="35">
        <v>23492</v>
      </c>
      <c r="F134" s="32">
        <v>3.16</v>
      </c>
      <c r="G134" s="35">
        <v>42824</v>
      </c>
      <c r="H134" s="17">
        <f>Table25[[#This Row],[New_Followers]]-Table25[[#This Row],[Unfollows]]</f>
        <v>439</v>
      </c>
      <c r="I134" s="36">
        <f>Table25[[#This Row],[Followers gained]]/Table25[[#This Row],[Total_Followers]]</f>
        <v>1.8687212668142345E-2</v>
      </c>
    </row>
    <row r="135" spans="1:9" x14ac:dyDescent="0.3">
      <c r="A135" s="33" t="s">
        <v>307</v>
      </c>
      <c r="B135" s="34" t="s">
        <v>13</v>
      </c>
      <c r="C135" s="35">
        <v>704</v>
      </c>
      <c r="D135" s="35">
        <v>275</v>
      </c>
      <c r="E135" s="35">
        <v>226002</v>
      </c>
      <c r="F135" s="32">
        <v>8.56</v>
      </c>
      <c r="G135" s="35">
        <v>32393</v>
      </c>
      <c r="H135" s="17">
        <f>Table25[[#This Row],[New_Followers]]-Table25[[#This Row],[Unfollows]]</f>
        <v>429</v>
      </c>
      <c r="I135" s="36">
        <f>Table25[[#This Row],[Followers gained]]/Table25[[#This Row],[Total_Followers]]</f>
        <v>1.8982132901478749E-3</v>
      </c>
    </row>
    <row r="136" spans="1:9" x14ac:dyDescent="0.3">
      <c r="A136" s="33" t="s">
        <v>606</v>
      </c>
      <c r="B136" s="34" t="s">
        <v>39</v>
      </c>
      <c r="C136" s="35">
        <v>663</v>
      </c>
      <c r="D136" s="35">
        <v>236</v>
      </c>
      <c r="E136" s="35">
        <v>479490</v>
      </c>
      <c r="F136" s="32">
        <v>4.51</v>
      </c>
      <c r="G136" s="35">
        <v>23853</v>
      </c>
      <c r="H136" s="17">
        <f>Table25[[#This Row],[New_Followers]]-Table25[[#This Row],[Unfollows]]</f>
        <v>427</v>
      </c>
      <c r="I136" s="36">
        <f>Table25[[#This Row],[Followers gained]]/Table25[[#This Row],[Total_Followers]]</f>
        <v>8.9052952094934197E-4</v>
      </c>
    </row>
    <row r="137" spans="1:9" x14ac:dyDescent="0.3">
      <c r="A137" s="33" t="s">
        <v>224</v>
      </c>
      <c r="B137" s="34" t="s">
        <v>13</v>
      </c>
      <c r="C137" s="35">
        <v>584</v>
      </c>
      <c r="D137" s="35">
        <v>169</v>
      </c>
      <c r="E137" s="35">
        <v>146834</v>
      </c>
      <c r="F137" s="32">
        <v>8.31</v>
      </c>
      <c r="G137" s="35">
        <v>26752</v>
      </c>
      <c r="H137" s="17">
        <f>Table25[[#This Row],[New_Followers]]-Table25[[#This Row],[Unfollows]]</f>
        <v>415</v>
      </c>
      <c r="I137" s="36">
        <f>Table25[[#This Row],[Followers gained]]/Table25[[#This Row],[Total_Followers]]</f>
        <v>2.826320879360366E-3</v>
      </c>
    </row>
    <row r="138" spans="1:9" x14ac:dyDescent="0.3">
      <c r="A138" s="33" t="s">
        <v>25</v>
      </c>
      <c r="B138" s="34" t="s">
        <v>39</v>
      </c>
      <c r="C138" s="35">
        <v>837</v>
      </c>
      <c r="D138" s="35">
        <v>430</v>
      </c>
      <c r="E138" s="35">
        <v>364820</v>
      </c>
      <c r="F138" s="32">
        <v>4</v>
      </c>
      <c r="G138" s="35">
        <v>49400</v>
      </c>
      <c r="H138" s="17">
        <f>Table25[[#This Row],[New_Followers]]-Table25[[#This Row],[Unfollows]]</f>
        <v>407</v>
      </c>
      <c r="I138" s="36">
        <f>Table25[[#This Row],[Followers gained]]/Table25[[#This Row],[Total_Followers]]</f>
        <v>1.1156186612576065E-3</v>
      </c>
    </row>
    <row r="139" spans="1:9" x14ac:dyDescent="0.3">
      <c r="A139" s="33" t="s">
        <v>226</v>
      </c>
      <c r="B139" s="34" t="s">
        <v>24</v>
      </c>
      <c r="C139" s="35">
        <v>442</v>
      </c>
      <c r="D139" s="35">
        <v>53</v>
      </c>
      <c r="E139" s="35">
        <v>441931</v>
      </c>
      <c r="F139" s="32">
        <v>1.87</v>
      </c>
      <c r="G139" s="35">
        <v>20059</v>
      </c>
      <c r="H139" s="17">
        <f>Table25[[#This Row],[New_Followers]]-Table25[[#This Row],[Unfollows]]</f>
        <v>389</v>
      </c>
      <c r="I139" s="36">
        <f>Table25[[#This Row],[Followers gained]]/Table25[[#This Row],[Total_Followers]]</f>
        <v>8.8022790888170322E-4</v>
      </c>
    </row>
    <row r="140" spans="1:9" x14ac:dyDescent="0.3">
      <c r="A140" s="33" t="s">
        <v>194</v>
      </c>
      <c r="B140" s="34" t="s">
        <v>39</v>
      </c>
      <c r="C140" s="35">
        <v>859</v>
      </c>
      <c r="D140" s="35">
        <v>473</v>
      </c>
      <c r="E140" s="35">
        <v>209987</v>
      </c>
      <c r="F140" s="32">
        <v>4.46</v>
      </c>
      <c r="G140" s="35">
        <v>30214</v>
      </c>
      <c r="H140" s="17">
        <f>Table25[[#This Row],[New_Followers]]-Table25[[#This Row],[Unfollows]]</f>
        <v>386</v>
      </c>
      <c r="I140" s="36">
        <f>Table25[[#This Row],[Followers gained]]/Table25[[#This Row],[Total_Followers]]</f>
        <v>1.8382090319876945E-3</v>
      </c>
    </row>
    <row r="141" spans="1:9" x14ac:dyDescent="0.3">
      <c r="A141" s="33" t="s">
        <v>597</v>
      </c>
      <c r="B141" s="34" t="s">
        <v>30</v>
      </c>
      <c r="C141" s="35">
        <v>778</v>
      </c>
      <c r="D141" s="35">
        <v>401</v>
      </c>
      <c r="E141" s="35">
        <v>50793</v>
      </c>
      <c r="F141" s="32">
        <v>3.4</v>
      </c>
      <c r="G141" s="35">
        <v>21939</v>
      </c>
      <c r="H141" s="17">
        <f>Table25[[#This Row],[New_Followers]]-Table25[[#This Row],[Unfollows]]</f>
        <v>377</v>
      </c>
      <c r="I141" s="36">
        <f>Table25[[#This Row],[Followers gained]]/Table25[[#This Row],[Total_Followers]]</f>
        <v>7.4222825979957871E-3</v>
      </c>
    </row>
    <row r="142" spans="1:9" x14ac:dyDescent="0.3">
      <c r="A142" s="33" t="s">
        <v>601</v>
      </c>
      <c r="B142" s="34" t="s">
        <v>24</v>
      </c>
      <c r="C142" s="35">
        <v>414</v>
      </c>
      <c r="D142" s="35">
        <v>47</v>
      </c>
      <c r="E142" s="35">
        <v>199178</v>
      </c>
      <c r="F142" s="32">
        <v>1.53</v>
      </c>
      <c r="G142" s="35">
        <v>6742</v>
      </c>
      <c r="H142" s="17">
        <f>Table25[[#This Row],[New_Followers]]-Table25[[#This Row],[Unfollows]]</f>
        <v>367</v>
      </c>
      <c r="I142" s="36">
        <f>Table25[[#This Row],[Followers gained]]/Table25[[#This Row],[Total_Followers]]</f>
        <v>1.8425729749269497E-3</v>
      </c>
    </row>
    <row r="143" spans="1:9" x14ac:dyDescent="0.3">
      <c r="A143" s="33" t="s">
        <v>486</v>
      </c>
      <c r="B143" s="34" t="s">
        <v>30</v>
      </c>
      <c r="C143" s="35">
        <v>645</v>
      </c>
      <c r="D143" s="35">
        <v>293</v>
      </c>
      <c r="E143" s="35">
        <v>437968</v>
      </c>
      <c r="F143" s="32">
        <v>7.83</v>
      </c>
      <c r="G143" s="35">
        <v>49303</v>
      </c>
      <c r="H143" s="17">
        <f>Table25[[#This Row],[New_Followers]]-Table25[[#This Row],[Unfollows]]</f>
        <v>352</v>
      </c>
      <c r="I143" s="36">
        <f>Table25[[#This Row],[Followers gained]]/Table25[[#This Row],[Total_Followers]]</f>
        <v>8.0371168669857163E-4</v>
      </c>
    </row>
    <row r="144" spans="1:9" x14ac:dyDescent="0.3">
      <c r="A144" s="33" t="s">
        <v>602</v>
      </c>
      <c r="B144" s="34" t="s">
        <v>24</v>
      </c>
      <c r="C144" s="35">
        <v>454</v>
      </c>
      <c r="D144" s="35">
        <v>105</v>
      </c>
      <c r="E144" s="35">
        <v>121091</v>
      </c>
      <c r="F144" s="32">
        <v>7.97</v>
      </c>
      <c r="G144" s="35">
        <v>9269</v>
      </c>
      <c r="H144" s="17">
        <f>Table25[[#This Row],[New_Followers]]-Table25[[#This Row],[Unfollows]]</f>
        <v>349</v>
      </c>
      <c r="I144" s="36">
        <f>Table25[[#This Row],[Followers gained]]/Table25[[#This Row],[Total_Followers]]</f>
        <v>2.8821299683708945E-3</v>
      </c>
    </row>
    <row r="145" spans="1:9" x14ac:dyDescent="0.3">
      <c r="A145" s="33" t="s">
        <v>75</v>
      </c>
      <c r="B145" s="34" t="s">
        <v>39</v>
      </c>
      <c r="C145" s="35">
        <v>405</v>
      </c>
      <c r="D145" s="35">
        <v>66</v>
      </c>
      <c r="E145" s="35">
        <v>418696</v>
      </c>
      <c r="F145" s="32">
        <v>5.59</v>
      </c>
      <c r="G145" s="35">
        <v>48419</v>
      </c>
      <c r="H145" s="17">
        <f>Table25[[#This Row],[New_Followers]]-Table25[[#This Row],[Unfollows]]</f>
        <v>339</v>
      </c>
      <c r="I145" s="36">
        <f>Table25[[#This Row],[Followers gained]]/Table25[[#This Row],[Total_Followers]]</f>
        <v>8.0965664826031301E-4</v>
      </c>
    </row>
    <row r="146" spans="1:9" x14ac:dyDescent="0.3">
      <c r="A146" s="33" t="s">
        <v>158</v>
      </c>
      <c r="B146" s="34" t="s">
        <v>24</v>
      </c>
      <c r="C146" s="35">
        <v>403</v>
      </c>
      <c r="D146" s="35">
        <v>66</v>
      </c>
      <c r="E146" s="35">
        <v>382851</v>
      </c>
      <c r="F146" s="32">
        <v>3.49</v>
      </c>
      <c r="G146" s="35">
        <v>24313</v>
      </c>
      <c r="H146" s="17">
        <f>Table25[[#This Row],[New_Followers]]-Table25[[#This Row],[Unfollows]]</f>
        <v>337</v>
      </c>
      <c r="I146" s="36">
        <f>Table25[[#This Row],[Followers gained]]/Table25[[#This Row],[Total_Followers]]</f>
        <v>8.80238003818718E-4</v>
      </c>
    </row>
    <row r="147" spans="1:9" x14ac:dyDescent="0.3">
      <c r="A147" s="33" t="s">
        <v>188</v>
      </c>
      <c r="B147" s="34" t="s">
        <v>24</v>
      </c>
      <c r="C147" s="35">
        <v>728</v>
      </c>
      <c r="D147" s="35">
        <v>395</v>
      </c>
      <c r="E147" s="35">
        <v>370971</v>
      </c>
      <c r="F147" s="32">
        <v>3.86</v>
      </c>
      <c r="G147" s="35">
        <v>12646</v>
      </c>
      <c r="H147" s="17">
        <f>Table25[[#This Row],[New_Followers]]-Table25[[#This Row],[Unfollows]]</f>
        <v>333</v>
      </c>
      <c r="I147" s="36">
        <f>Table25[[#This Row],[Followers gained]]/Table25[[#This Row],[Total_Followers]]</f>
        <v>8.9764429025449434E-4</v>
      </c>
    </row>
    <row r="148" spans="1:9" x14ac:dyDescent="0.3">
      <c r="A148" s="33" t="s">
        <v>486</v>
      </c>
      <c r="B148" s="34" t="s">
        <v>13</v>
      </c>
      <c r="C148" s="35">
        <v>826</v>
      </c>
      <c r="D148" s="35">
        <v>498</v>
      </c>
      <c r="E148" s="35">
        <v>449994</v>
      </c>
      <c r="F148" s="32">
        <v>9.43</v>
      </c>
      <c r="G148" s="35">
        <v>12384</v>
      </c>
      <c r="H148" s="17">
        <f>Table25[[#This Row],[New_Followers]]-Table25[[#This Row],[Unfollows]]</f>
        <v>328</v>
      </c>
      <c r="I148" s="36">
        <f>Table25[[#This Row],[Followers gained]]/Table25[[#This Row],[Total_Followers]]</f>
        <v>7.2889860753698943E-4</v>
      </c>
    </row>
    <row r="149" spans="1:9" x14ac:dyDescent="0.3">
      <c r="A149" s="33" t="s">
        <v>486</v>
      </c>
      <c r="B149" s="34" t="s">
        <v>24</v>
      </c>
      <c r="C149" s="35">
        <v>460</v>
      </c>
      <c r="D149" s="35">
        <v>141</v>
      </c>
      <c r="E149" s="35">
        <v>320650</v>
      </c>
      <c r="F149" s="32">
        <v>4.04</v>
      </c>
      <c r="G149" s="35">
        <v>49372</v>
      </c>
      <c r="H149" s="17">
        <f>Table25[[#This Row],[New_Followers]]-Table25[[#This Row],[Unfollows]]</f>
        <v>319</v>
      </c>
      <c r="I149" s="36">
        <f>Table25[[#This Row],[Followers gained]]/Table25[[#This Row],[Total_Followers]]</f>
        <v>9.9485420240137223E-4</v>
      </c>
    </row>
    <row r="150" spans="1:9" x14ac:dyDescent="0.3">
      <c r="A150" s="33" t="s">
        <v>596</v>
      </c>
      <c r="B150" s="34" t="s">
        <v>24</v>
      </c>
      <c r="C150" s="35">
        <v>804</v>
      </c>
      <c r="D150" s="35">
        <v>487</v>
      </c>
      <c r="E150" s="35">
        <v>306564</v>
      </c>
      <c r="F150" s="32">
        <v>5.52</v>
      </c>
      <c r="G150" s="35">
        <v>26452</v>
      </c>
      <c r="H150" s="17">
        <f>Table25[[#This Row],[New_Followers]]-Table25[[#This Row],[Unfollows]]</f>
        <v>317</v>
      </c>
      <c r="I150" s="36">
        <f>Table25[[#This Row],[Followers gained]]/Table25[[#This Row],[Total_Followers]]</f>
        <v>1.0340418313957282E-3</v>
      </c>
    </row>
    <row r="151" spans="1:9" x14ac:dyDescent="0.3">
      <c r="A151" s="33" t="s">
        <v>190</v>
      </c>
      <c r="B151" s="34" t="s">
        <v>24</v>
      </c>
      <c r="C151" s="35">
        <v>510</v>
      </c>
      <c r="D151" s="35">
        <v>195</v>
      </c>
      <c r="E151" s="35">
        <v>224534</v>
      </c>
      <c r="F151" s="32">
        <v>9.4</v>
      </c>
      <c r="G151" s="35">
        <v>30987</v>
      </c>
      <c r="H151" s="17">
        <f>Table25[[#This Row],[New_Followers]]-Table25[[#This Row],[Unfollows]]</f>
        <v>315</v>
      </c>
      <c r="I151" s="36">
        <f>Table25[[#This Row],[Followers gained]]/Table25[[#This Row],[Total_Followers]]</f>
        <v>1.4029055733207443E-3</v>
      </c>
    </row>
    <row r="152" spans="1:9" x14ac:dyDescent="0.3">
      <c r="A152" s="33" t="s">
        <v>595</v>
      </c>
      <c r="B152" s="34" t="s">
        <v>39</v>
      </c>
      <c r="C152" s="35">
        <v>350</v>
      </c>
      <c r="D152" s="35">
        <v>41</v>
      </c>
      <c r="E152" s="35">
        <v>251694</v>
      </c>
      <c r="F152" s="32">
        <v>1.91</v>
      </c>
      <c r="G152" s="35">
        <v>38610</v>
      </c>
      <c r="H152" s="17">
        <f>Table25[[#This Row],[New_Followers]]-Table25[[#This Row],[Unfollows]]</f>
        <v>309</v>
      </c>
      <c r="I152" s="36">
        <f>Table25[[#This Row],[Followers gained]]/Table25[[#This Row],[Total_Followers]]</f>
        <v>1.2276812319721568E-3</v>
      </c>
    </row>
    <row r="153" spans="1:9" x14ac:dyDescent="0.3">
      <c r="A153" s="33" t="s">
        <v>605</v>
      </c>
      <c r="B153" s="34" t="s">
        <v>39</v>
      </c>
      <c r="C153" s="35">
        <v>651</v>
      </c>
      <c r="D153" s="35">
        <v>353</v>
      </c>
      <c r="E153" s="35">
        <v>224699</v>
      </c>
      <c r="F153" s="32">
        <v>5.61</v>
      </c>
      <c r="G153" s="35">
        <v>45708</v>
      </c>
      <c r="H153" s="17">
        <f>Table25[[#This Row],[New_Followers]]-Table25[[#This Row],[Unfollows]]</f>
        <v>298</v>
      </c>
      <c r="I153" s="36">
        <f>Table25[[#This Row],[Followers gained]]/Table25[[#This Row],[Total_Followers]]</f>
        <v>1.3262186302564765E-3</v>
      </c>
    </row>
    <row r="154" spans="1:9" x14ac:dyDescent="0.3">
      <c r="A154" s="33" t="s">
        <v>226</v>
      </c>
      <c r="B154" s="34" t="s">
        <v>13</v>
      </c>
      <c r="C154" s="35">
        <v>364</v>
      </c>
      <c r="D154" s="35">
        <v>72</v>
      </c>
      <c r="E154" s="35">
        <v>211090</v>
      </c>
      <c r="F154" s="32">
        <v>5.53</v>
      </c>
      <c r="G154" s="35">
        <v>21061</v>
      </c>
      <c r="H154" s="17">
        <f>Table25[[#This Row],[New_Followers]]-Table25[[#This Row],[Unfollows]]</f>
        <v>292</v>
      </c>
      <c r="I154" s="36">
        <f>Table25[[#This Row],[Followers gained]]/Table25[[#This Row],[Total_Followers]]</f>
        <v>1.3832962243592781E-3</v>
      </c>
    </row>
    <row r="155" spans="1:9" x14ac:dyDescent="0.3">
      <c r="A155" s="33" t="s">
        <v>603</v>
      </c>
      <c r="B155" s="34" t="s">
        <v>24</v>
      </c>
      <c r="C155" s="35">
        <v>452</v>
      </c>
      <c r="D155" s="35">
        <v>161</v>
      </c>
      <c r="E155" s="35">
        <v>221274</v>
      </c>
      <c r="F155" s="32">
        <v>2.65</v>
      </c>
      <c r="G155" s="35">
        <v>40888</v>
      </c>
      <c r="H155" s="17">
        <f>Table25[[#This Row],[New_Followers]]-Table25[[#This Row],[Unfollows]]</f>
        <v>291</v>
      </c>
      <c r="I155" s="36">
        <f>Table25[[#This Row],[Followers gained]]/Table25[[#This Row],[Total_Followers]]</f>
        <v>1.3151115811166245E-3</v>
      </c>
    </row>
    <row r="156" spans="1:9" x14ac:dyDescent="0.3">
      <c r="A156" s="33" t="s">
        <v>601</v>
      </c>
      <c r="B156" s="34" t="s">
        <v>39</v>
      </c>
      <c r="C156" s="35">
        <v>643</v>
      </c>
      <c r="D156" s="35">
        <v>358</v>
      </c>
      <c r="E156" s="35">
        <v>157599</v>
      </c>
      <c r="F156" s="32">
        <v>3.88</v>
      </c>
      <c r="G156" s="35">
        <v>7285</v>
      </c>
      <c r="H156" s="17">
        <f>Table25[[#This Row],[New_Followers]]-Table25[[#This Row],[Unfollows]]</f>
        <v>285</v>
      </c>
      <c r="I156" s="36">
        <f>Table25[[#This Row],[Followers gained]]/Table25[[#This Row],[Total_Followers]]</f>
        <v>1.8083871090552605E-3</v>
      </c>
    </row>
    <row r="157" spans="1:9" x14ac:dyDescent="0.3">
      <c r="A157" s="33" t="s">
        <v>25</v>
      </c>
      <c r="B157" s="34" t="s">
        <v>13</v>
      </c>
      <c r="C157" s="35">
        <v>337</v>
      </c>
      <c r="D157" s="35">
        <v>68</v>
      </c>
      <c r="E157" s="35">
        <v>456298</v>
      </c>
      <c r="F157" s="32">
        <v>7.57</v>
      </c>
      <c r="G157" s="35">
        <v>4007</v>
      </c>
      <c r="H157" s="17">
        <f>Table25[[#This Row],[New_Followers]]-Table25[[#This Row],[Unfollows]]</f>
        <v>269</v>
      </c>
      <c r="I157" s="36">
        <f>Table25[[#This Row],[Followers gained]]/Table25[[#This Row],[Total_Followers]]</f>
        <v>5.8952701962314107E-4</v>
      </c>
    </row>
    <row r="158" spans="1:9" x14ac:dyDescent="0.3">
      <c r="A158" s="33" t="s">
        <v>162</v>
      </c>
      <c r="B158" s="34" t="s">
        <v>30</v>
      </c>
      <c r="C158" s="35">
        <v>703</v>
      </c>
      <c r="D158" s="35">
        <v>441</v>
      </c>
      <c r="E158" s="35">
        <v>357089</v>
      </c>
      <c r="F158" s="32">
        <v>6.5</v>
      </c>
      <c r="G158" s="35">
        <v>32478</v>
      </c>
      <c r="H158" s="17">
        <f>Table25[[#This Row],[New_Followers]]-Table25[[#This Row],[Unfollows]]</f>
        <v>262</v>
      </c>
      <c r="I158" s="36">
        <f>Table25[[#This Row],[Followers gained]]/Table25[[#This Row],[Total_Followers]]</f>
        <v>7.3371064356504961E-4</v>
      </c>
    </row>
    <row r="159" spans="1:9" x14ac:dyDescent="0.3">
      <c r="A159" s="33" t="s">
        <v>83</v>
      </c>
      <c r="B159" s="34" t="s">
        <v>13</v>
      </c>
      <c r="C159" s="35">
        <v>751</v>
      </c>
      <c r="D159" s="35">
        <v>491</v>
      </c>
      <c r="E159" s="35">
        <v>434047</v>
      </c>
      <c r="F159" s="32">
        <v>9.24</v>
      </c>
      <c r="G159" s="35">
        <v>15476</v>
      </c>
      <c r="H159" s="17">
        <f>Table25[[#This Row],[New_Followers]]-Table25[[#This Row],[Unfollows]]</f>
        <v>260</v>
      </c>
      <c r="I159" s="36">
        <f>Table25[[#This Row],[Followers gained]]/Table25[[#This Row],[Total_Followers]]</f>
        <v>5.990134708914012E-4</v>
      </c>
    </row>
    <row r="160" spans="1:9" x14ac:dyDescent="0.3">
      <c r="A160" s="33" t="s">
        <v>608</v>
      </c>
      <c r="B160" s="34" t="s">
        <v>30</v>
      </c>
      <c r="C160" s="35">
        <v>393</v>
      </c>
      <c r="D160" s="35">
        <v>181</v>
      </c>
      <c r="E160" s="35">
        <v>462142</v>
      </c>
      <c r="F160" s="32">
        <v>7.23</v>
      </c>
      <c r="G160" s="35">
        <v>6296</v>
      </c>
      <c r="H160" s="17">
        <f>Table25[[#This Row],[New_Followers]]-Table25[[#This Row],[Unfollows]]</f>
        <v>212</v>
      </c>
      <c r="I160" s="36">
        <f>Table25[[#This Row],[Followers gained]]/Table25[[#This Row],[Total_Followers]]</f>
        <v>4.5873346287504706E-4</v>
      </c>
    </row>
    <row r="161" spans="1:9" x14ac:dyDescent="0.3">
      <c r="A161" s="33" t="s">
        <v>402</v>
      </c>
      <c r="B161" s="34" t="s">
        <v>24</v>
      </c>
      <c r="C161" s="35">
        <v>623</v>
      </c>
      <c r="D161" s="35">
        <v>414</v>
      </c>
      <c r="E161" s="35">
        <v>290354</v>
      </c>
      <c r="F161" s="32">
        <v>6.49</v>
      </c>
      <c r="G161" s="35">
        <v>39923</v>
      </c>
      <c r="H161" s="17">
        <f>Table25[[#This Row],[New_Followers]]-Table25[[#This Row],[Unfollows]]</f>
        <v>209</v>
      </c>
      <c r="I161" s="36">
        <f>Table25[[#This Row],[Followers gained]]/Table25[[#This Row],[Total_Followers]]</f>
        <v>7.1981098934404211E-4</v>
      </c>
    </row>
    <row r="162" spans="1:9" x14ac:dyDescent="0.3">
      <c r="A162" s="33" t="s">
        <v>188</v>
      </c>
      <c r="B162" s="34" t="s">
        <v>13</v>
      </c>
      <c r="C162" s="35">
        <v>557</v>
      </c>
      <c r="D162" s="35">
        <v>360</v>
      </c>
      <c r="E162" s="35">
        <v>318779</v>
      </c>
      <c r="F162" s="32">
        <v>8.02</v>
      </c>
      <c r="G162" s="35">
        <v>25797</v>
      </c>
      <c r="H162" s="17">
        <f>Table25[[#This Row],[New_Followers]]-Table25[[#This Row],[Unfollows]]</f>
        <v>197</v>
      </c>
      <c r="I162" s="36">
        <f>Table25[[#This Row],[Followers gained]]/Table25[[#This Row],[Total_Followers]]</f>
        <v>6.1798299135137512E-4</v>
      </c>
    </row>
    <row r="163" spans="1:9" x14ac:dyDescent="0.3">
      <c r="A163" s="33" t="s">
        <v>77</v>
      </c>
      <c r="B163" s="34" t="s">
        <v>24</v>
      </c>
      <c r="C163" s="35">
        <v>221</v>
      </c>
      <c r="D163" s="35">
        <v>31</v>
      </c>
      <c r="E163" s="35">
        <v>87443</v>
      </c>
      <c r="F163" s="32">
        <v>6.19</v>
      </c>
      <c r="G163" s="35">
        <v>10283</v>
      </c>
      <c r="H163" s="17">
        <f>Table25[[#This Row],[New_Followers]]-Table25[[#This Row],[Unfollows]]</f>
        <v>190</v>
      </c>
      <c r="I163" s="36">
        <f>Table25[[#This Row],[Followers gained]]/Table25[[#This Row],[Total_Followers]]</f>
        <v>2.1728440241071327E-3</v>
      </c>
    </row>
    <row r="164" spans="1:9" x14ac:dyDescent="0.3">
      <c r="A164" s="33" t="s">
        <v>146</v>
      </c>
      <c r="B164" s="34" t="s">
        <v>13</v>
      </c>
      <c r="C164" s="35">
        <v>436</v>
      </c>
      <c r="D164" s="35">
        <v>250</v>
      </c>
      <c r="E164" s="35">
        <v>254347</v>
      </c>
      <c r="F164" s="32">
        <v>4.01</v>
      </c>
      <c r="G164" s="35">
        <v>8912</v>
      </c>
      <c r="H164" s="17">
        <f>Table25[[#This Row],[New_Followers]]-Table25[[#This Row],[Unfollows]]</f>
        <v>186</v>
      </c>
      <c r="I164" s="36">
        <f>Table25[[#This Row],[Followers gained]]/Table25[[#This Row],[Total_Followers]]</f>
        <v>7.3128442639386348E-4</v>
      </c>
    </row>
    <row r="165" spans="1:9" x14ac:dyDescent="0.3">
      <c r="A165" s="33" t="s">
        <v>402</v>
      </c>
      <c r="B165" s="34" t="s">
        <v>30</v>
      </c>
      <c r="C165" s="35">
        <v>559</v>
      </c>
      <c r="D165" s="35">
        <v>392</v>
      </c>
      <c r="E165" s="35">
        <v>78789</v>
      </c>
      <c r="F165" s="32">
        <v>3.19</v>
      </c>
      <c r="G165" s="35">
        <v>2436</v>
      </c>
      <c r="H165" s="17">
        <f>Table25[[#This Row],[New_Followers]]-Table25[[#This Row],[Unfollows]]</f>
        <v>167</v>
      </c>
      <c r="I165" s="36">
        <f>Table25[[#This Row],[Followers gained]]/Table25[[#This Row],[Total_Followers]]</f>
        <v>2.1195852212872357E-3</v>
      </c>
    </row>
    <row r="166" spans="1:9" x14ac:dyDescent="0.3">
      <c r="A166" s="33" t="s">
        <v>307</v>
      </c>
      <c r="B166" s="34" t="s">
        <v>24</v>
      </c>
      <c r="C166" s="35">
        <v>224</v>
      </c>
      <c r="D166" s="35">
        <v>64</v>
      </c>
      <c r="E166" s="35">
        <v>156683</v>
      </c>
      <c r="F166" s="32">
        <v>4.5599999999999996</v>
      </c>
      <c r="G166" s="35">
        <v>28474</v>
      </c>
      <c r="H166" s="17">
        <f>Table25[[#This Row],[New_Followers]]-Table25[[#This Row],[Unfollows]]</f>
        <v>160</v>
      </c>
      <c r="I166" s="36">
        <f>Table25[[#This Row],[Followers gained]]/Table25[[#This Row],[Total_Followers]]</f>
        <v>1.0211701333265254E-3</v>
      </c>
    </row>
    <row r="167" spans="1:9" x14ac:dyDescent="0.3">
      <c r="A167" s="33" t="s">
        <v>596</v>
      </c>
      <c r="B167" s="34" t="s">
        <v>30</v>
      </c>
      <c r="C167" s="35">
        <v>508</v>
      </c>
      <c r="D167" s="35">
        <v>349</v>
      </c>
      <c r="E167" s="35">
        <v>473812</v>
      </c>
      <c r="F167" s="32">
        <v>7.88</v>
      </c>
      <c r="G167" s="35">
        <v>17328</v>
      </c>
      <c r="H167" s="17">
        <f>Table25[[#This Row],[New_Followers]]-Table25[[#This Row],[Unfollows]]</f>
        <v>159</v>
      </c>
      <c r="I167" s="36">
        <f>Table25[[#This Row],[Followers gained]]/Table25[[#This Row],[Total_Followers]]</f>
        <v>3.3557613568250698E-4</v>
      </c>
    </row>
    <row r="168" spans="1:9" x14ac:dyDescent="0.3">
      <c r="A168" s="33" t="s">
        <v>611</v>
      </c>
      <c r="B168" s="34" t="s">
        <v>24</v>
      </c>
      <c r="C168" s="35">
        <v>520</v>
      </c>
      <c r="D168" s="35">
        <v>375</v>
      </c>
      <c r="E168" s="35">
        <v>369525</v>
      </c>
      <c r="F168" s="32">
        <v>6.54</v>
      </c>
      <c r="G168" s="35">
        <v>20733</v>
      </c>
      <c r="H168" s="17">
        <f>Table25[[#This Row],[New_Followers]]-Table25[[#This Row],[Unfollows]]</f>
        <v>145</v>
      </c>
      <c r="I168" s="36">
        <f>Table25[[#This Row],[Followers gained]]/Table25[[#This Row],[Total_Followers]]</f>
        <v>3.9239564305527366E-4</v>
      </c>
    </row>
    <row r="169" spans="1:9" x14ac:dyDescent="0.3">
      <c r="A169" s="33" t="s">
        <v>600</v>
      </c>
      <c r="B169" s="34" t="s">
        <v>24</v>
      </c>
      <c r="C169" s="35">
        <v>307</v>
      </c>
      <c r="D169" s="35">
        <v>189</v>
      </c>
      <c r="E169" s="35">
        <v>117767</v>
      </c>
      <c r="F169" s="32">
        <v>9.3000000000000007</v>
      </c>
      <c r="G169" s="35">
        <v>27822</v>
      </c>
      <c r="H169" s="17">
        <f>Table25[[#This Row],[New_Followers]]-Table25[[#This Row],[Unfollows]]</f>
        <v>118</v>
      </c>
      <c r="I169" s="36">
        <f>Table25[[#This Row],[Followers gained]]/Table25[[#This Row],[Total_Followers]]</f>
        <v>1.0019784829366461E-3</v>
      </c>
    </row>
    <row r="170" spans="1:9" x14ac:dyDescent="0.3">
      <c r="A170" s="33" t="s">
        <v>600</v>
      </c>
      <c r="B170" s="34" t="s">
        <v>13</v>
      </c>
      <c r="C170" s="35">
        <v>437</v>
      </c>
      <c r="D170" s="35">
        <v>330</v>
      </c>
      <c r="E170" s="35">
        <v>476486</v>
      </c>
      <c r="F170" s="32">
        <v>4.97</v>
      </c>
      <c r="G170" s="35">
        <v>4509</v>
      </c>
      <c r="H170" s="17">
        <f>Table25[[#This Row],[New_Followers]]-Table25[[#This Row],[Unfollows]]</f>
        <v>107</v>
      </c>
      <c r="I170" s="36">
        <f>Table25[[#This Row],[Followers gained]]/Table25[[#This Row],[Total_Followers]]</f>
        <v>2.2456063766826309E-4</v>
      </c>
    </row>
    <row r="171" spans="1:9" x14ac:dyDescent="0.3">
      <c r="A171" s="33" t="s">
        <v>597</v>
      </c>
      <c r="B171" s="34" t="s">
        <v>39</v>
      </c>
      <c r="C171" s="35">
        <v>443</v>
      </c>
      <c r="D171" s="35">
        <v>345</v>
      </c>
      <c r="E171" s="35">
        <v>474162</v>
      </c>
      <c r="F171" s="32">
        <v>9.1999999999999993</v>
      </c>
      <c r="G171" s="35">
        <v>47462</v>
      </c>
      <c r="H171" s="17">
        <f>Table25[[#This Row],[New_Followers]]-Table25[[#This Row],[Unfollows]]</f>
        <v>98</v>
      </c>
      <c r="I171" s="36">
        <f>Table25[[#This Row],[Followers gained]]/Table25[[#This Row],[Total_Followers]]</f>
        <v>2.0668041724136477E-4</v>
      </c>
    </row>
    <row r="172" spans="1:9" x14ac:dyDescent="0.3">
      <c r="A172" s="33" t="s">
        <v>124</v>
      </c>
      <c r="B172" s="34" t="s">
        <v>13</v>
      </c>
      <c r="C172" s="35">
        <v>330</v>
      </c>
      <c r="D172" s="35">
        <v>232</v>
      </c>
      <c r="E172" s="35">
        <v>88455</v>
      </c>
      <c r="F172" s="32">
        <v>2.69</v>
      </c>
      <c r="G172" s="35">
        <v>39530</v>
      </c>
      <c r="H172" s="17">
        <f>Table25[[#This Row],[New_Followers]]-Table25[[#This Row],[Unfollows]]</f>
        <v>98</v>
      </c>
      <c r="I172" s="36">
        <f>Table25[[#This Row],[Followers gained]]/Table25[[#This Row],[Total_Followers]]</f>
        <v>1.1079079758069075E-3</v>
      </c>
    </row>
    <row r="173" spans="1:9" x14ac:dyDescent="0.3">
      <c r="A173" s="33" t="s">
        <v>443</v>
      </c>
      <c r="B173" s="34" t="s">
        <v>24</v>
      </c>
      <c r="C173" s="35">
        <v>144</v>
      </c>
      <c r="D173" s="35">
        <v>53</v>
      </c>
      <c r="E173" s="35">
        <v>113678</v>
      </c>
      <c r="F173" s="32">
        <v>8.7200000000000006</v>
      </c>
      <c r="G173" s="35">
        <v>30060</v>
      </c>
      <c r="H173" s="17">
        <f>Table25[[#This Row],[New_Followers]]-Table25[[#This Row],[Unfollows]]</f>
        <v>91</v>
      </c>
      <c r="I173" s="36">
        <f>Table25[[#This Row],[Followers gained]]/Table25[[#This Row],[Total_Followers]]</f>
        <v>8.0050669434719116E-4</v>
      </c>
    </row>
    <row r="174" spans="1:9" x14ac:dyDescent="0.3">
      <c r="A174" s="33" t="s">
        <v>77</v>
      </c>
      <c r="B174" s="34" t="s">
        <v>30</v>
      </c>
      <c r="C174" s="35">
        <v>215</v>
      </c>
      <c r="D174" s="35">
        <v>139</v>
      </c>
      <c r="E174" s="35">
        <v>325444</v>
      </c>
      <c r="F174" s="32">
        <v>3.25</v>
      </c>
      <c r="G174" s="35">
        <v>35501</v>
      </c>
      <c r="H174" s="17">
        <f>Table25[[#This Row],[New_Followers]]-Table25[[#This Row],[Unfollows]]</f>
        <v>76</v>
      </c>
      <c r="I174" s="36">
        <f>Table25[[#This Row],[Followers gained]]/Table25[[#This Row],[Total_Followers]]</f>
        <v>2.335271198731579E-4</v>
      </c>
    </row>
    <row r="175" spans="1:9" x14ac:dyDescent="0.3">
      <c r="A175" s="33" t="s">
        <v>63</v>
      </c>
      <c r="B175" s="34" t="s">
        <v>39</v>
      </c>
      <c r="C175" s="35">
        <v>513</v>
      </c>
      <c r="D175" s="35">
        <v>441</v>
      </c>
      <c r="E175" s="35">
        <v>338847</v>
      </c>
      <c r="F175" s="32">
        <v>2.68</v>
      </c>
      <c r="G175" s="35">
        <v>39997</v>
      </c>
      <c r="H175" s="17">
        <f>Table25[[#This Row],[New_Followers]]-Table25[[#This Row],[Unfollows]]</f>
        <v>72</v>
      </c>
      <c r="I175" s="36">
        <f>Table25[[#This Row],[Followers gained]]/Table25[[#This Row],[Total_Followers]]</f>
        <v>2.1248528096751631E-4</v>
      </c>
    </row>
    <row r="176" spans="1:9" x14ac:dyDescent="0.3">
      <c r="A176" s="33" t="s">
        <v>443</v>
      </c>
      <c r="B176" s="34" t="s">
        <v>39</v>
      </c>
      <c r="C176" s="35">
        <v>505</v>
      </c>
      <c r="D176" s="35">
        <v>441</v>
      </c>
      <c r="E176" s="35">
        <v>220020</v>
      </c>
      <c r="F176" s="32">
        <v>4.4800000000000004</v>
      </c>
      <c r="G176" s="35">
        <v>42307</v>
      </c>
      <c r="H176" s="17">
        <f>Table25[[#This Row],[New_Followers]]-Table25[[#This Row],[Unfollows]]</f>
        <v>64</v>
      </c>
      <c r="I176" s="36">
        <f>Table25[[#This Row],[Followers gained]]/Table25[[#This Row],[Total_Followers]]</f>
        <v>2.9088264703208797E-4</v>
      </c>
    </row>
    <row r="177" spans="1:9" x14ac:dyDescent="0.3">
      <c r="A177" s="33" t="s">
        <v>63</v>
      </c>
      <c r="B177" s="34" t="s">
        <v>24</v>
      </c>
      <c r="C177" s="35">
        <v>278</v>
      </c>
      <c r="D177" s="35">
        <v>218</v>
      </c>
      <c r="E177" s="35">
        <v>301695</v>
      </c>
      <c r="F177" s="32">
        <v>4.68</v>
      </c>
      <c r="G177" s="35">
        <v>22373</v>
      </c>
      <c r="H177" s="17">
        <f>Table25[[#This Row],[New_Followers]]-Table25[[#This Row],[Unfollows]]</f>
        <v>60</v>
      </c>
      <c r="I177" s="36">
        <f>Table25[[#This Row],[Followers gained]]/Table25[[#This Row],[Total_Followers]]</f>
        <v>1.9887634863023914E-4</v>
      </c>
    </row>
    <row r="178" spans="1:9" x14ac:dyDescent="0.3">
      <c r="A178" s="33" t="s">
        <v>611</v>
      </c>
      <c r="B178" s="34" t="s">
        <v>13</v>
      </c>
      <c r="C178" s="35">
        <v>353</v>
      </c>
      <c r="D178" s="35">
        <v>300</v>
      </c>
      <c r="E178" s="35">
        <v>142507</v>
      </c>
      <c r="F178" s="32">
        <v>5.3</v>
      </c>
      <c r="G178" s="35">
        <v>11035</v>
      </c>
      <c r="H178" s="17">
        <f>Table25[[#This Row],[New_Followers]]-Table25[[#This Row],[Unfollows]]</f>
        <v>53</v>
      </c>
      <c r="I178" s="36">
        <f>Table25[[#This Row],[Followers gained]]/Table25[[#This Row],[Total_Followers]]</f>
        <v>3.7191155522184875E-4</v>
      </c>
    </row>
    <row r="179" spans="1:9" x14ac:dyDescent="0.3">
      <c r="A179" s="33" t="s">
        <v>31</v>
      </c>
      <c r="B179" s="34" t="s">
        <v>13</v>
      </c>
      <c r="C179" s="35">
        <v>485</v>
      </c>
      <c r="D179" s="35">
        <v>448</v>
      </c>
      <c r="E179" s="35">
        <v>434883</v>
      </c>
      <c r="F179" s="32">
        <v>8.5500000000000007</v>
      </c>
      <c r="G179" s="35">
        <v>33258</v>
      </c>
      <c r="H179" s="17">
        <f>Table25[[#This Row],[New_Followers]]-Table25[[#This Row],[Unfollows]]</f>
        <v>37</v>
      </c>
      <c r="I179" s="36">
        <f>Table25[[#This Row],[Followers gained]]/Table25[[#This Row],[Total_Followers]]</f>
        <v>8.5080354946042954E-5</v>
      </c>
    </row>
    <row r="180" spans="1:9" x14ac:dyDescent="0.3">
      <c r="A180" s="33" t="s">
        <v>73</v>
      </c>
      <c r="B180" s="34" t="s">
        <v>39</v>
      </c>
      <c r="C180" s="35">
        <v>248</v>
      </c>
      <c r="D180" s="35">
        <v>211</v>
      </c>
      <c r="E180" s="35">
        <v>379380</v>
      </c>
      <c r="F180" s="32">
        <v>9.0399999999999991</v>
      </c>
      <c r="G180" s="35">
        <v>26925</v>
      </c>
      <c r="H180" s="17">
        <f>Table25[[#This Row],[New_Followers]]-Table25[[#This Row],[Unfollows]]</f>
        <v>37</v>
      </c>
      <c r="I180" s="36">
        <f>Table25[[#This Row],[Followers gained]]/Table25[[#This Row],[Total_Followers]]</f>
        <v>9.7527544941747058E-5</v>
      </c>
    </row>
    <row r="181" spans="1:9" x14ac:dyDescent="0.3">
      <c r="A181" s="33" t="s">
        <v>194</v>
      </c>
      <c r="B181" s="34" t="s">
        <v>13</v>
      </c>
      <c r="C181" s="35">
        <v>191</v>
      </c>
      <c r="D181" s="35">
        <v>154</v>
      </c>
      <c r="E181" s="35">
        <v>240550</v>
      </c>
      <c r="F181" s="32">
        <v>5.22</v>
      </c>
      <c r="G181" s="35">
        <v>15827</v>
      </c>
      <c r="H181" s="17">
        <f>Table25[[#This Row],[New_Followers]]-Table25[[#This Row],[Unfollows]]</f>
        <v>37</v>
      </c>
      <c r="I181" s="36">
        <f>Table25[[#This Row],[Followers gained]]/Table25[[#This Row],[Total_Followers]]</f>
        <v>1.5381417584701726E-4</v>
      </c>
    </row>
    <row r="182" spans="1:9" x14ac:dyDescent="0.3">
      <c r="A182" s="33" t="s">
        <v>73</v>
      </c>
      <c r="B182" s="34" t="s">
        <v>24</v>
      </c>
      <c r="C182" s="35">
        <v>422</v>
      </c>
      <c r="D182" s="35">
        <v>394</v>
      </c>
      <c r="E182" s="35">
        <v>239044</v>
      </c>
      <c r="F182" s="32">
        <v>7.83</v>
      </c>
      <c r="G182" s="35">
        <v>32929</v>
      </c>
      <c r="H182" s="17">
        <f>Table25[[#This Row],[New_Followers]]-Table25[[#This Row],[Unfollows]]</f>
        <v>28</v>
      </c>
      <c r="I182" s="36">
        <f>Table25[[#This Row],[Followers gained]]/Table25[[#This Row],[Total_Followers]]</f>
        <v>1.1713324743561855E-4</v>
      </c>
    </row>
    <row r="183" spans="1:9" x14ac:dyDescent="0.3">
      <c r="A183" s="33" t="s">
        <v>598</v>
      </c>
      <c r="B183" s="34" t="s">
        <v>39</v>
      </c>
      <c r="C183" s="35">
        <v>198</v>
      </c>
      <c r="D183" s="35">
        <v>217</v>
      </c>
      <c r="E183" s="35">
        <v>239753</v>
      </c>
      <c r="F183" s="32">
        <v>7.36</v>
      </c>
      <c r="G183" s="35">
        <v>11901</v>
      </c>
      <c r="H183" s="17">
        <f>Table25[[#This Row],[New_Followers]]-Table25[[#This Row],[Unfollows]]</f>
        <v>-19</v>
      </c>
      <c r="I183" s="36">
        <f>Table25[[#This Row],[Followers gained]]/Table25[[#This Row],[Total_Followers]]</f>
        <v>-7.9248226299566635E-5</v>
      </c>
    </row>
    <row r="184" spans="1:9" x14ac:dyDescent="0.3">
      <c r="A184" s="33" t="s">
        <v>601</v>
      </c>
      <c r="B184" s="34" t="s">
        <v>13</v>
      </c>
      <c r="C184" s="35">
        <v>201</v>
      </c>
      <c r="D184" s="35">
        <v>221</v>
      </c>
      <c r="E184" s="35">
        <v>309772</v>
      </c>
      <c r="F184" s="32">
        <v>5.9</v>
      </c>
      <c r="G184" s="35">
        <v>33174</v>
      </c>
      <c r="H184" s="17">
        <f>Table25[[#This Row],[New_Followers]]-Table25[[#This Row],[Unfollows]]</f>
        <v>-20</v>
      </c>
      <c r="I184" s="36">
        <f>Table25[[#This Row],[Followers gained]]/Table25[[#This Row],[Total_Followers]]</f>
        <v>-6.456361452939582E-5</v>
      </c>
    </row>
    <row r="185" spans="1:9" x14ac:dyDescent="0.3">
      <c r="A185" s="33" t="s">
        <v>597</v>
      </c>
      <c r="B185" s="34" t="s">
        <v>24</v>
      </c>
      <c r="C185" s="35">
        <v>123</v>
      </c>
      <c r="D185" s="35">
        <v>155</v>
      </c>
      <c r="E185" s="35">
        <v>119934</v>
      </c>
      <c r="F185" s="32">
        <v>3.5</v>
      </c>
      <c r="G185" s="35">
        <v>5442</v>
      </c>
      <c r="H185" s="17">
        <f>Table25[[#This Row],[New_Followers]]-Table25[[#This Row],[Unfollows]]</f>
        <v>-32</v>
      </c>
      <c r="I185" s="36">
        <f>Table25[[#This Row],[Followers gained]]/Table25[[#This Row],[Total_Followers]]</f>
        <v>-2.6681341404439108E-4</v>
      </c>
    </row>
    <row r="186" spans="1:9" x14ac:dyDescent="0.3">
      <c r="A186" s="33" t="s">
        <v>122</v>
      </c>
      <c r="B186" s="34" t="s">
        <v>13</v>
      </c>
      <c r="C186" s="35">
        <v>362</v>
      </c>
      <c r="D186" s="35">
        <v>399</v>
      </c>
      <c r="E186" s="35">
        <v>145608</v>
      </c>
      <c r="F186" s="32">
        <v>7.3</v>
      </c>
      <c r="G186" s="35">
        <v>37636</v>
      </c>
      <c r="H186" s="17">
        <f>Table25[[#This Row],[New_Followers]]-Table25[[#This Row],[Unfollows]]</f>
        <v>-37</v>
      </c>
      <c r="I186" s="36">
        <f>Table25[[#This Row],[Followers gained]]/Table25[[#This Row],[Total_Followers]]</f>
        <v>-2.5410691720235154E-4</v>
      </c>
    </row>
    <row r="187" spans="1:9" x14ac:dyDescent="0.3">
      <c r="A187" s="33" t="s">
        <v>63</v>
      </c>
      <c r="B187" s="34" t="s">
        <v>30</v>
      </c>
      <c r="C187" s="35">
        <v>187</v>
      </c>
      <c r="D187" s="35">
        <v>236</v>
      </c>
      <c r="E187" s="35">
        <v>51087</v>
      </c>
      <c r="F187" s="32">
        <v>9.41</v>
      </c>
      <c r="G187" s="35">
        <v>29533</v>
      </c>
      <c r="H187" s="17">
        <f>Table25[[#This Row],[New_Followers]]-Table25[[#This Row],[Unfollows]]</f>
        <v>-49</v>
      </c>
      <c r="I187" s="36">
        <f>Table25[[#This Row],[Followers gained]]/Table25[[#This Row],[Total_Followers]]</f>
        <v>-9.5914811987394058E-4</v>
      </c>
    </row>
    <row r="188" spans="1:9" x14ac:dyDescent="0.3">
      <c r="A188" s="33" t="s">
        <v>602</v>
      </c>
      <c r="B188" s="34" t="s">
        <v>39</v>
      </c>
      <c r="C188" s="35">
        <v>171</v>
      </c>
      <c r="D188" s="35">
        <v>277</v>
      </c>
      <c r="E188" s="35">
        <v>309483</v>
      </c>
      <c r="F188" s="32">
        <v>8.6999999999999993</v>
      </c>
      <c r="G188" s="35">
        <v>38452</v>
      </c>
      <c r="H188" s="17">
        <f>Table25[[#This Row],[New_Followers]]-Table25[[#This Row],[Unfollows]]</f>
        <v>-106</v>
      </c>
      <c r="I188" s="36">
        <f>Table25[[#This Row],[Followers gained]]/Table25[[#This Row],[Total_Followers]]</f>
        <v>-3.4250669665215861E-4</v>
      </c>
    </row>
    <row r="189" spans="1:9" x14ac:dyDescent="0.3">
      <c r="A189" s="33" t="s">
        <v>190</v>
      </c>
      <c r="B189" s="34" t="s">
        <v>39</v>
      </c>
      <c r="C189" s="35">
        <v>345</v>
      </c>
      <c r="D189" s="35">
        <v>464</v>
      </c>
      <c r="E189" s="35">
        <v>366881</v>
      </c>
      <c r="F189" s="32">
        <v>4.55</v>
      </c>
      <c r="G189" s="35">
        <v>20553</v>
      </c>
      <c r="H189" s="17">
        <f>Table25[[#This Row],[New_Followers]]-Table25[[#This Row],[Unfollows]]</f>
        <v>-119</v>
      </c>
      <c r="I189" s="36">
        <f>Table25[[#This Row],[Followers gained]]/Table25[[#This Row],[Total_Followers]]</f>
        <v>-3.2435585380545735E-4</v>
      </c>
    </row>
    <row r="190" spans="1:9" x14ac:dyDescent="0.3">
      <c r="A190" s="33" t="s">
        <v>44</v>
      </c>
      <c r="B190" s="34" t="s">
        <v>24</v>
      </c>
      <c r="C190" s="35">
        <v>308</v>
      </c>
      <c r="D190" s="35">
        <v>431</v>
      </c>
      <c r="E190" s="35">
        <v>426184</v>
      </c>
      <c r="F190" s="32">
        <v>2.62</v>
      </c>
      <c r="G190" s="35">
        <v>1783</v>
      </c>
      <c r="H190" s="17">
        <f>Table25[[#This Row],[New_Followers]]-Table25[[#This Row],[Unfollows]]</f>
        <v>-123</v>
      </c>
      <c r="I190" s="36">
        <f>Table25[[#This Row],[Followers gained]]/Table25[[#This Row],[Total_Followers]]</f>
        <v>-2.8860773750305035E-4</v>
      </c>
    </row>
    <row r="191" spans="1:9" x14ac:dyDescent="0.3">
      <c r="A191" s="33" t="s">
        <v>605</v>
      </c>
      <c r="B191" s="34" t="s">
        <v>13</v>
      </c>
      <c r="C191" s="35">
        <v>118</v>
      </c>
      <c r="D191" s="35">
        <v>262</v>
      </c>
      <c r="E191" s="35">
        <v>487896</v>
      </c>
      <c r="F191" s="32">
        <v>2.56</v>
      </c>
      <c r="G191" s="35">
        <v>12350</v>
      </c>
      <c r="H191" s="17">
        <f>Table25[[#This Row],[New_Followers]]-Table25[[#This Row],[Unfollows]]</f>
        <v>-144</v>
      </c>
      <c r="I191" s="36">
        <f>Table25[[#This Row],[Followers gained]]/Table25[[#This Row],[Total_Followers]]</f>
        <v>-2.9514486693885583E-4</v>
      </c>
    </row>
    <row r="192" spans="1:9" x14ac:dyDescent="0.3">
      <c r="A192" s="33" t="s">
        <v>611</v>
      </c>
      <c r="B192" s="34" t="s">
        <v>30</v>
      </c>
      <c r="C192" s="35">
        <v>198</v>
      </c>
      <c r="D192" s="35">
        <v>358</v>
      </c>
      <c r="E192" s="35">
        <v>66682</v>
      </c>
      <c r="F192" s="32">
        <v>6.73</v>
      </c>
      <c r="G192" s="35">
        <v>2293</v>
      </c>
      <c r="H192" s="17">
        <f>Table25[[#This Row],[New_Followers]]-Table25[[#This Row],[Unfollows]]</f>
        <v>-160</v>
      </c>
      <c r="I192" s="36">
        <f>Table25[[#This Row],[Followers gained]]/Table25[[#This Row],[Total_Followers]]</f>
        <v>-2.3994481269308059E-3</v>
      </c>
    </row>
    <row r="193" spans="1:9" x14ac:dyDescent="0.3">
      <c r="A193" s="33" t="s">
        <v>307</v>
      </c>
      <c r="B193" s="34" t="s">
        <v>39</v>
      </c>
      <c r="C193" s="35">
        <v>170</v>
      </c>
      <c r="D193" s="35">
        <v>334</v>
      </c>
      <c r="E193" s="35">
        <v>334626</v>
      </c>
      <c r="F193" s="32">
        <v>6.44</v>
      </c>
      <c r="G193" s="35">
        <v>43420</v>
      </c>
      <c r="H193" s="17">
        <f>Table25[[#This Row],[New_Followers]]-Table25[[#This Row],[Unfollows]]</f>
        <v>-164</v>
      </c>
      <c r="I193" s="36">
        <f>Table25[[#This Row],[Followers gained]]/Table25[[#This Row],[Total_Followers]]</f>
        <v>-4.9009939454794306E-4</v>
      </c>
    </row>
    <row r="194" spans="1:9" x14ac:dyDescent="0.3">
      <c r="A194" s="33" t="s">
        <v>216</v>
      </c>
      <c r="B194" s="34" t="s">
        <v>30</v>
      </c>
      <c r="C194" s="35">
        <v>115</v>
      </c>
      <c r="D194" s="35">
        <v>281</v>
      </c>
      <c r="E194" s="35">
        <v>357265</v>
      </c>
      <c r="F194" s="32">
        <v>9.23</v>
      </c>
      <c r="G194" s="35">
        <v>25525</v>
      </c>
      <c r="H194" s="17">
        <f>Table25[[#This Row],[New_Followers]]-Table25[[#This Row],[Unfollows]]</f>
        <v>-166</v>
      </c>
      <c r="I194" s="36">
        <f>Table25[[#This Row],[Followers gained]]/Table25[[#This Row],[Total_Followers]]</f>
        <v>-4.6464109274628077E-4</v>
      </c>
    </row>
    <row r="195" spans="1:9" x14ac:dyDescent="0.3">
      <c r="A195" s="33" t="s">
        <v>611</v>
      </c>
      <c r="B195" s="34" t="s">
        <v>39</v>
      </c>
      <c r="C195" s="35">
        <v>198</v>
      </c>
      <c r="D195" s="35">
        <v>373</v>
      </c>
      <c r="E195" s="35">
        <v>70707</v>
      </c>
      <c r="F195" s="32">
        <v>4.83</v>
      </c>
      <c r="G195" s="35">
        <v>25920</v>
      </c>
      <c r="H195" s="17">
        <f>Table25[[#This Row],[New_Followers]]-Table25[[#This Row],[Unfollows]]</f>
        <v>-175</v>
      </c>
      <c r="I195" s="36">
        <f>Table25[[#This Row],[Followers gained]]/Table25[[#This Row],[Total_Followers]]</f>
        <v>-2.4750024750024749E-3</v>
      </c>
    </row>
    <row r="196" spans="1:9" x14ac:dyDescent="0.3">
      <c r="A196" s="33" t="s">
        <v>599</v>
      </c>
      <c r="B196" s="34" t="s">
        <v>39</v>
      </c>
      <c r="C196" s="35">
        <v>250</v>
      </c>
      <c r="D196" s="35">
        <v>429</v>
      </c>
      <c r="E196" s="35">
        <v>453423</v>
      </c>
      <c r="F196" s="32">
        <v>1.77</v>
      </c>
      <c r="G196" s="35">
        <v>2315</v>
      </c>
      <c r="H196" s="17">
        <f>Table25[[#This Row],[New_Followers]]-Table25[[#This Row],[Unfollows]]</f>
        <v>-179</v>
      </c>
      <c r="I196" s="36">
        <f>Table25[[#This Row],[Followers gained]]/Table25[[#This Row],[Total_Followers]]</f>
        <v>-3.9477485703195471E-4</v>
      </c>
    </row>
    <row r="197" spans="1:9" x14ac:dyDescent="0.3">
      <c r="A197" s="33" t="s">
        <v>486</v>
      </c>
      <c r="B197" s="34" t="s">
        <v>39</v>
      </c>
      <c r="C197" s="35">
        <v>214</v>
      </c>
      <c r="D197" s="35">
        <v>411</v>
      </c>
      <c r="E197" s="35">
        <v>125034</v>
      </c>
      <c r="F197" s="32">
        <v>6.11</v>
      </c>
      <c r="G197" s="35">
        <v>26455</v>
      </c>
      <c r="H197" s="17">
        <f>Table25[[#This Row],[New_Followers]]-Table25[[#This Row],[Unfollows]]</f>
        <v>-197</v>
      </c>
      <c r="I197" s="36">
        <f>Table25[[#This Row],[Followers gained]]/Table25[[#This Row],[Total_Followers]]</f>
        <v>-1.5755714445670778E-3</v>
      </c>
    </row>
    <row r="198" spans="1:9" x14ac:dyDescent="0.3">
      <c r="A198" s="33" t="s">
        <v>607</v>
      </c>
      <c r="B198" s="34" t="s">
        <v>24</v>
      </c>
      <c r="C198" s="35">
        <v>152</v>
      </c>
      <c r="D198" s="35">
        <v>355</v>
      </c>
      <c r="E198" s="35">
        <v>270766</v>
      </c>
      <c r="F198" s="32">
        <v>9.48</v>
      </c>
      <c r="G198" s="35">
        <v>18001</v>
      </c>
      <c r="H198" s="17">
        <f>Table25[[#This Row],[New_Followers]]-Table25[[#This Row],[Unfollows]]</f>
        <v>-203</v>
      </c>
      <c r="I198" s="36">
        <f>Table25[[#This Row],[Followers gained]]/Table25[[#This Row],[Total_Followers]]</f>
        <v>-7.4972485467156139E-4</v>
      </c>
    </row>
    <row r="199" spans="1:9" x14ac:dyDescent="0.3">
      <c r="A199" s="33" t="s">
        <v>443</v>
      </c>
      <c r="B199" s="34" t="s">
        <v>30</v>
      </c>
      <c r="C199" s="35">
        <v>226</v>
      </c>
      <c r="D199" s="35">
        <v>445</v>
      </c>
      <c r="E199" s="35">
        <v>419447</v>
      </c>
      <c r="F199" s="32">
        <v>9.36</v>
      </c>
      <c r="G199" s="35">
        <v>9566</v>
      </c>
      <c r="H199" s="17">
        <f>Table25[[#This Row],[New_Followers]]-Table25[[#This Row],[Unfollows]]</f>
        <v>-219</v>
      </c>
      <c r="I199" s="36">
        <f>Table25[[#This Row],[Followers gained]]/Table25[[#This Row],[Total_Followers]]</f>
        <v>-5.2211602419375983E-4</v>
      </c>
    </row>
    <row r="200" spans="1:9" x14ac:dyDescent="0.3">
      <c r="A200" s="33" t="s">
        <v>260</v>
      </c>
      <c r="B200" s="34" t="s">
        <v>39</v>
      </c>
      <c r="C200" s="35">
        <v>160</v>
      </c>
      <c r="D200" s="35">
        <v>478</v>
      </c>
      <c r="E200" s="35">
        <v>435034</v>
      </c>
      <c r="F200" s="32">
        <v>7.73</v>
      </c>
      <c r="G200" s="35">
        <v>4839</v>
      </c>
      <c r="H200" s="17">
        <f>Table25[[#This Row],[New_Followers]]-Table25[[#This Row],[Unfollows]]</f>
        <v>-318</v>
      </c>
      <c r="I200" s="36">
        <f>Table25[[#This Row],[Followers gained]]/Table25[[#This Row],[Total_Followers]]</f>
        <v>-7.3097734889686784E-4</v>
      </c>
    </row>
    <row r="201" spans="1:9" x14ac:dyDescent="0.3">
      <c r="A201" s="33" t="s">
        <v>25</v>
      </c>
      <c r="B201" s="34" t="s">
        <v>24</v>
      </c>
      <c r="C201" s="35">
        <v>119</v>
      </c>
      <c r="D201" s="35">
        <v>456</v>
      </c>
      <c r="E201" s="35">
        <v>82558</v>
      </c>
      <c r="F201" s="32">
        <v>6.81</v>
      </c>
      <c r="G201" s="35">
        <v>12174</v>
      </c>
      <c r="H201" s="17">
        <f>Table25[[#This Row],[New_Followers]]-Table25[[#This Row],[Unfollows]]</f>
        <v>-337</v>
      </c>
      <c r="I201" s="36">
        <f>Table25[[#This Row],[Followers gained]]/Table25[[#This Row],[Total_Followers]]</f>
        <v>-4.0819787301048958E-3</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EA3C-D087-4C01-B072-6158E465DC89}">
  <sheetPr>
    <tabColor rgb="FFFF5F5F"/>
  </sheetPr>
  <dimension ref="A1:H55"/>
  <sheetViews>
    <sheetView topLeftCell="A30" zoomScale="86" zoomScaleNormal="86" workbookViewId="0">
      <selection activeCell="J29" sqref="J29"/>
    </sheetView>
  </sheetViews>
  <sheetFormatPr defaultRowHeight="14.4" x14ac:dyDescent="0.3"/>
  <cols>
    <col min="1" max="1" width="22.88671875" bestFit="1" customWidth="1"/>
    <col min="2" max="2" width="16.21875" bestFit="1" customWidth="1"/>
    <col min="3" max="3" width="9.6640625" bestFit="1" customWidth="1"/>
    <col min="4" max="4" width="7.33203125" bestFit="1" customWidth="1"/>
    <col min="5" max="5" width="8.6640625" bestFit="1" customWidth="1"/>
    <col min="6" max="6" width="11.33203125" bestFit="1" customWidth="1"/>
  </cols>
  <sheetData>
    <row r="1" spans="1:8" ht="18" x14ac:dyDescent="0.3">
      <c r="A1" s="57" t="s">
        <v>667</v>
      </c>
      <c r="B1" s="57"/>
      <c r="C1" s="57"/>
      <c r="D1" s="57"/>
      <c r="E1" s="57"/>
      <c r="F1" s="57"/>
      <c r="G1" s="57"/>
      <c r="H1" s="57"/>
    </row>
    <row r="3" spans="1:8" x14ac:dyDescent="0.3">
      <c r="A3" s="15" t="s">
        <v>666</v>
      </c>
      <c r="B3" s="15" t="s">
        <v>665</v>
      </c>
    </row>
    <row r="4" spans="1:8" x14ac:dyDescent="0.3">
      <c r="A4" s="15" t="s">
        <v>579</v>
      </c>
      <c r="B4" t="s">
        <v>39</v>
      </c>
      <c r="C4" t="s">
        <v>30</v>
      </c>
      <c r="D4" t="s">
        <v>13</v>
      </c>
      <c r="E4" t="s">
        <v>24</v>
      </c>
      <c r="F4" t="s">
        <v>580</v>
      </c>
    </row>
    <row r="5" spans="1:8" x14ac:dyDescent="0.3">
      <c r="A5" s="16" t="s">
        <v>604</v>
      </c>
      <c r="B5" s="17">
        <v>1776</v>
      </c>
      <c r="C5" s="17">
        <v>1765</v>
      </c>
      <c r="D5" s="17">
        <v>1529</v>
      </c>
      <c r="E5" s="17">
        <v>1460</v>
      </c>
      <c r="F5" s="17">
        <v>6530</v>
      </c>
    </row>
    <row r="6" spans="1:8" x14ac:dyDescent="0.3">
      <c r="A6" s="16" t="s">
        <v>142</v>
      </c>
      <c r="B6" s="17">
        <v>1707</v>
      </c>
      <c r="C6" s="17">
        <v>1375</v>
      </c>
      <c r="D6" s="17">
        <v>708</v>
      </c>
      <c r="E6" s="17">
        <v>1016</v>
      </c>
      <c r="F6" s="17">
        <v>4806</v>
      </c>
    </row>
    <row r="7" spans="1:8" x14ac:dyDescent="0.3">
      <c r="A7" s="16" t="s">
        <v>603</v>
      </c>
      <c r="B7" s="17">
        <v>1706</v>
      </c>
      <c r="C7" s="17">
        <v>1625</v>
      </c>
      <c r="D7" s="17">
        <v>1173</v>
      </c>
      <c r="E7" s="17">
        <v>291</v>
      </c>
      <c r="F7" s="17">
        <v>4795</v>
      </c>
    </row>
    <row r="8" spans="1:8" x14ac:dyDescent="0.3">
      <c r="A8" s="16" t="s">
        <v>44</v>
      </c>
      <c r="B8" s="17">
        <v>1670</v>
      </c>
      <c r="C8" s="17">
        <v>629</v>
      </c>
      <c r="D8" s="17">
        <v>835</v>
      </c>
      <c r="E8" s="17">
        <v>-123</v>
      </c>
      <c r="F8" s="17">
        <v>3011</v>
      </c>
    </row>
    <row r="9" spans="1:8" x14ac:dyDescent="0.3">
      <c r="A9" s="16" t="s">
        <v>600</v>
      </c>
      <c r="B9" s="17">
        <v>1662</v>
      </c>
      <c r="C9" s="17">
        <v>1872</v>
      </c>
      <c r="D9" s="17">
        <v>107</v>
      </c>
      <c r="E9" s="17">
        <v>118</v>
      </c>
      <c r="F9" s="17">
        <v>3759</v>
      </c>
    </row>
    <row r="10" spans="1:8" x14ac:dyDescent="0.3">
      <c r="A10" s="16" t="s">
        <v>122</v>
      </c>
      <c r="B10" s="17">
        <v>1590</v>
      </c>
      <c r="C10" s="17">
        <v>965</v>
      </c>
      <c r="D10" s="17">
        <v>-37</v>
      </c>
      <c r="E10" s="17">
        <v>1175</v>
      </c>
      <c r="F10" s="17">
        <v>3693</v>
      </c>
    </row>
    <row r="11" spans="1:8" x14ac:dyDescent="0.3">
      <c r="A11" s="16" t="s">
        <v>83</v>
      </c>
      <c r="B11" s="17">
        <v>1428</v>
      </c>
      <c r="C11" s="17">
        <v>1572</v>
      </c>
      <c r="D11" s="17">
        <v>260</v>
      </c>
      <c r="E11" s="17">
        <v>1100</v>
      </c>
      <c r="F11" s="17">
        <v>4360</v>
      </c>
    </row>
    <row r="12" spans="1:8" x14ac:dyDescent="0.3">
      <c r="A12" s="16" t="s">
        <v>158</v>
      </c>
      <c r="B12" s="17">
        <v>1382</v>
      </c>
      <c r="C12" s="17">
        <v>893</v>
      </c>
      <c r="D12" s="17">
        <v>1295</v>
      </c>
      <c r="E12" s="17">
        <v>337</v>
      </c>
      <c r="F12" s="17">
        <v>3907</v>
      </c>
    </row>
    <row r="13" spans="1:8" x14ac:dyDescent="0.3">
      <c r="A13" s="16" t="s">
        <v>107</v>
      </c>
      <c r="B13" s="17">
        <v>1377</v>
      </c>
      <c r="C13" s="17">
        <v>1432</v>
      </c>
      <c r="D13" s="17">
        <v>1359</v>
      </c>
      <c r="E13" s="17">
        <v>876</v>
      </c>
      <c r="F13" s="17">
        <v>5044</v>
      </c>
    </row>
    <row r="14" spans="1:8" x14ac:dyDescent="0.3">
      <c r="A14" s="16" t="s">
        <v>213</v>
      </c>
      <c r="B14" s="17">
        <v>1373</v>
      </c>
      <c r="C14" s="17">
        <v>1119</v>
      </c>
      <c r="D14" s="17">
        <v>1727</v>
      </c>
      <c r="E14" s="17">
        <v>573</v>
      </c>
      <c r="F14" s="17">
        <v>4792</v>
      </c>
    </row>
    <row r="15" spans="1:8" x14ac:dyDescent="0.3">
      <c r="A15" s="16" t="s">
        <v>31</v>
      </c>
      <c r="B15" s="17">
        <v>1334</v>
      </c>
      <c r="C15" s="17">
        <v>1325</v>
      </c>
      <c r="D15" s="17">
        <v>37</v>
      </c>
      <c r="E15" s="17">
        <v>1032</v>
      </c>
      <c r="F15" s="17">
        <v>3728</v>
      </c>
    </row>
    <row r="16" spans="1:8" x14ac:dyDescent="0.3">
      <c r="A16" s="16" t="s">
        <v>124</v>
      </c>
      <c r="B16" s="17">
        <v>1332</v>
      </c>
      <c r="C16" s="17">
        <v>1693</v>
      </c>
      <c r="D16" s="17">
        <v>98</v>
      </c>
      <c r="E16" s="17">
        <v>885</v>
      </c>
      <c r="F16" s="17">
        <v>4008</v>
      </c>
    </row>
    <row r="17" spans="1:6" x14ac:dyDescent="0.3">
      <c r="A17" s="16" t="s">
        <v>146</v>
      </c>
      <c r="B17" s="17">
        <v>1283</v>
      </c>
      <c r="C17" s="17">
        <v>517</v>
      </c>
      <c r="D17" s="17">
        <v>186</v>
      </c>
      <c r="E17" s="17">
        <v>994</v>
      </c>
      <c r="F17" s="17">
        <v>2980</v>
      </c>
    </row>
    <row r="18" spans="1:6" x14ac:dyDescent="0.3">
      <c r="A18" s="16" t="s">
        <v>609</v>
      </c>
      <c r="B18" s="17">
        <v>1116</v>
      </c>
      <c r="C18" s="17">
        <v>680</v>
      </c>
      <c r="D18" s="17">
        <v>861</v>
      </c>
      <c r="E18" s="17">
        <v>1385</v>
      </c>
      <c r="F18" s="17">
        <v>4042</v>
      </c>
    </row>
    <row r="19" spans="1:6" x14ac:dyDescent="0.3">
      <c r="A19" s="16" t="s">
        <v>77</v>
      </c>
      <c r="B19" s="17">
        <v>1058</v>
      </c>
      <c r="C19" s="17">
        <v>76</v>
      </c>
      <c r="D19" s="17">
        <v>1665</v>
      </c>
      <c r="E19" s="17">
        <v>190</v>
      </c>
      <c r="F19" s="17">
        <v>2989</v>
      </c>
    </row>
    <row r="20" spans="1:6" x14ac:dyDescent="0.3">
      <c r="A20" s="16" t="s">
        <v>612</v>
      </c>
      <c r="B20" s="17">
        <v>1045</v>
      </c>
      <c r="C20" s="17">
        <v>603</v>
      </c>
      <c r="D20" s="17">
        <v>759</v>
      </c>
      <c r="E20" s="17">
        <v>1633</v>
      </c>
      <c r="F20" s="17">
        <v>4040</v>
      </c>
    </row>
    <row r="21" spans="1:6" x14ac:dyDescent="0.3">
      <c r="A21" s="16" t="s">
        <v>188</v>
      </c>
      <c r="B21" s="17">
        <v>1045</v>
      </c>
      <c r="C21" s="17">
        <v>1247</v>
      </c>
      <c r="D21" s="17">
        <v>197</v>
      </c>
      <c r="E21" s="17">
        <v>333</v>
      </c>
      <c r="F21" s="17">
        <v>2822</v>
      </c>
    </row>
    <row r="22" spans="1:6" x14ac:dyDescent="0.3">
      <c r="A22" s="16" t="s">
        <v>402</v>
      </c>
      <c r="B22" s="17">
        <v>1029</v>
      </c>
      <c r="C22" s="17">
        <v>167</v>
      </c>
      <c r="D22" s="17">
        <v>1007</v>
      </c>
      <c r="E22" s="17">
        <v>209</v>
      </c>
      <c r="F22" s="17">
        <v>2412</v>
      </c>
    </row>
    <row r="23" spans="1:6" x14ac:dyDescent="0.3">
      <c r="A23" s="16" t="s">
        <v>224</v>
      </c>
      <c r="B23" s="17">
        <v>1002</v>
      </c>
      <c r="C23" s="17">
        <v>1047</v>
      </c>
      <c r="D23" s="17">
        <v>415</v>
      </c>
      <c r="E23" s="17">
        <v>1090</v>
      </c>
      <c r="F23" s="17">
        <v>3554</v>
      </c>
    </row>
    <row r="24" spans="1:6" x14ac:dyDescent="0.3">
      <c r="A24" s="16" t="s">
        <v>596</v>
      </c>
      <c r="B24" s="17">
        <v>961</v>
      </c>
      <c r="C24" s="17">
        <v>159</v>
      </c>
      <c r="D24" s="17">
        <v>1316</v>
      </c>
      <c r="E24" s="17">
        <v>317</v>
      </c>
      <c r="F24" s="17">
        <v>2753</v>
      </c>
    </row>
    <row r="25" spans="1:6" x14ac:dyDescent="0.3">
      <c r="A25" s="16" t="s">
        <v>241</v>
      </c>
      <c r="B25" s="17">
        <v>912</v>
      </c>
      <c r="C25" s="17">
        <v>1723</v>
      </c>
      <c r="D25" s="17">
        <v>1202</v>
      </c>
      <c r="E25" s="17">
        <v>1444</v>
      </c>
      <c r="F25" s="17">
        <v>5281</v>
      </c>
    </row>
    <row r="26" spans="1:6" x14ac:dyDescent="0.3">
      <c r="A26" s="16" t="s">
        <v>608</v>
      </c>
      <c r="B26" s="17">
        <v>908</v>
      </c>
      <c r="C26" s="17">
        <v>212</v>
      </c>
      <c r="D26" s="17">
        <v>1350</v>
      </c>
      <c r="E26" s="17">
        <v>1242</v>
      </c>
      <c r="F26" s="17">
        <v>3712</v>
      </c>
    </row>
    <row r="27" spans="1:6" x14ac:dyDescent="0.3">
      <c r="A27" s="16" t="s">
        <v>216</v>
      </c>
      <c r="B27" s="17">
        <v>898</v>
      </c>
      <c r="C27" s="17">
        <v>-166</v>
      </c>
      <c r="D27" s="17">
        <v>1426</v>
      </c>
      <c r="E27" s="17">
        <v>1225</v>
      </c>
      <c r="F27" s="17">
        <v>3383</v>
      </c>
    </row>
    <row r="28" spans="1:6" x14ac:dyDescent="0.3">
      <c r="A28" s="16" t="s">
        <v>607</v>
      </c>
      <c r="B28" s="17">
        <v>748</v>
      </c>
      <c r="C28" s="17">
        <v>1080</v>
      </c>
      <c r="D28" s="17">
        <v>569</v>
      </c>
      <c r="E28" s="17">
        <v>-203</v>
      </c>
      <c r="F28" s="17">
        <v>2194</v>
      </c>
    </row>
    <row r="29" spans="1:6" x14ac:dyDescent="0.3">
      <c r="A29" s="16" t="s">
        <v>14</v>
      </c>
      <c r="B29" s="17">
        <v>730</v>
      </c>
      <c r="C29" s="17">
        <v>684</v>
      </c>
      <c r="D29" s="17">
        <v>911</v>
      </c>
      <c r="E29" s="17">
        <v>1589</v>
      </c>
      <c r="F29" s="17">
        <v>3914</v>
      </c>
    </row>
    <row r="30" spans="1:6" x14ac:dyDescent="0.3">
      <c r="A30" s="16" t="s">
        <v>120</v>
      </c>
      <c r="B30" s="17">
        <v>620</v>
      </c>
      <c r="C30" s="17">
        <v>903</v>
      </c>
      <c r="D30" s="17">
        <v>1188</v>
      </c>
      <c r="E30" s="17">
        <v>846</v>
      </c>
      <c r="F30" s="17">
        <v>3557</v>
      </c>
    </row>
    <row r="31" spans="1:6" x14ac:dyDescent="0.3">
      <c r="A31" s="16" t="s">
        <v>274</v>
      </c>
      <c r="B31" s="17">
        <v>540</v>
      </c>
      <c r="C31" s="17">
        <v>1397</v>
      </c>
      <c r="D31" s="17">
        <v>1603</v>
      </c>
      <c r="E31" s="17">
        <v>1044</v>
      </c>
      <c r="F31" s="17">
        <v>4584</v>
      </c>
    </row>
    <row r="32" spans="1:6" x14ac:dyDescent="0.3">
      <c r="A32" s="16" t="s">
        <v>610</v>
      </c>
      <c r="B32" s="17">
        <v>514</v>
      </c>
      <c r="C32" s="17">
        <v>641</v>
      </c>
      <c r="D32" s="17">
        <v>1676</v>
      </c>
      <c r="E32" s="17">
        <v>1467</v>
      </c>
      <c r="F32" s="17">
        <v>4298</v>
      </c>
    </row>
    <row r="33" spans="1:6" x14ac:dyDescent="0.3">
      <c r="A33" s="16" t="s">
        <v>226</v>
      </c>
      <c r="B33" s="17">
        <v>474</v>
      </c>
      <c r="C33" s="17">
        <v>461</v>
      </c>
      <c r="D33" s="17">
        <v>292</v>
      </c>
      <c r="E33" s="17">
        <v>389</v>
      </c>
      <c r="F33" s="17">
        <v>1616</v>
      </c>
    </row>
    <row r="34" spans="1:6" x14ac:dyDescent="0.3">
      <c r="A34" s="16" t="s">
        <v>354</v>
      </c>
      <c r="B34" s="17">
        <v>453</v>
      </c>
      <c r="C34" s="17">
        <v>1539</v>
      </c>
      <c r="D34" s="17">
        <v>948</v>
      </c>
      <c r="E34" s="17">
        <v>637</v>
      </c>
      <c r="F34" s="17">
        <v>3577</v>
      </c>
    </row>
    <row r="35" spans="1:6" x14ac:dyDescent="0.3">
      <c r="A35" s="16" t="s">
        <v>162</v>
      </c>
      <c r="B35" s="17">
        <v>439</v>
      </c>
      <c r="C35" s="17">
        <v>262</v>
      </c>
      <c r="D35" s="17">
        <v>636</v>
      </c>
      <c r="E35" s="17">
        <v>1484</v>
      </c>
      <c r="F35" s="17">
        <v>2821</v>
      </c>
    </row>
    <row r="36" spans="1:6" x14ac:dyDescent="0.3">
      <c r="A36" s="16" t="s">
        <v>606</v>
      </c>
      <c r="B36" s="17">
        <v>427</v>
      </c>
      <c r="C36" s="17">
        <v>1572</v>
      </c>
      <c r="D36" s="17">
        <v>891</v>
      </c>
      <c r="E36" s="17">
        <v>724</v>
      </c>
      <c r="F36" s="17">
        <v>3614</v>
      </c>
    </row>
    <row r="37" spans="1:6" x14ac:dyDescent="0.3">
      <c r="A37" s="16" t="s">
        <v>25</v>
      </c>
      <c r="B37" s="17">
        <v>407</v>
      </c>
      <c r="C37" s="17">
        <v>1656</v>
      </c>
      <c r="D37" s="17">
        <v>269</v>
      </c>
      <c r="E37" s="17">
        <v>-337</v>
      </c>
      <c r="F37" s="17">
        <v>1995</v>
      </c>
    </row>
    <row r="38" spans="1:6" x14ac:dyDescent="0.3">
      <c r="A38" s="16" t="s">
        <v>194</v>
      </c>
      <c r="B38" s="17">
        <v>386</v>
      </c>
      <c r="C38" s="17">
        <v>576</v>
      </c>
      <c r="D38" s="17">
        <v>37</v>
      </c>
      <c r="E38" s="17">
        <v>1657</v>
      </c>
      <c r="F38" s="17">
        <v>2656</v>
      </c>
    </row>
    <row r="39" spans="1:6" x14ac:dyDescent="0.3">
      <c r="A39" s="16" t="s">
        <v>75</v>
      </c>
      <c r="B39" s="17">
        <v>339</v>
      </c>
      <c r="C39" s="17">
        <v>1881</v>
      </c>
      <c r="D39" s="17">
        <v>1510</v>
      </c>
      <c r="E39" s="17">
        <v>864</v>
      </c>
      <c r="F39" s="17">
        <v>4594</v>
      </c>
    </row>
    <row r="40" spans="1:6" x14ac:dyDescent="0.3">
      <c r="A40" s="16" t="s">
        <v>595</v>
      </c>
      <c r="B40" s="17">
        <v>309</v>
      </c>
      <c r="C40" s="17">
        <v>1672</v>
      </c>
      <c r="D40" s="17">
        <v>547</v>
      </c>
      <c r="E40" s="17">
        <v>514</v>
      </c>
      <c r="F40" s="17">
        <v>3042</v>
      </c>
    </row>
    <row r="41" spans="1:6" x14ac:dyDescent="0.3">
      <c r="A41" s="16" t="s">
        <v>605</v>
      </c>
      <c r="B41" s="17">
        <v>298</v>
      </c>
      <c r="C41" s="17">
        <v>1722</v>
      </c>
      <c r="D41" s="17">
        <v>-144</v>
      </c>
      <c r="E41" s="17">
        <v>901</v>
      </c>
      <c r="F41" s="17">
        <v>2777</v>
      </c>
    </row>
    <row r="42" spans="1:6" x14ac:dyDescent="0.3">
      <c r="A42" s="16" t="s">
        <v>601</v>
      </c>
      <c r="B42" s="17">
        <v>285</v>
      </c>
      <c r="C42" s="17">
        <v>1224</v>
      </c>
      <c r="D42" s="17">
        <v>-20</v>
      </c>
      <c r="E42" s="17">
        <v>367</v>
      </c>
      <c r="F42" s="17">
        <v>1856</v>
      </c>
    </row>
    <row r="43" spans="1:6" x14ac:dyDescent="0.3">
      <c r="A43" s="16" t="s">
        <v>597</v>
      </c>
      <c r="B43" s="17">
        <v>98</v>
      </c>
      <c r="C43" s="17">
        <v>377</v>
      </c>
      <c r="D43" s="17">
        <v>1125</v>
      </c>
      <c r="E43" s="17">
        <v>-32</v>
      </c>
      <c r="F43" s="17">
        <v>1568</v>
      </c>
    </row>
    <row r="44" spans="1:6" x14ac:dyDescent="0.3">
      <c r="A44" s="16" t="s">
        <v>63</v>
      </c>
      <c r="B44" s="17">
        <v>72</v>
      </c>
      <c r="C44" s="17">
        <v>-49</v>
      </c>
      <c r="D44" s="17">
        <v>445</v>
      </c>
      <c r="E44" s="17">
        <v>60</v>
      </c>
      <c r="F44" s="17">
        <v>528</v>
      </c>
    </row>
    <row r="45" spans="1:6" x14ac:dyDescent="0.3">
      <c r="A45" s="16" t="s">
        <v>443</v>
      </c>
      <c r="B45" s="17">
        <v>64</v>
      </c>
      <c r="C45" s="17">
        <v>-219</v>
      </c>
      <c r="D45" s="17">
        <v>1357</v>
      </c>
      <c r="E45" s="17">
        <v>91</v>
      </c>
      <c r="F45" s="17">
        <v>1293</v>
      </c>
    </row>
    <row r="46" spans="1:6" x14ac:dyDescent="0.3">
      <c r="A46" s="16" t="s">
        <v>73</v>
      </c>
      <c r="B46" s="17">
        <v>37</v>
      </c>
      <c r="C46" s="17">
        <v>1609</v>
      </c>
      <c r="D46" s="17">
        <v>1229</v>
      </c>
      <c r="E46" s="17">
        <v>28</v>
      </c>
      <c r="F46" s="17">
        <v>2903</v>
      </c>
    </row>
    <row r="47" spans="1:6" x14ac:dyDescent="0.3">
      <c r="A47" s="16" t="s">
        <v>598</v>
      </c>
      <c r="B47" s="17">
        <v>-19</v>
      </c>
      <c r="C47" s="17">
        <v>666</v>
      </c>
      <c r="D47" s="17">
        <v>1680</v>
      </c>
      <c r="E47" s="17">
        <v>1006</v>
      </c>
      <c r="F47" s="17">
        <v>3333</v>
      </c>
    </row>
    <row r="48" spans="1:6" x14ac:dyDescent="0.3">
      <c r="A48" s="16" t="s">
        <v>602</v>
      </c>
      <c r="B48" s="17">
        <v>-106</v>
      </c>
      <c r="C48" s="17">
        <v>902</v>
      </c>
      <c r="D48" s="17">
        <v>1150</v>
      </c>
      <c r="E48" s="17">
        <v>349</v>
      </c>
      <c r="F48" s="17">
        <v>2295</v>
      </c>
    </row>
    <row r="49" spans="1:6" x14ac:dyDescent="0.3">
      <c r="A49" s="16" t="s">
        <v>190</v>
      </c>
      <c r="B49" s="17">
        <v>-119</v>
      </c>
      <c r="C49" s="17">
        <v>1315</v>
      </c>
      <c r="D49" s="17">
        <v>899</v>
      </c>
      <c r="E49" s="17">
        <v>315</v>
      </c>
      <c r="F49" s="17">
        <v>2410</v>
      </c>
    </row>
    <row r="50" spans="1:6" x14ac:dyDescent="0.3">
      <c r="A50" s="16" t="s">
        <v>307</v>
      </c>
      <c r="B50" s="17">
        <v>-164</v>
      </c>
      <c r="C50" s="17">
        <v>1845</v>
      </c>
      <c r="D50" s="17">
        <v>429</v>
      </c>
      <c r="E50" s="17">
        <v>160</v>
      </c>
      <c r="F50" s="17">
        <v>2270</v>
      </c>
    </row>
    <row r="51" spans="1:6" x14ac:dyDescent="0.3">
      <c r="A51" s="16" t="s">
        <v>611</v>
      </c>
      <c r="B51" s="17">
        <v>-175</v>
      </c>
      <c r="C51" s="17">
        <v>-160</v>
      </c>
      <c r="D51" s="17">
        <v>53</v>
      </c>
      <c r="E51" s="17">
        <v>145</v>
      </c>
      <c r="F51" s="17">
        <v>-137</v>
      </c>
    </row>
    <row r="52" spans="1:6" x14ac:dyDescent="0.3">
      <c r="A52" s="16" t="s">
        <v>599</v>
      </c>
      <c r="B52" s="17">
        <v>-179</v>
      </c>
      <c r="C52" s="17">
        <v>1025</v>
      </c>
      <c r="D52" s="17">
        <v>599</v>
      </c>
      <c r="E52" s="17">
        <v>1706</v>
      </c>
      <c r="F52" s="17">
        <v>3151</v>
      </c>
    </row>
    <row r="53" spans="1:6" x14ac:dyDescent="0.3">
      <c r="A53" s="16" t="s">
        <v>486</v>
      </c>
      <c r="B53" s="17">
        <v>-197</v>
      </c>
      <c r="C53" s="17">
        <v>352</v>
      </c>
      <c r="D53" s="17">
        <v>328</v>
      </c>
      <c r="E53" s="17">
        <v>319</v>
      </c>
      <c r="F53" s="17">
        <v>802</v>
      </c>
    </row>
    <row r="54" spans="1:6" x14ac:dyDescent="0.3">
      <c r="A54" s="16" t="s">
        <v>260</v>
      </c>
      <c r="B54" s="17">
        <v>-318</v>
      </c>
      <c r="C54" s="17">
        <v>541</v>
      </c>
      <c r="D54" s="17">
        <v>1495</v>
      </c>
      <c r="E54" s="17">
        <v>475</v>
      </c>
      <c r="F54" s="17">
        <v>2193</v>
      </c>
    </row>
    <row r="55" spans="1:6" x14ac:dyDescent="0.3">
      <c r="A55" s="16" t="s">
        <v>580</v>
      </c>
      <c r="B55" s="17">
        <v>35557</v>
      </c>
      <c r="C55" s="17">
        <v>48004</v>
      </c>
      <c r="D55" s="17">
        <v>41177</v>
      </c>
      <c r="E55" s="17">
        <v>35367</v>
      </c>
      <c r="F55" s="17">
        <v>160105</v>
      </c>
    </row>
  </sheetData>
  <mergeCells count="1">
    <mergeCell ref="A1:H1"/>
  </mergeCell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011D-C3D3-4516-8756-56D7C498B297}">
  <sheetPr>
    <tabColor rgb="FFFF5F5F"/>
  </sheetPr>
  <dimension ref="A1:H53"/>
  <sheetViews>
    <sheetView workbookViewId="0">
      <selection activeCell="N34" sqref="N34"/>
    </sheetView>
  </sheetViews>
  <sheetFormatPr defaultRowHeight="14.4" x14ac:dyDescent="0.3"/>
  <cols>
    <col min="1" max="1" width="12.5546875" bestFit="1" customWidth="1"/>
    <col min="2" max="2" width="21.77734375" bestFit="1" customWidth="1"/>
    <col min="3" max="3" width="9.44140625" bestFit="1" customWidth="1"/>
    <col min="4" max="4" width="6.88671875" bestFit="1" customWidth="1"/>
    <col min="5" max="5" width="8.44140625" bestFit="1" customWidth="1"/>
  </cols>
  <sheetData>
    <row r="1" spans="1:8" ht="18" x14ac:dyDescent="0.3">
      <c r="A1" s="57" t="s">
        <v>668</v>
      </c>
      <c r="B1" s="57"/>
      <c r="C1" s="57"/>
      <c r="D1" s="57"/>
      <c r="E1" s="57"/>
      <c r="F1" s="57"/>
      <c r="G1" s="57"/>
      <c r="H1" s="57"/>
    </row>
    <row r="3" spans="1:8" x14ac:dyDescent="0.3">
      <c r="A3" s="15" t="s">
        <v>579</v>
      </c>
      <c r="B3" t="s">
        <v>666</v>
      </c>
    </row>
    <row r="4" spans="1:8" x14ac:dyDescent="0.3">
      <c r="A4" s="16" t="s">
        <v>224</v>
      </c>
      <c r="B4" s="17">
        <v>3554</v>
      </c>
    </row>
    <row r="5" spans="1:8" x14ac:dyDescent="0.3">
      <c r="A5" s="16" t="s">
        <v>146</v>
      </c>
      <c r="B5" s="17">
        <v>2980</v>
      </c>
    </row>
    <row r="6" spans="1:8" x14ac:dyDescent="0.3">
      <c r="A6" s="16" t="s">
        <v>158</v>
      </c>
      <c r="B6" s="17">
        <v>3907</v>
      </c>
    </row>
    <row r="7" spans="1:8" x14ac:dyDescent="0.3">
      <c r="A7" s="16" t="s">
        <v>44</v>
      </c>
      <c r="B7" s="17">
        <v>3011</v>
      </c>
    </row>
    <row r="8" spans="1:8" x14ac:dyDescent="0.3">
      <c r="A8" s="16" t="s">
        <v>443</v>
      </c>
      <c r="B8" s="17">
        <v>1293</v>
      </c>
    </row>
    <row r="9" spans="1:8" x14ac:dyDescent="0.3">
      <c r="A9" s="16" t="s">
        <v>595</v>
      </c>
      <c r="B9" s="17">
        <v>3042</v>
      </c>
    </row>
    <row r="10" spans="1:8" x14ac:dyDescent="0.3">
      <c r="A10" s="16" t="s">
        <v>307</v>
      </c>
      <c r="B10" s="17">
        <v>2270</v>
      </c>
    </row>
    <row r="11" spans="1:8" x14ac:dyDescent="0.3">
      <c r="A11" s="16" t="s">
        <v>596</v>
      </c>
      <c r="B11" s="17">
        <v>2753</v>
      </c>
    </row>
    <row r="12" spans="1:8" x14ac:dyDescent="0.3">
      <c r="A12" s="16" t="s">
        <v>260</v>
      </c>
      <c r="B12" s="17">
        <v>2193</v>
      </c>
    </row>
    <row r="13" spans="1:8" x14ac:dyDescent="0.3">
      <c r="A13" s="16" t="s">
        <v>486</v>
      </c>
      <c r="B13" s="17">
        <v>802</v>
      </c>
    </row>
    <row r="14" spans="1:8" x14ac:dyDescent="0.3">
      <c r="A14" s="16" t="s">
        <v>31</v>
      </c>
      <c r="B14" s="17">
        <v>3728</v>
      </c>
    </row>
    <row r="15" spans="1:8" x14ac:dyDescent="0.3">
      <c r="A15" s="16" t="s">
        <v>77</v>
      </c>
      <c r="B15" s="17">
        <v>2989</v>
      </c>
    </row>
    <row r="16" spans="1:8" x14ac:dyDescent="0.3">
      <c r="A16" s="16" t="s">
        <v>73</v>
      </c>
      <c r="B16" s="17">
        <v>2903</v>
      </c>
    </row>
    <row r="17" spans="1:2" x14ac:dyDescent="0.3">
      <c r="A17" s="16" t="s">
        <v>188</v>
      </c>
      <c r="B17" s="17">
        <v>2822</v>
      </c>
    </row>
    <row r="18" spans="1:2" x14ac:dyDescent="0.3">
      <c r="A18" s="16" t="s">
        <v>83</v>
      </c>
      <c r="B18" s="17">
        <v>4360</v>
      </c>
    </row>
    <row r="19" spans="1:2" x14ac:dyDescent="0.3">
      <c r="A19" s="16" t="s">
        <v>597</v>
      </c>
      <c r="B19" s="17">
        <v>1568</v>
      </c>
    </row>
    <row r="20" spans="1:2" x14ac:dyDescent="0.3">
      <c r="A20" s="16" t="s">
        <v>598</v>
      </c>
      <c r="B20" s="17">
        <v>3333</v>
      </c>
    </row>
    <row r="21" spans="1:2" x14ac:dyDescent="0.3">
      <c r="A21" s="16" t="s">
        <v>599</v>
      </c>
      <c r="B21" s="17">
        <v>3151</v>
      </c>
    </row>
    <row r="22" spans="1:2" x14ac:dyDescent="0.3">
      <c r="A22" s="16" t="s">
        <v>600</v>
      </c>
      <c r="B22" s="17">
        <v>3759</v>
      </c>
    </row>
    <row r="23" spans="1:2" x14ac:dyDescent="0.3">
      <c r="A23" s="16" t="s">
        <v>601</v>
      </c>
      <c r="B23" s="17">
        <v>1856</v>
      </c>
    </row>
    <row r="24" spans="1:2" x14ac:dyDescent="0.3">
      <c r="A24" s="16" t="s">
        <v>162</v>
      </c>
      <c r="B24" s="17">
        <v>2821</v>
      </c>
    </row>
    <row r="25" spans="1:2" x14ac:dyDescent="0.3">
      <c r="A25" s="16" t="s">
        <v>194</v>
      </c>
      <c r="B25" s="17">
        <v>2656</v>
      </c>
    </row>
    <row r="26" spans="1:2" x14ac:dyDescent="0.3">
      <c r="A26" s="16" t="s">
        <v>274</v>
      </c>
      <c r="B26" s="17">
        <v>4584</v>
      </c>
    </row>
    <row r="27" spans="1:2" x14ac:dyDescent="0.3">
      <c r="A27" s="16" t="s">
        <v>602</v>
      </c>
      <c r="B27" s="17">
        <v>2295</v>
      </c>
    </row>
    <row r="28" spans="1:2" x14ac:dyDescent="0.3">
      <c r="A28" s="16" t="s">
        <v>63</v>
      </c>
      <c r="B28" s="17">
        <v>528</v>
      </c>
    </row>
    <row r="29" spans="1:2" x14ac:dyDescent="0.3">
      <c r="A29" s="16" t="s">
        <v>124</v>
      </c>
      <c r="B29" s="17">
        <v>4008</v>
      </c>
    </row>
    <row r="30" spans="1:2" x14ac:dyDescent="0.3">
      <c r="A30" s="16" t="s">
        <v>603</v>
      </c>
      <c r="B30" s="17">
        <v>4795</v>
      </c>
    </row>
    <row r="31" spans="1:2" x14ac:dyDescent="0.3">
      <c r="A31" s="16" t="s">
        <v>213</v>
      </c>
      <c r="B31" s="17">
        <v>4792</v>
      </c>
    </row>
    <row r="32" spans="1:2" x14ac:dyDescent="0.3">
      <c r="A32" s="16" t="s">
        <v>107</v>
      </c>
      <c r="B32" s="17">
        <v>5044</v>
      </c>
    </row>
    <row r="33" spans="1:2" x14ac:dyDescent="0.3">
      <c r="A33" s="16" t="s">
        <v>14</v>
      </c>
      <c r="B33" s="17">
        <v>3914</v>
      </c>
    </row>
    <row r="34" spans="1:2" x14ac:dyDescent="0.3">
      <c r="A34" s="16" t="s">
        <v>604</v>
      </c>
      <c r="B34" s="17">
        <v>6530</v>
      </c>
    </row>
    <row r="35" spans="1:2" x14ac:dyDescent="0.3">
      <c r="A35" s="16" t="s">
        <v>120</v>
      </c>
      <c r="B35" s="17">
        <v>3557</v>
      </c>
    </row>
    <row r="36" spans="1:2" x14ac:dyDescent="0.3">
      <c r="A36" s="16" t="s">
        <v>605</v>
      </c>
      <c r="B36" s="17">
        <v>2777</v>
      </c>
    </row>
    <row r="37" spans="1:2" x14ac:dyDescent="0.3">
      <c r="A37" s="16" t="s">
        <v>606</v>
      </c>
      <c r="B37" s="17">
        <v>3614</v>
      </c>
    </row>
    <row r="38" spans="1:2" x14ac:dyDescent="0.3">
      <c r="A38" s="16" t="s">
        <v>216</v>
      </c>
      <c r="B38" s="17">
        <v>3383</v>
      </c>
    </row>
    <row r="39" spans="1:2" x14ac:dyDescent="0.3">
      <c r="A39" s="16" t="s">
        <v>607</v>
      </c>
      <c r="B39" s="17">
        <v>2194</v>
      </c>
    </row>
    <row r="40" spans="1:2" x14ac:dyDescent="0.3">
      <c r="A40" s="16" t="s">
        <v>241</v>
      </c>
      <c r="B40" s="17">
        <v>5281</v>
      </c>
    </row>
    <row r="41" spans="1:2" x14ac:dyDescent="0.3">
      <c r="A41" s="16" t="s">
        <v>122</v>
      </c>
      <c r="B41" s="17">
        <v>3693</v>
      </c>
    </row>
    <row r="42" spans="1:2" x14ac:dyDescent="0.3">
      <c r="A42" s="16" t="s">
        <v>142</v>
      </c>
      <c r="B42" s="17">
        <v>4806</v>
      </c>
    </row>
    <row r="43" spans="1:2" x14ac:dyDescent="0.3">
      <c r="A43" s="16" t="s">
        <v>190</v>
      </c>
      <c r="B43" s="17">
        <v>2410</v>
      </c>
    </row>
    <row r="44" spans="1:2" x14ac:dyDescent="0.3">
      <c r="A44" s="16" t="s">
        <v>608</v>
      </c>
      <c r="B44" s="17">
        <v>3712</v>
      </c>
    </row>
    <row r="45" spans="1:2" x14ac:dyDescent="0.3">
      <c r="A45" s="16" t="s">
        <v>609</v>
      </c>
      <c r="B45" s="17">
        <v>4042</v>
      </c>
    </row>
    <row r="46" spans="1:2" x14ac:dyDescent="0.3">
      <c r="A46" s="16" t="s">
        <v>226</v>
      </c>
      <c r="B46" s="17">
        <v>1616</v>
      </c>
    </row>
    <row r="47" spans="1:2" x14ac:dyDescent="0.3">
      <c r="A47" s="16" t="s">
        <v>610</v>
      </c>
      <c r="B47" s="17">
        <v>4298</v>
      </c>
    </row>
    <row r="48" spans="1:2" x14ac:dyDescent="0.3">
      <c r="A48" s="16" t="s">
        <v>402</v>
      </c>
      <c r="B48" s="17">
        <v>2412</v>
      </c>
    </row>
    <row r="49" spans="1:2" x14ac:dyDescent="0.3">
      <c r="A49" s="16" t="s">
        <v>611</v>
      </c>
      <c r="B49" s="17">
        <v>-137</v>
      </c>
    </row>
    <row r="50" spans="1:2" x14ac:dyDescent="0.3">
      <c r="A50" s="16" t="s">
        <v>612</v>
      </c>
      <c r="B50" s="17">
        <v>4040</v>
      </c>
    </row>
    <row r="51" spans="1:2" x14ac:dyDescent="0.3">
      <c r="A51" s="16" t="s">
        <v>354</v>
      </c>
      <c r="B51" s="17">
        <v>3577</v>
      </c>
    </row>
    <row r="52" spans="1:2" x14ac:dyDescent="0.3">
      <c r="A52" s="16" t="s">
        <v>75</v>
      </c>
      <c r="B52" s="17">
        <v>4594</v>
      </c>
    </row>
    <row r="53" spans="1:2" x14ac:dyDescent="0.3">
      <c r="A53" s="16" t="s">
        <v>25</v>
      </c>
      <c r="B53" s="17">
        <v>1995</v>
      </c>
    </row>
  </sheetData>
  <mergeCells count="1">
    <mergeCell ref="A1:H1"/>
  </mergeCells>
  <conditionalFormatting sqref="A3:B3 A4:A53">
    <cfRule type="top10" dxfId="12" priority="3" rank="1"/>
    <cfRule type="top10" dxfId="11" priority="4" rank="1"/>
  </conditionalFormatting>
  <conditionalFormatting sqref="A3:B3 A4:A54">
    <cfRule type="top10" dxfId="10" priority="5" rank="1"/>
  </conditionalFormatting>
  <conditionalFormatting pivot="1" sqref="B4:B53">
    <cfRule type="top10" dxfId="9" priority="1" rank="1"/>
  </conditionalFormatting>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D054-31F8-4110-AAD4-BD2A1DDFC20D}">
  <sheetPr>
    <tabColor rgb="FFFF5F5F"/>
  </sheetPr>
  <dimension ref="A1:H54"/>
  <sheetViews>
    <sheetView topLeftCell="A27" workbookViewId="0">
      <selection activeCell="N35" sqref="N35"/>
    </sheetView>
  </sheetViews>
  <sheetFormatPr defaultRowHeight="14.4" x14ac:dyDescent="0.3"/>
  <cols>
    <col min="1" max="1" width="12.5546875" bestFit="1" customWidth="1"/>
    <col min="2" max="2" width="21.33203125" bestFit="1" customWidth="1"/>
  </cols>
  <sheetData>
    <row r="1" spans="1:8" ht="18" x14ac:dyDescent="0.3">
      <c r="A1" s="57" t="s">
        <v>669</v>
      </c>
      <c r="B1" s="57"/>
      <c r="C1" s="57"/>
      <c r="D1" s="57"/>
      <c r="E1" s="57"/>
      <c r="F1" s="57"/>
      <c r="G1" s="57"/>
      <c r="H1" s="57"/>
    </row>
    <row r="3" spans="1:8" x14ac:dyDescent="0.3">
      <c r="A3" s="15" t="s">
        <v>579</v>
      </c>
      <c r="B3" t="s">
        <v>623</v>
      </c>
    </row>
    <row r="4" spans="1:8" x14ac:dyDescent="0.3">
      <c r="A4" s="16" t="s">
        <v>224</v>
      </c>
      <c r="B4" s="36">
        <v>8.0290714293668759E-3</v>
      </c>
    </row>
    <row r="5" spans="1:8" x14ac:dyDescent="0.3">
      <c r="A5" s="16" t="s">
        <v>146</v>
      </c>
      <c r="B5" s="36">
        <v>4.4258221413559281E-3</v>
      </c>
    </row>
    <row r="6" spans="1:8" x14ac:dyDescent="0.3">
      <c r="A6" s="16" t="s">
        <v>158</v>
      </c>
      <c r="B6" s="36">
        <v>5.3848868091020208E-3</v>
      </c>
    </row>
    <row r="7" spans="1:8" x14ac:dyDescent="0.3">
      <c r="A7" s="16" t="s">
        <v>44</v>
      </c>
      <c r="B7" s="36">
        <v>2.0914114604448371E-2</v>
      </c>
    </row>
    <row r="8" spans="1:8" x14ac:dyDescent="0.3">
      <c r="A8" s="16" t="s">
        <v>443</v>
      </c>
      <c r="B8" s="36">
        <v>1.2182606708386959E-3</v>
      </c>
    </row>
    <row r="9" spans="1:8" x14ac:dyDescent="0.3">
      <c r="A9" s="16" t="s">
        <v>595</v>
      </c>
      <c r="B9" s="36">
        <v>8.386890000927346E-3</v>
      </c>
    </row>
    <row r="10" spans="1:8" x14ac:dyDescent="0.3">
      <c r="A10" s="16" t="s">
        <v>307</v>
      </c>
      <c r="B10" s="36">
        <v>3.5991676171207619E-3</v>
      </c>
    </row>
    <row r="11" spans="1:8" x14ac:dyDescent="0.3">
      <c r="A11" s="16" t="s">
        <v>596</v>
      </c>
      <c r="B11" s="36">
        <v>2.8160093949716218E-3</v>
      </c>
    </row>
    <row r="12" spans="1:8" x14ac:dyDescent="0.3">
      <c r="A12" s="16" t="s">
        <v>260</v>
      </c>
      <c r="B12" s="36">
        <v>8.7323842654838078E-3</v>
      </c>
    </row>
    <row r="13" spans="1:8" x14ac:dyDescent="0.3">
      <c r="A13" s="16" t="s">
        <v>486</v>
      </c>
      <c r="B13" s="36">
        <v>2.3797326301746381E-4</v>
      </c>
    </row>
    <row r="14" spans="1:8" x14ac:dyDescent="0.3">
      <c r="A14" s="16" t="s">
        <v>31</v>
      </c>
      <c r="B14" s="36">
        <v>4.3109412549358914E-3</v>
      </c>
    </row>
    <row r="15" spans="1:8" x14ac:dyDescent="0.3">
      <c r="A15" s="16" t="s">
        <v>77</v>
      </c>
      <c r="B15" s="36">
        <v>4.2460953048362457E-3</v>
      </c>
    </row>
    <row r="16" spans="1:8" x14ac:dyDescent="0.3">
      <c r="A16" s="16" t="s">
        <v>73</v>
      </c>
      <c r="B16" s="36">
        <v>2.5879303791354782E-3</v>
      </c>
    </row>
    <row r="17" spans="1:2" x14ac:dyDescent="0.3">
      <c r="A17" s="16" t="s">
        <v>188</v>
      </c>
      <c r="B17" s="36">
        <v>3.9811005260940863E-3</v>
      </c>
    </row>
    <row r="18" spans="1:2" x14ac:dyDescent="0.3">
      <c r="A18" s="16" t="s">
        <v>83</v>
      </c>
      <c r="B18" s="36">
        <v>6.6082588999901567E-3</v>
      </c>
    </row>
    <row r="19" spans="1:2" x14ac:dyDescent="0.3">
      <c r="A19" s="16" t="s">
        <v>597</v>
      </c>
      <c r="B19" s="36">
        <v>2.5573627243032368E-3</v>
      </c>
    </row>
    <row r="20" spans="1:2" x14ac:dyDescent="0.3">
      <c r="A20" s="16" t="s">
        <v>598</v>
      </c>
      <c r="B20" s="36">
        <v>5.9191859446976287E-3</v>
      </c>
    </row>
    <row r="21" spans="1:2" x14ac:dyDescent="0.3">
      <c r="A21" s="16" t="s">
        <v>599</v>
      </c>
      <c r="B21" s="36">
        <v>7.4204770952290564E-3</v>
      </c>
    </row>
    <row r="22" spans="1:2" x14ac:dyDescent="0.3">
      <c r="A22" s="16" t="s">
        <v>600</v>
      </c>
      <c r="B22" s="36">
        <v>3.9021188800015438E-3</v>
      </c>
    </row>
    <row r="23" spans="1:2" x14ac:dyDescent="0.3">
      <c r="A23" s="16" t="s">
        <v>601</v>
      </c>
      <c r="B23" s="36">
        <v>1.6841324138077223E-3</v>
      </c>
    </row>
    <row r="24" spans="1:2" x14ac:dyDescent="0.3">
      <c r="A24" s="16" t="s">
        <v>162</v>
      </c>
      <c r="B24" s="36">
        <v>6.9149105861120693E-3</v>
      </c>
    </row>
    <row r="25" spans="1:2" x14ac:dyDescent="0.3">
      <c r="A25" s="16" t="s">
        <v>194</v>
      </c>
      <c r="B25" s="36">
        <v>2.2680877958002627E-3</v>
      </c>
    </row>
    <row r="26" spans="1:2" x14ac:dyDescent="0.3">
      <c r="A26" s="16" t="s">
        <v>274</v>
      </c>
      <c r="B26" s="36">
        <v>8.7011080822352142E-3</v>
      </c>
    </row>
    <row r="27" spans="1:2" x14ac:dyDescent="0.3">
      <c r="A27" s="16" t="s">
        <v>602</v>
      </c>
      <c r="B27" s="36">
        <v>8.3155452487563026E-3</v>
      </c>
    </row>
    <row r="28" spans="1:2" x14ac:dyDescent="0.3">
      <c r="A28" s="16" t="s">
        <v>63</v>
      </c>
      <c r="B28" s="36">
        <v>9.1247739543100237E-5</v>
      </c>
    </row>
    <row r="29" spans="1:2" x14ac:dyDescent="0.3">
      <c r="A29" s="16" t="s">
        <v>124</v>
      </c>
      <c r="B29" s="36">
        <v>6.3025316911712401E-3</v>
      </c>
    </row>
    <row r="30" spans="1:2" x14ac:dyDescent="0.3">
      <c r="A30" s="16" t="s">
        <v>603</v>
      </c>
      <c r="B30" s="36">
        <v>3.1447422377826367E-3</v>
      </c>
    </row>
    <row r="31" spans="1:2" x14ac:dyDescent="0.3">
      <c r="A31" s="16" t="s">
        <v>213</v>
      </c>
      <c r="B31" s="36">
        <v>3.2113411426726753E-2</v>
      </c>
    </row>
    <row r="32" spans="1:2" x14ac:dyDescent="0.3">
      <c r="A32" s="16" t="s">
        <v>107</v>
      </c>
      <c r="B32" s="36">
        <v>3.0832233258165009E-3</v>
      </c>
    </row>
    <row r="33" spans="1:2" x14ac:dyDescent="0.3">
      <c r="A33" s="16" t="s">
        <v>14</v>
      </c>
      <c r="B33" s="36">
        <v>2.1149949420241766E-2</v>
      </c>
    </row>
    <row r="34" spans="1:2" x14ac:dyDescent="0.3">
      <c r="A34" s="16" t="s">
        <v>604</v>
      </c>
      <c r="B34" s="36">
        <v>8.3620680590409755E-3</v>
      </c>
    </row>
    <row r="35" spans="1:2" x14ac:dyDescent="0.3">
      <c r="A35" s="16" t="s">
        <v>120</v>
      </c>
      <c r="B35" s="36">
        <v>5.1201676307653038E-3</v>
      </c>
    </row>
    <row r="36" spans="1:2" x14ac:dyDescent="0.3">
      <c r="A36" s="16" t="s">
        <v>605</v>
      </c>
      <c r="B36" s="36">
        <v>1.7092106732263752E-2</v>
      </c>
    </row>
    <row r="37" spans="1:2" x14ac:dyDescent="0.3">
      <c r="A37" s="16" t="s">
        <v>606</v>
      </c>
      <c r="B37" s="36">
        <v>3.5746313496673936E-3</v>
      </c>
    </row>
    <row r="38" spans="1:2" x14ac:dyDescent="0.3">
      <c r="A38" s="16" t="s">
        <v>216</v>
      </c>
      <c r="B38" s="36">
        <v>2.6036408333221777E-3</v>
      </c>
    </row>
    <row r="39" spans="1:2" x14ac:dyDescent="0.3">
      <c r="A39" s="16" t="s">
        <v>607</v>
      </c>
      <c r="B39" s="36">
        <v>2.7568791485359451E-3</v>
      </c>
    </row>
    <row r="40" spans="1:2" x14ac:dyDescent="0.3">
      <c r="A40" s="16" t="s">
        <v>241</v>
      </c>
      <c r="B40" s="36">
        <v>5.7927582963248087E-3</v>
      </c>
    </row>
    <row r="41" spans="1:2" x14ac:dyDescent="0.3">
      <c r="A41" s="16" t="s">
        <v>122</v>
      </c>
      <c r="B41" s="36">
        <v>7.0274022943667257E-3</v>
      </c>
    </row>
    <row r="42" spans="1:2" x14ac:dyDescent="0.3">
      <c r="A42" s="16" t="s">
        <v>142</v>
      </c>
      <c r="B42" s="36">
        <v>5.6741828588475814E-3</v>
      </c>
    </row>
    <row r="43" spans="1:2" x14ac:dyDescent="0.3">
      <c r="A43" s="16" t="s">
        <v>190</v>
      </c>
      <c r="B43" s="36">
        <v>2.0276466556782085E-3</v>
      </c>
    </row>
    <row r="44" spans="1:2" x14ac:dyDescent="0.3">
      <c r="A44" s="16" t="s">
        <v>608</v>
      </c>
      <c r="B44" s="36">
        <v>3.0999050775184903E-2</v>
      </c>
    </row>
    <row r="45" spans="1:2" x14ac:dyDescent="0.3">
      <c r="A45" s="16" t="s">
        <v>609</v>
      </c>
      <c r="B45" s="36">
        <v>3.8445430767844672E-2</v>
      </c>
    </row>
    <row r="46" spans="1:2" x14ac:dyDescent="0.3">
      <c r="A46" s="16" t="s">
        <v>226</v>
      </c>
      <c r="B46" s="36">
        <v>1.1989779686619592E-3</v>
      </c>
    </row>
    <row r="47" spans="1:2" x14ac:dyDescent="0.3">
      <c r="A47" s="16" t="s">
        <v>610</v>
      </c>
      <c r="B47" s="36">
        <v>3.8680527713399974E-3</v>
      </c>
    </row>
    <row r="48" spans="1:2" x14ac:dyDescent="0.3">
      <c r="A48" s="16" t="s">
        <v>402</v>
      </c>
      <c r="B48" s="36">
        <v>1.1827210678552795E-2</v>
      </c>
    </row>
    <row r="49" spans="1:2" x14ac:dyDescent="0.3">
      <c r="A49" s="16" t="s">
        <v>611</v>
      </c>
      <c r="B49" s="36">
        <v>-1.0275358509140395E-3</v>
      </c>
    </row>
    <row r="50" spans="1:2" x14ac:dyDescent="0.3">
      <c r="A50" s="16" t="s">
        <v>612</v>
      </c>
      <c r="B50" s="36">
        <v>5.1623898917374832E-3</v>
      </c>
    </row>
    <row r="51" spans="1:2" x14ac:dyDescent="0.3">
      <c r="A51" s="16" t="s">
        <v>354</v>
      </c>
      <c r="B51" s="36">
        <v>1.5779396084427921E-2</v>
      </c>
    </row>
    <row r="52" spans="1:2" x14ac:dyDescent="0.3">
      <c r="A52" s="16" t="s">
        <v>75</v>
      </c>
      <c r="B52" s="36">
        <v>3.4864523157196038E-3</v>
      </c>
    </row>
    <row r="53" spans="1:2" x14ac:dyDescent="0.3">
      <c r="A53" s="16" t="s">
        <v>25</v>
      </c>
      <c r="B53" s="36">
        <v>2.8983853665446061E-4</v>
      </c>
    </row>
    <row r="54" spans="1:2" x14ac:dyDescent="0.3">
      <c r="A54" s="16" t="s">
        <v>580</v>
      </c>
      <c r="B54" s="36">
        <v>7.3821537794374458E-3</v>
      </c>
    </row>
  </sheetData>
  <mergeCells count="1">
    <mergeCell ref="A1:H1"/>
  </mergeCells>
  <conditionalFormatting sqref="A3:B3 A4:A54">
    <cfRule type="top10" dxfId="8" priority="2" rank="1"/>
  </conditionalFormatting>
  <conditionalFormatting pivot="1" sqref="B4:B54">
    <cfRule type="top10" dxfId="7" priority="1" rank="1"/>
  </conditionalFormatting>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2E9BA-5646-4825-B734-3429DD043CCF}">
  <sheetPr>
    <tabColor rgb="FFFF5F5F"/>
  </sheetPr>
  <dimension ref="A1:H8"/>
  <sheetViews>
    <sheetView workbookViewId="0">
      <selection activeCell="O19" sqref="O19"/>
    </sheetView>
  </sheetViews>
  <sheetFormatPr defaultRowHeight="14.4" x14ac:dyDescent="0.3"/>
  <cols>
    <col min="1" max="1" width="12.5546875" bestFit="1" customWidth="1"/>
    <col min="2" max="2" width="24.88671875" bestFit="1" customWidth="1"/>
    <col min="3" max="3" width="19.44140625" bestFit="1" customWidth="1"/>
  </cols>
  <sheetData>
    <row r="1" spans="1:8" ht="18" x14ac:dyDescent="0.3">
      <c r="A1" s="57" t="s">
        <v>670</v>
      </c>
      <c r="B1" s="57"/>
      <c r="C1" s="57"/>
      <c r="D1" s="57"/>
      <c r="E1" s="57"/>
      <c r="F1" s="57"/>
      <c r="G1" s="57"/>
      <c r="H1" s="57"/>
    </row>
    <row r="3" spans="1:8" x14ac:dyDescent="0.3">
      <c r="A3" s="15" t="s">
        <v>579</v>
      </c>
      <c r="B3" t="s">
        <v>696</v>
      </c>
      <c r="C3" t="s">
        <v>692</v>
      </c>
    </row>
    <row r="4" spans="1:8" x14ac:dyDescent="0.3">
      <c r="A4" s="16" t="s">
        <v>39</v>
      </c>
      <c r="B4" s="17">
        <v>711.14</v>
      </c>
      <c r="C4" s="17">
        <v>27590.78</v>
      </c>
    </row>
    <row r="5" spans="1:8" x14ac:dyDescent="0.3">
      <c r="A5" s="16" t="s">
        <v>30</v>
      </c>
      <c r="B5" s="17">
        <v>960.08</v>
      </c>
      <c r="C5" s="17">
        <v>23287.46</v>
      </c>
    </row>
    <row r="6" spans="1:8" x14ac:dyDescent="0.3">
      <c r="A6" s="16" t="s">
        <v>13</v>
      </c>
      <c r="B6" s="17">
        <v>823.54</v>
      </c>
      <c r="C6" s="17">
        <v>21207.14</v>
      </c>
    </row>
    <row r="7" spans="1:8" x14ac:dyDescent="0.3">
      <c r="A7" s="16" t="s">
        <v>24</v>
      </c>
      <c r="B7" s="17">
        <v>707.34</v>
      </c>
      <c r="C7" s="17">
        <v>24572.94</v>
      </c>
    </row>
    <row r="8" spans="1:8" x14ac:dyDescent="0.3">
      <c r="A8" s="16" t="s">
        <v>580</v>
      </c>
      <c r="B8" s="17">
        <v>800.52499999999998</v>
      </c>
      <c r="C8" s="17">
        <v>24164.58</v>
      </c>
    </row>
  </sheetData>
  <mergeCells count="1">
    <mergeCell ref="A1:H1"/>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F8660D-A389-4575-A313-3A821B165D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PROJECT INFO vedio link</vt:lpstr>
      <vt:lpstr>TASK 1</vt:lpstr>
      <vt:lpstr>TASK 1.1</vt:lpstr>
      <vt:lpstr>TASK 2</vt:lpstr>
      <vt:lpstr>TASK 2.1</vt:lpstr>
      <vt:lpstr>TASK 2.2</vt:lpstr>
      <vt:lpstr>TASK 2.3</vt:lpstr>
      <vt:lpstr>TASK 3</vt:lpstr>
      <vt:lpstr>TASK 3.1</vt:lpstr>
      <vt:lpstr>TASK 3.2</vt:lpstr>
      <vt:lpstr>TASK 3.3</vt:lpstr>
      <vt:lpstr>TASK 3.4</vt:lpstr>
      <vt:lpstr>TASK 4</vt:lpstr>
      <vt:lpstr>TASK 4.1</vt:lpstr>
      <vt:lpstr>TASK 4.2</vt:lpstr>
      <vt:lpstr>TASK 4.3</vt:lpstr>
      <vt:lpstr>TASK 4.4</vt:lpstr>
      <vt:lpstr> TASK 5</vt:lpstr>
      <vt:lpstr>Campaign</vt:lpstr>
      <vt:lpstr>post</vt:lpstr>
      <vt:lpstr>Merge1</vt:lpstr>
      <vt:lpstr>week</vt:lpstr>
      <vt:lpstr>Merge2</vt:lpstr>
      <vt:lpstr>TASK 5.2</vt:lpstr>
      <vt:lpstr>TASK 6</vt:lpstr>
      <vt:lpstr>TASK 6.1</vt:lpstr>
      <vt:lpstr>TASK 6.2</vt:lpstr>
      <vt:lpstr>TASK 6.3</vt:lpstr>
      <vt:lpstr>TASK 6.4</vt:lpstr>
      <vt:lpstr>TASK 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Ghodmare</dc:creator>
  <cp:lastModifiedBy>Utkarsh Chandrakant Ghodmare</cp:lastModifiedBy>
  <dcterms:created xsi:type="dcterms:W3CDTF">2025-10-13T07:49:22Z</dcterms:created>
  <dcterms:modified xsi:type="dcterms:W3CDTF">2025-10-18T08:53:08Z</dcterms:modified>
</cp:coreProperties>
</file>